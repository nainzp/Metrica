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Desarrollos\Metrica\docs\"/>
    </mc:Choice>
  </mc:AlternateContent>
  <xr:revisionPtr revIDLastSave="0" documentId="13_ncr:1_{666DDF8A-3C5F-4FF4-8D10-7C847AD70259}" xr6:coauthVersionLast="47" xr6:coauthVersionMax="47" xr10:uidLastSave="{00000000-0000-0000-0000-000000000000}"/>
  <bookViews>
    <workbookView xWindow="-108" yWindow="-108" windowWidth="23256" windowHeight="13896" activeTab="4" xr2:uid="{00000000-000D-0000-FFFF-FFFF00000000}"/>
  </bookViews>
  <sheets>
    <sheet name="INSTRUCTIVO" sheetId="1" r:id="rId1"/>
    <sheet name="Resultado seguimiento" sheetId="2" r:id="rId2"/>
    <sheet name="PLAN DE ACCION EN SALUD" sheetId="3" r:id="rId3"/>
    <sheet name="Hoja1" sheetId="14" r:id="rId4"/>
    <sheet name="TH" sheetId="11" r:id="rId5"/>
    <sheet name="DATOS EJEC" sheetId="10" r:id="rId6"/>
    <sheet name="EJEC x componente" sheetId="13" r:id="rId7"/>
    <sheet name="pendientes" sheetId="12" r:id="rId8"/>
    <sheet name="TD" sheetId="9" r:id="rId9"/>
    <sheet name="Graficos" sheetId="4" state="hidden" r:id="rId10"/>
    <sheet name="ResultadoValidacion" sheetId="5" r:id="rId11"/>
    <sheet name="Data" sheetId="6" state="hidden" r:id="rId12"/>
    <sheet name="ValoresListasDesplegables" sheetId="7" r:id="rId13"/>
  </sheets>
  <definedNames>
    <definedName name="_xlnm._FilterDatabase" localSheetId="5" hidden="1">'DATOS EJEC'!$A$1:$E$39</definedName>
    <definedName name="_xlnm._FilterDatabase" localSheetId="2" hidden="1">'PLAN DE ACCION EN SALUD'!$A$4:$AY$281</definedName>
    <definedName name="_xlnm._FilterDatabase" localSheetId="4" hidden="1">TH!$A$1:$G$34</definedName>
  </definedNames>
  <calcPr calcId="191029"/>
  <pivotCaches>
    <pivotCache cacheId="0" r:id="rId14"/>
    <pivotCache cacheId="4" r:id="rId1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6" roundtripDataChecksum="ibWj1jdrqES0sZDHZdubNcuYEfqmlibzun4tdcoHIIc="/>
    </ext>
  </extLst>
</workbook>
</file>

<file path=xl/calcChain.xml><?xml version="1.0" encoding="utf-8"?>
<calcChain xmlns="http://schemas.openxmlformats.org/spreadsheetml/2006/main">
  <c r="DE282" i="3" l="1"/>
  <c r="DB282" i="3"/>
  <c r="CY282" i="3"/>
  <c r="CV282" i="3"/>
  <c r="R282" i="3"/>
  <c r="DH6" i="3"/>
  <c r="DH7" i="3"/>
  <c r="DH8" i="3"/>
  <c r="DH9" i="3"/>
  <c r="DH10" i="3"/>
  <c r="DH11" i="3"/>
  <c r="DH12" i="3"/>
  <c r="DH13" i="3"/>
  <c r="DH14" i="3"/>
  <c r="DH15" i="3"/>
  <c r="DH16" i="3"/>
  <c r="DH17" i="3"/>
  <c r="DH18" i="3"/>
  <c r="DH19" i="3"/>
  <c r="DH20" i="3"/>
  <c r="DH21" i="3"/>
  <c r="DH22" i="3"/>
  <c r="DH23" i="3"/>
  <c r="DH24" i="3"/>
  <c r="DH25" i="3"/>
  <c r="DH26" i="3"/>
  <c r="DH27" i="3"/>
  <c r="DH28" i="3"/>
  <c r="DH29" i="3"/>
  <c r="DH30" i="3"/>
  <c r="DH31" i="3"/>
  <c r="DH32" i="3"/>
  <c r="DH33" i="3"/>
  <c r="DH34" i="3"/>
  <c r="DH35" i="3"/>
  <c r="DH36" i="3"/>
  <c r="DH37" i="3"/>
  <c r="DH38" i="3"/>
  <c r="DH39" i="3"/>
  <c r="DH40" i="3"/>
  <c r="DH41" i="3"/>
  <c r="DH42" i="3"/>
  <c r="DH43" i="3"/>
  <c r="DH44" i="3"/>
  <c r="DH45" i="3"/>
  <c r="DH46" i="3"/>
  <c r="DH47" i="3"/>
  <c r="DH48" i="3"/>
  <c r="DH49" i="3"/>
  <c r="DH50" i="3"/>
  <c r="DH51" i="3"/>
  <c r="DH52" i="3"/>
  <c r="DH53" i="3"/>
  <c r="DH54" i="3"/>
  <c r="DH55" i="3"/>
  <c r="DH56" i="3"/>
  <c r="DH57" i="3"/>
  <c r="DH58" i="3"/>
  <c r="DH59" i="3"/>
  <c r="DH60" i="3"/>
  <c r="DH61" i="3"/>
  <c r="DH62" i="3"/>
  <c r="DH63" i="3"/>
  <c r="DH64" i="3"/>
  <c r="DH65" i="3"/>
  <c r="DH66" i="3"/>
  <c r="DH67" i="3"/>
  <c r="DH68" i="3"/>
  <c r="DH69" i="3"/>
  <c r="DH70" i="3"/>
  <c r="DH71" i="3"/>
  <c r="DH72" i="3"/>
  <c r="DH73" i="3"/>
  <c r="DH74" i="3"/>
  <c r="DH75" i="3"/>
  <c r="DH76" i="3"/>
  <c r="DH77" i="3"/>
  <c r="DH78" i="3"/>
  <c r="DH79" i="3"/>
  <c r="DH80" i="3"/>
  <c r="DH81" i="3"/>
  <c r="DH82" i="3"/>
  <c r="DH83" i="3"/>
  <c r="DH84" i="3"/>
  <c r="DH85" i="3"/>
  <c r="DH86" i="3"/>
  <c r="DH87" i="3"/>
  <c r="DH88" i="3"/>
  <c r="DH89" i="3"/>
  <c r="DH90" i="3"/>
  <c r="DH91" i="3"/>
  <c r="DH92" i="3"/>
  <c r="DH93" i="3"/>
  <c r="DH94" i="3"/>
  <c r="DH95" i="3"/>
  <c r="DH96" i="3"/>
  <c r="DH97" i="3"/>
  <c r="DH98" i="3"/>
  <c r="DH99" i="3"/>
  <c r="DH100" i="3"/>
  <c r="DH101" i="3"/>
  <c r="DH102" i="3"/>
  <c r="DH103" i="3"/>
  <c r="DH104" i="3"/>
  <c r="DH105" i="3"/>
  <c r="DH106" i="3"/>
  <c r="DH107" i="3"/>
  <c r="DH108" i="3"/>
  <c r="DH109" i="3"/>
  <c r="DH110" i="3"/>
  <c r="DH111" i="3"/>
  <c r="DH112" i="3"/>
  <c r="DH113" i="3"/>
  <c r="DH114" i="3"/>
  <c r="DH115" i="3"/>
  <c r="DH116" i="3"/>
  <c r="DH117" i="3"/>
  <c r="DH118" i="3"/>
  <c r="DH119" i="3"/>
  <c r="DH120" i="3"/>
  <c r="DH121" i="3"/>
  <c r="DH122" i="3"/>
  <c r="DH123" i="3"/>
  <c r="DH124" i="3"/>
  <c r="DH125" i="3"/>
  <c r="DH126" i="3"/>
  <c r="DH127" i="3"/>
  <c r="DH128" i="3"/>
  <c r="DH129" i="3"/>
  <c r="DH130" i="3"/>
  <c r="DH131" i="3"/>
  <c r="DH132" i="3"/>
  <c r="DH133" i="3"/>
  <c r="DH134" i="3"/>
  <c r="DH135" i="3"/>
  <c r="DH136" i="3"/>
  <c r="DH137" i="3"/>
  <c r="DH138" i="3"/>
  <c r="DH139" i="3"/>
  <c r="DH140" i="3"/>
  <c r="DH141" i="3"/>
  <c r="DH142" i="3"/>
  <c r="DH143" i="3"/>
  <c r="DH144" i="3"/>
  <c r="DH145" i="3"/>
  <c r="DH146" i="3"/>
  <c r="DH147" i="3"/>
  <c r="DH148" i="3"/>
  <c r="DH149" i="3"/>
  <c r="DH150" i="3"/>
  <c r="DH151" i="3"/>
  <c r="DH152" i="3"/>
  <c r="DH153" i="3"/>
  <c r="DH154" i="3"/>
  <c r="DH155" i="3"/>
  <c r="DH156" i="3"/>
  <c r="DH157" i="3"/>
  <c r="DH158" i="3"/>
  <c r="DH159" i="3"/>
  <c r="DH160" i="3"/>
  <c r="DH161" i="3"/>
  <c r="DH162" i="3"/>
  <c r="DH163" i="3"/>
  <c r="DH164" i="3"/>
  <c r="DH165" i="3"/>
  <c r="DH166" i="3"/>
  <c r="DH167" i="3"/>
  <c r="DH168" i="3"/>
  <c r="DH169" i="3"/>
  <c r="DH170" i="3"/>
  <c r="DH171" i="3"/>
  <c r="DH172" i="3"/>
  <c r="DH173" i="3"/>
  <c r="DH174" i="3"/>
  <c r="DH175" i="3"/>
  <c r="DH176" i="3"/>
  <c r="DH177" i="3"/>
  <c r="DH178" i="3"/>
  <c r="DH179" i="3"/>
  <c r="DH180" i="3"/>
  <c r="DH181" i="3"/>
  <c r="DH182" i="3"/>
  <c r="DH183" i="3"/>
  <c r="DH184" i="3"/>
  <c r="DH185" i="3"/>
  <c r="DH186" i="3"/>
  <c r="DH187" i="3"/>
  <c r="DH188" i="3"/>
  <c r="DH189" i="3"/>
  <c r="DH190" i="3"/>
  <c r="DH191" i="3"/>
  <c r="DH192" i="3"/>
  <c r="DH193" i="3"/>
  <c r="DH194" i="3"/>
  <c r="DH195" i="3"/>
  <c r="DH196" i="3"/>
  <c r="DH197" i="3"/>
  <c r="DH198" i="3"/>
  <c r="DH199" i="3"/>
  <c r="DH200" i="3"/>
  <c r="DH201" i="3"/>
  <c r="DH202" i="3"/>
  <c r="DH203" i="3"/>
  <c r="DH204" i="3"/>
  <c r="DH205" i="3"/>
  <c r="DH206" i="3"/>
  <c r="DH207" i="3"/>
  <c r="DH208" i="3"/>
  <c r="DH209" i="3"/>
  <c r="DH210" i="3"/>
  <c r="DH211" i="3"/>
  <c r="DH212" i="3"/>
  <c r="DH213" i="3"/>
  <c r="DH214" i="3"/>
  <c r="DH215" i="3"/>
  <c r="DH216" i="3"/>
  <c r="DH217" i="3"/>
  <c r="DH218" i="3"/>
  <c r="DH219" i="3"/>
  <c r="DH220" i="3"/>
  <c r="DH221" i="3"/>
  <c r="DH222" i="3"/>
  <c r="DH223" i="3"/>
  <c r="DH224" i="3"/>
  <c r="DH225" i="3"/>
  <c r="DH226" i="3"/>
  <c r="DH227" i="3"/>
  <c r="DH228" i="3"/>
  <c r="DH229" i="3"/>
  <c r="DH230" i="3"/>
  <c r="DH231" i="3"/>
  <c r="DH232" i="3"/>
  <c r="DH233" i="3"/>
  <c r="DH234" i="3"/>
  <c r="DH235" i="3"/>
  <c r="DH236" i="3"/>
  <c r="DH237" i="3"/>
  <c r="DH238" i="3"/>
  <c r="DH239" i="3"/>
  <c r="DH240" i="3"/>
  <c r="DH241" i="3"/>
  <c r="DH242" i="3"/>
  <c r="DH243" i="3"/>
  <c r="DH244" i="3"/>
  <c r="DH245" i="3"/>
  <c r="DH246" i="3"/>
  <c r="DH247" i="3"/>
  <c r="DH248" i="3"/>
  <c r="DH249" i="3"/>
  <c r="DH250" i="3"/>
  <c r="DH251" i="3"/>
  <c r="DH252" i="3"/>
  <c r="DH253" i="3"/>
  <c r="DH254" i="3"/>
  <c r="DH255" i="3"/>
  <c r="DH256" i="3"/>
  <c r="DH257" i="3"/>
  <c r="DH258" i="3"/>
  <c r="DH259" i="3"/>
  <c r="DH260" i="3"/>
  <c r="DH261" i="3"/>
  <c r="DH262" i="3"/>
  <c r="DH263" i="3"/>
  <c r="DH264" i="3"/>
  <c r="DH265" i="3"/>
  <c r="DH266" i="3"/>
  <c r="DH267" i="3"/>
  <c r="DH268" i="3"/>
  <c r="DH269" i="3"/>
  <c r="DH270" i="3"/>
  <c r="DH271" i="3"/>
  <c r="DH272" i="3"/>
  <c r="DH273" i="3"/>
  <c r="DH274" i="3"/>
  <c r="DH275" i="3"/>
  <c r="DH276" i="3"/>
  <c r="DH277" i="3"/>
  <c r="DH278" i="3"/>
  <c r="DH279" i="3"/>
  <c r="DH280" i="3"/>
  <c r="DH281" i="3"/>
  <c r="DH5" i="3"/>
  <c r="CM5" i="3"/>
  <c r="CL5" i="3"/>
  <c r="CK5" i="3"/>
  <c r="CH5" i="3"/>
  <c r="CE5" i="3"/>
  <c r="BV6" i="3"/>
  <c r="BW6" i="3"/>
  <c r="BV7" i="3"/>
  <c r="BW7" i="3"/>
  <c r="BV8" i="3"/>
  <c r="BW8" i="3"/>
  <c r="BV9" i="3"/>
  <c r="BW9" i="3"/>
  <c r="BV10" i="3"/>
  <c r="BW10" i="3"/>
  <c r="BV11" i="3"/>
  <c r="BW11" i="3"/>
  <c r="BV12" i="3"/>
  <c r="BW12" i="3"/>
  <c r="BV13" i="3"/>
  <c r="BW13" i="3"/>
  <c r="BV14" i="3"/>
  <c r="BW14" i="3"/>
  <c r="BV15" i="3"/>
  <c r="BW15" i="3"/>
  <c r="BV16" i="3"/>
  <c r="BW16" i="3"/>
  <c r="BV17" i="3"/>
  <c r="BW17" i="3"/>
  <c r="BV18" i="3"/>
  <c r="BW18" i="3"/>
  <c r="BV19" i="3"/>
  <c r="BW19" i="3"/>
  <c r="BV20" i="3"/>
  <c r="BW20" i="3"/>
  <c r="BV21" i="3"/>
  <c r="BW21" i="3"/>
  <c r="BV22" i="3"/>
  <c r="BW22" i="3"/>
  <c r="BV23" i="3"/>
  <c r="BW23" i="3"/>
  <c r="BV24" i="3"/>
  <c r="BW24" i="3"/>
  <c r="BV25" i="3"/>
  <c r="BW25" i="3"/>
  <c r="BV26" i="3"/>
  <c r="BW26" i="3"/>
  <c r="BV27" i="3"/>
  <c r="BW27" i="3"/>
  <c r="BV28" i="3"/>
  <c r="BW28" i="3"/>
  <c r="BV29" i="3"/>
  <c r="BW29" i="3"/>
  <c r="BV30" i="3"/>
  <c r="BW30" i="3"/>
  <c r="BV31" i="3"/>
  <c r="BW31" i="3"/>
  <c r="BV32" i="3"/>
  <c r="BW32" i="3"/>
  <c r="BV33" i="3"/>
  <c r="BW33" i="3"/>
  <c r="BV34" i="3"/>
  <c r="BW34" i="3"/>
  <c r="BV35" i="3"/>
  <c r="BW35" i="3"/>
  <c r="BV36" i="3"/>
  <c r="BW36" i="3"/>
  <c r="BV37" i="3"/>
  <c r="BW37" i="3"/>
  <c r="BV38" i="3"/>
  <c r="BW38" i="3"/>
  <c r="BV39" i="3"/>
  <c r="BW39" i="3"/>
  <c r="BV40" i="3"/>
  <c r="BW40" i="3"/>
  <c r="BV41" i="3"/>
  <c r="BW41" i="3"/>
  <c r="BV42" i="3"/>
  <c r="BW42" i="3"/>
  <c r="BV43" i="3"/>
  <c r="BW43" i="3"/>
  <c r="BV44" i="3"/>
  <c r="BW44" i="3"/>
  <c r="BV45" i="3"/>
  <c r="BW45" i="3"/>
  <c r="BV46" i="3"/>
  <c r="BW46" i="3"/>
  <c r="BV47" i="3"/>
  <c r="BW47" i="3"/>
  <c r="BV48" i="3"/>
  <c r="BW48" i="3"/>
  <c r="BV49" i="3"/>
  <c r="BW49" i="3"/>
  <c r="BV50" i="3"/>
  <c r="BW50" i="3"/>
  <c r="BV51" i="3"/>
  <c r="BW51" i="3"/>
  <c r="BV52" i="3"/>
  <c r="BW52" i="3"/>
  <c r="BV53" i="3"/>
  <c r="BW53" i="3"/>
  <c r="BV54" i="3"/>
  <c r="BW54" i="3"/>
  <c r="BV55" i="3"/>
  <c r="BW55" i="3"/>
  <c r="BV56" i="3"/>
  <c r="BW56" i="3"/>
  <c r="BV57" i="3"/>
  <c r="BW57" i="3"/>
  <c r="BV58" i="3"/>
  <c r="BW58" i="3"/>
  <c r="BV59" i="3"/>
  <c r="BW59" i="3"/>
  <c r="BV60" i="3"/>
  <c r="BW60" i="3"/>
  <c r="BV61" i="3"/>
  <c r="BW61" i="3"/>
  <c r="BV62" i="3"/>
  <c r="BW62" i="3"/>
  <c r="BV63" i="3"/>
  <c r="BW63" i="3"/>
  <c r="BV64" i="3"/>
  <c r="BW64" i="3"/>
  <c r="BV65" i="3"/>
  <c r="BW65" i="3"/>
  <c r="BV66" i="3"/>
  <c r="BW66" i="3"/>
  <c r="BV67" i="3"/>
  <c r="BW67" i="3"/>
  <c r="BV68" i="3"/>
  <c r="BW68" i="3"/>
  <c r="BV69" i="3"/>
  <c r="BW69" i="3"/>
  <c r="BV70" i="3"/>
  <c r="BW70" i="3"/>
  <c r="BV71" i="3"/>
  <c r="BW71" i="3"/>
  <c r="BV72" i="3"/>
  <c r="BW72" i="3"/>
  <c r="BV73" i="3"/>
  <c r="BW73" i="3"/>
  <c r="BV74" i="3"/>
  <c r="BW74" i="3"/>
  <c r="BV75" i="3"/>
  <c r="BW75" i="3"/>
  <c r="BV76" i="3"/>
  <c r="BW76" i="3"/>
  <c r="BV77" i="3"/>
  <c r="BW77" i="3"/>
  <c r="BV78" i="3"/>
  <c r="BW78" i="3"/>
  <c r="BV79" i="3"/>
  <c r="BW79" i="3"/>
  <c r="BV80" i="3"/>
  <c r="BW80" i="3"/>
  <c r="BV81" i="3"/>
  <c r="BW81" i="3"/>
  <c r="BV82" i="3"/>
  <c r="BW82" i="3"/>
  <c r="BV83" i="3"/>
  <c r="BW83" i="3"/>
  <c r="BV84" i="3"/>
  <c r="BW84" i="3"/>
  <c r="BV85" i="3"/>
  <c r="BW85" i="3"/>
  <c r="BV86" i="3"/>
  <c r="BW86" i="3"/>
  <c r="BV87" i="3"/>
  <c r="BW87" i="3"/>
  <c r="BV88" i="3"/>
  <c r="BW88" i="3"/>
  <c r="BV89" i="3"/>
  <c r="BW89" i="3"/>
  <c r="BV90" i="3"/>
  <c r="BW90" i="3"/>
  <c r="BV91" i="3"/>
  <c r="BW91" i="3"/>
  <c r="BV92" i="3"/>
  <c r="BW92" i="3"/>
  <c r="BV93" i="3"/>
  <c r="BW93" i="3"/>
  <c r="BV94" i="3"/>
  <c r="BW94" i="3"/>
  <c r="BV95" i="3"/>
  <c r="BW95" i="3"/>
  <c r="BV96" i="3"/>
  <c r="BW96" i="3"/>
  <c r="BV97" i="3"/>
  <c r="BW97" i="3"/>
  <c r="BV98" i="3"/>
  <c r="BW98" i="3"/>
  <c r="BV99" i="3"/>
  <c r="BW99" i="3"/>
  <c r="BV100" i="3"/>
  <c r="BW100" i="3"/>
  <c r="BV101" i="3"/>
  <c r="BW101" i="3"/>
  <c r="BV102" i="3"/>
  <c r="BW102" i="3"/>
  <c r="BV103" i="3"/>
  <c r="BW103" i="3"/>
  <c r="BV104" i="3"/>
  <c r="BW104" i="3"/>
  <c r="BV105" i="3"/>
  <c r="BW105" i="3"/>
  <c r="BV106" i="3"/>
  <c r="BW106" i="3"/>
  <c r="BV107" i="3"/>
  <c r="BW107" i="3"/>
  <c r="BV108" i="3"/>
  <c r="BW108" i="3"/>
  <c r="BV109" i="3"/>
  <c r="BW109" i="3"/>
  <c r="BV110" i="3"/>
  <c r="BW110" i="3"/>
  <c r="BV111" i="3"/>
  <c r="BW111" i="3"/>
  <c r="BV112" i="3"/>
  <c r="BW112" i="3"/>
  <c r="BV113" i="3"/>
  <c r="BW113" i="3"/>
  <c r="BV114" i="3"/>
  <c r="BW114" i="3"/>
  <c r="BV115" i="3"/>
  <c r="BW115" i="3"/>
  <c r="BV116" i="3"/>
  <c r="BW116" i="3"/>
  <c r="BV117" i="3"/>
  <c r="BW117" i="3"/>
  <c r="BV118" i="3"/>
  <c r="BW118" i="3"/>
  <c r="BV119" i="3"/>
  <c r="BW119" i="3"/>
  <c r="BV120" i="3"/>
  <c r="BW120" i="3"/>
  <c r="BV121" i="3"/>
  <c r="BW121" i="3"/>
  <c r="BV122" i="3"/>
  <c r="BW122" i="3"/>
  <c r="BV123" i="3"/>
  <c r="BW123" i="3"/>
  <c r="BV124" i="3"/>
  <c r="BW124" i="3"/>
  <c r="BV125" i="3"/>
  <c r="BW125" i="3"/>
  <c r="BV126" i="3"/>
  <c r="BW126" i="3"/>
  <c r="BV127" i="3"/>
  <c r="BW127" i="3"/>
  <c r="BV128" i="3"/>
  <c r="BW128" i="3"/>
  <c r="BV129" i="3"/>
  <c r="BW129" i="3"/>
  <c r="BV130" i="3"/>
  <c r="BW130" i="3"/>
  <c r="BV131" i="3"/>
  <c r="BW131" i="3"/>
  <c r="BV132" i="3"/>
  <c r="BW132" i="3"/>
  <c r="BV133" i="3"/>
  <c r="BW133" i="3"/>
  <c r="BV134" i="3"/>
  <c r="BW134" i="3"/>
  <c r="BV135" i="3"/>
  <c r="BW135" i="3"/>
  <c r="BV136" i="3"/>
  <c r="BW136" i="3"/>
  <c r="BV137" i="3"/>
  <c r="BW137" i="3"/>
  <c r="BV138" i="3"/>
  <c r="BW138" i="3"/>
  <c r="BV139" i="3"/>
  <c r="BW139" i="3"/>
  <c r="BV140" i="3"/>
  <c r="BW140" i="3"/>
  <c r="BV141" i="3"/>
  <c r="BW141" i="3"/>
  <c r="BV142" i="3"/>
  <c r="BW142" i="3"/>
  <c r="BV143" i="3"/>
  <c r="BW143" i="3"/>
  <c r="BV144" i="3"/>
  <c r="BW144" i="3"/>
  <c r="BV145" i="3"/>
  <c r="BW145" i="3"/>
  <c r="BV146" i="3"/>
  <c r="BW146" i="3"/>
  <c r="BV147" i="3"/>
  <c r="BW147" i="3"/>
  <c r="BV148" i="3"/>
  <c r="BW148" i="3"/>
  <c r="BV149" i="3"/>
  <c r="BW149" i="3"/>
  <c r="BV150" i="3"/>
  <c r="BW150" i="3"/>
  <c r="BV151" i="3"/>
  <c r="BW151" i="3"/>
  <c r="BV152" i="3"/>
  <c r="BW152" i="3"/>
  <c r="BV153" i="3"/>
  <c r="BW153" i="3"/>
  <c r="BV154" i="3"/>
  <c r="BW154" i="3"/>
  <c r="BV155" i="3"/>
  <c r="BW155" i="3"/>
  <c r="BV156" i="3"/>
  <c r="BW156" i="3"/>
  <c r="BV157" i="3"/>
  <c r="BW157" i="3"/>
  <c r="BV158" i="3"/>
  <c r="BW158" i="3"/>
  <c r="BV159" i="3"/>
  <c r="BW159" i="3"/>
  <c r="BV160" i="3"/>
  <c r="BW160" i="3"/>
  <c r="BV161" i="3"/>
  <c r="BW161" i="3"/>
  <c r="BV162" i="3"/>
  <c r="BW162" i="3"/>
  <c r="BV163" i="3"/>
  <c r="BW163" i="3"/>
  <c r="BV164" i="3"/>
  <c r="BW164" i="3"/>
  <c r="BV165" i="3"/>
  <c r="BW165" i="3"/>
  <c r="BV166" i="3"/>
  <c r="BW166" i="3"/>
  <c r="BV167" i="3"/>
  <c r="BW167" i="3"/>
  <c r="BV168" i="3"/>
  <c r="BW168" i="3"/>
  <c r="BV169" i="3"/>
  <c r="BW169" i="3"/>
  <c r="BV170" i="3"/>
  <c r="BW170" i="3"/>
  <c r="BV171" i="3"/>
  <c r="BW171" i="3"/>
  <c r="BV172" i="3"/>
  <c r="BW172" i="3"/>
  <c r="BV173" i="3"/>
  <c r="BW173" i="3"/>
  <c r="BV174" i="3"/>
  <c r="BW174" i="3"/>
  <c r="BV175" i="3"/>
  <c r="BW175" i="3"/>
  <c r="BV176" i="3"/>
  <c r="BW176" i="3"/>
  <c r="BV177" i="3"/>
  <c r="BW177" i="3"/>
  <c r="BV178" i="3"/>
  <c r="BW178" i="3"/>
  <c r="BV179" i="3"/>
  <c r="BW179" i="3"/>
  <c r="BV180" i="3"/>
  <c r="BW180" i="3"/>
  <c r="BV181" i="3"/>
  <c r="BW181" i="3"/>
  <c r="BV182" i="3"/>
  <c r="BW182" i="3"/>
  <c r="BV183" i="3"/>
  <c r="BW183" i="3"/>
  <c r="BV184" i="3"/>
  <c r="BW184" i="3"/>
  <c r="BV185" i="3"/>
  <c r="BW185" i="3"/>
  <c r="BV186" i="3"/>
  <c r="BW186" i="3"/>
  <c r="BV187" i="3"/>
  <c r="BW187" i="3"/>
  <c r="BV188" i="3"/>
  <c r="BW188" i="3"/>
  <c r="BV189" i="3"/>
  <c r="BW189" i="3"/>
  <c r="BV190" i="3"/>
  <c r="BW190" i="3"/>
  <c r="BV191" i="3"/>
  <c r="BW191" i="3"/>
  <c r="BV192" i="3"/>
  <c r="BW192" i="3"/>
  <c r="BV193" i="3"/>
  <c r="BW193" i="3"/>
  <c r="BV194" i="3"/>
  <c r="BW194" i="3"/>
  <c r="BV195" i="3"/>
  <c r="BW195" i="3"/>
  <c r="BV196" i="3"/>
  <c r="BW196" i="3"/>
  <c r="BV197" i="3"/>
  <c r="BW197" i="3"/>
  <c r="BV198" i="3"/>
  <c r="BW198" i="3"/>
  <c r="BV199" i="3"/>
  <c r="BW199" i="3"/>
  <c r="BV200" i="3"/>
  <c r="BW200" i="3"/>
  <c r="BV201" i="3"/>
  <c r="BW201" i="3"/>
  <c r="BV202" i="3"/>
  <c r="BW202" i="3"/>
  <c r="BV203" i="3"/>
  <c r="BW203" i="3"/>
  <c r="BV204" i="3"/>
  <c r="BW204" i="3"/>
  <c r="BV205" i="3"/>
  <c r="BW205" i="3"/>
  <c r="BV206" i="3"/>
  <c r="BW206" i="3"/>
  <c r="BV207" i="3"/>
  <c r="BW207" i="3"/>
  <c r="BV208" i="3"/>
  <c r="BW208" i="3"/>
  <c r="BV209" i="3"/>
  <c r="BW209" i="3"/>
  <c r="BV210" i="3"/>
  <c r="BW210" i="3"/>
  <c r="BV211" i="3"/>
  <c r="BW211" i="3"/>
  <c r="BV212" i="3"/>
  <c r="BW212" i="3"/>
  <c r="BV213" i="3"/>
  <c r="BW213" i="3"/>
  <c r="BV214" i="3"/>
  <c r="BW214" i="3"/>
  <c r="BV215" i="3"/>
  <c r="BW215" i="3"/>
  <c r="BV216" i="3"/>
  <c r="BW216" i="3"/>
  <c r="BV217" i="3"/>
  <c r="BW217" i="3"/>
  <c r="BV218" i="3"/>
  <c r="BW218" i="3"/>
  <c r="BV219" i="3"/>
  <c r="BW219" i="3"/>
  <c r="BV220" i="3"/>
  <c r="BW220" i="3"/>
  <c r="BV221" i="3"/>
  <c r="BW221" i="3"/>
  <c r="BV222" i="3"/>
  <c r="BW222" i="3"/>
  <c r="BV223" i="3"/>
  <c r="BW223" i="3"/>
  <c r="BV224" i="3"/>
  <c r="BW224" i="3"/>
  <c r="BV225" i="3"/>
  <c r="BW225" i="3"/>
  <c r="BV226" i="3"/>
  <c r="BW226" i="3"/>
  <c r="BV227" i="3"/>
  <c r="BW227" i="3"/>
  <c r="BV228" i="3"/>
  <c r="BW228" i="3"/>
  <c r="BV229" i="3"/>
  <c r="BW229" i="3"/>
  <c r="BV230" i="3"/>
  <c r="BW230" i="3"/>
  <c r="BV231" i="3"/>
  <c r="BW231" i="3"/>
  <c r="BV232" i="3"/>
  <c r="BW232" i="3"/>
  <c r="BV233" i="3"/>
  <c r="BW233" i="3"/>
  <c r="BV234" i="3"/>
  <c r="BW234" i="3"/>
  <c r="BV235" i="3"/>
  <c r="BW235" i="3"/>
  <c r="BV236" i="3"/>
  <c r="BW236" i="3"/>
  <c r="BV237" i="3"/>
  <c r="BW237" i="3"/>
  <c r="BV238" i="3"/>
  <c r="BW238" i="3"/>
  <c r="BV239" i="3"/>
  <c r="BW239" i="3"/>
  <c r="BV240" i="3"/>
  <c r="BW240" i="3"/>
  <c r="BV241" i="3"/>
  <c r="BW241" i="3"/>
  <c r="BV242" i="3"/>
  <c r="BW242" i="3"/>
  <c r="BV243" i="3"/>
  <c r="BW243" i="3"/>
  <c r="BV244" i="3"/>
  <c r="BW244" i="3"/>
  <c r="BV245" i="3"/>
  <c r="BW245" i="3"/>
  <c r="BV246" i="3"/>
  <c r="BW246" i="3"/>
  <c r="BV247" i="3"/>
  <c r="BW247" i="3"/>
  <c r="BV248" i="3"/>
  <c r="BW248" i="3"/>
  <c r="BV249" i="3"/>
  <c r="BW249" i="3"/>
  <c r="BV250" i="3"/>
  <c r="BW250" i="3"/>
  <c r="BV251" i="3"/>
  <c r="BW251" i="3"/>
  <c r="BV252" i="3"/>
  <c r="BW252" i="3"/>
  <c r="BV253" i="3"/>
  <c r="BW253" i="3"/>
  <c r="BV254" i="3"/>
  <c r="BW254" i="3"/>
  <c r="BV255" i="3"/>
  <c r="BW255" i="3"/>
  <c r="BV256" i="3"/>
  <c r="BW256" i="3"/>
  <c r="BV257" i="3"/>
  <c r="BW257" i="3"/>
  <c r="BV258" i="3"/>
  <c r="BW258" i="3"/>
  <c r="BV259" i="3"/>
  <c r="BW259" i="3"/>
  <c r="BV260" i="3"/>
  <c r="BW260" i="3"/>
  <c r="BV261" i="3"/>
  <c r="BW261" i="3"/>
  <c r="BV262" i="3"/>
  <c r="BW262" i="3"/>
  <c r="BV263" i="3"/>
  <c r="BW263" i="3"/>
  <c r="BV264" i="3"/>
  <c r="BW264" i="3"/>
  <c r="BV265" i="3"/>
  <c r="BW265" i="3"/>
  <c r="BV266" i="3"/>
  <c r="BW266" i="3"/>
  <c r="BV267" i="3"/>
  <c r="BW267" i="3"/>
  <c r="BV268" i="3"/>
  <c r="BW268" i="3"/>
  <c r="BV269" i="3"/>
  <c r="BW269" i="3"/>
  <c r="BV270" i="3"/>
  <c r="BW270" i="3"/>
  <c r="BV271" i="3"/>
  <c r="BW271" i="3"/>
  <c r="BV272" i="3"/>
  <c r="BW272" i="3"/>
  <c r="BV273" i="3"/>
  <c r="BW273" i="3"/>
  <c r="BV274" i="3"/>
  <c r="BW274" i="3"/>
  <c r="BV275" i="3"/>
  <c r="BW275" i="3"/>
  <c r="BV276" i="3"/>
  <c r="BW276" i="3"/>
  <c r="BV277" i="3"/>
  <c r="BW277" i="3"/>
  <c r="BV278" i="3"/>
  <c r="BW278" i="3"/>
  <c r="BV279" i="3"/>
  <c r="BW279" i="3"/>
  <c r="BV280" i="3"/>
  <c r="BW280" i="3"/>
  <c r="BV281" i="3"/>
  <c r="BW281" i="3"/>
  <c r="BW5" i="3"/>
  <c r="BV5" i="3"/>
  <c r="BU5" i="3"/>
  <c r="BR5" i="3"/>
  <c r="BO5" i="3"/>
  <c r="BJ6" i="3"/>
  <c r="BK6" i="3"/>
  <c r="BJ7" i="3"/>
  <c r="BK7" i="3"/>
  <c r="BJ8" i="3"/>
  <c r="BK8" i="3"/>
  <c r="BJ9" i="3"/>
  <c r="BK9" i="3"/>
  <c r="BJ10" i="3"/>
  <c r="BK10" i="3"/>
  <c r="BJ11" i="3"/>
  <c r="BK11" i="3"/>
  <c r="BJ12" i="3"/>
  <c r="BK12" i="3"/>
  <c r="BJ13" i="3"/>
  <c r="BK13" i="3"/>
  <c r="BJ14" i="3"/>
  <c r="BK14" i="3"/>
  <c r="BJ15" i="3"/>
  <c r="BK15" i="3"/>
  <c r="BJ16" i="3"/>
  <c r="BK16" i="3"/>
  <c r="BJ17" i="3"/>
  <c r="BK17" i="3"/>
  <c r="BJ18" i="3"/>
  <c r="BK18" i="3"/>
  <c r="BJ19" i="3"/>
  <c r="BK19" i="3"/>
  <c r="BY19" i="3" s="1"/>
  <c r="BZ19" i="3" s="1"/>
  <c r="BJ20" i="3"/>
  <c r="BK20" i="3"/>
  <c r="BJ21" i="3"/>
  <c r="BK21" i="3"/>
  <c r="BJ22" i="3"/>
  <c r="BK22" i="3"/>
  <c r="BJ23" i="3"/>
  <c r="BK23" i="3"/>
  <c r="BJ24" i="3"/>
  <c r="BK24" i="3"/>
  <c r="BJ25" i="3"/>
  <c r="BK25" i="3"/>
  <c r="BY25" i="3" s="1"/>
  <c r="BZ25" i="3" s="1"/>
  <c r="BJ26" i="3"/>
  <c r="BK26" i="3"/>
  <c r="BJ27" i="3"/>
  <c r="BK27" i="3"/>
  <c r="BJ28" i="3"/>
  <c r="BK28" i="3"/>
  <c r="BJ29" i="3"/>
  <c r="BK29" i="3"/>
  <c r="BL29" i="3" s="1"/>
  <c r="BJ30" i="3"/>
  <c r="BK30" i="3"/>
  <c r="BJ31" i="3"/>
  <c r="BK31" i="3"/>
  <c r="BJ32" i="3"/>
  <c r="BK32" i="3"/>
  <c r="BJ33" i="3"/>
  <c r="BK33" i="3"/>
  <c r="BJ34" i="3"/>
  <c r="BK34" i="3"/>
  <c r="BJ35" i="3"/>
  <c r="BK35" i="3"/>
  <c r="BJ36" i="3"/>
  <c r="BK36" i="3"/>
  <c r="BJ37" i="3"/>
  <c r="BK37" i="3"/>
  <c r="BJ38" i="3"/>
  <c r="BK38" i="3"/>
  <c r="BJ39" i="3"/>
  <c r="BK39" i="3"/>
  <c r="BJ40" i="3"/>
  <c r="BK40" i="3"/>
  <c r="BJ41" i="3"/>
  <c r="BK41" i="3"/>
  <c r="BJ42" i="3"/>
  <c r="BK42" i="3"/>
  <c r="BJ43" i="3"/>
  <c r="BK43" i="3"/>
  <c r="BJ44" i="3"/>
  <c r="BK44" i="3"/>
  <c r="BJ45" i="3"/>
  <c r="BK45" i="3"/>
  <c r="BJ46" i="3"/>
  <c r="BK46" i="3"/>
  <c r="BJ47" i="3"/>
  <c r="BK47" i="3"/>
  <c r="BJ48" i="3"/>
  <c r="BK48" i="3"/>
  <c r="BJ49" i="3"/>
  <c r="BK49" i="3"/>
  <c r="BJ50" i="3"/>
  <c r="BK50" i="3"/>
  <c r="BJ51" i="3"/>
  <c r="BK51" i="3"/>
  <c r="BJ52" i="3"/>
  <c r="BK52" i="3"/>
  <c r="BJ53" i="3"/>
  <c r="BK53" i="3"/>
  <c r="BJ54" i="3"/>
  <c r="BK54" i="3"/>
  <c r="BJ55" i="3"/>
  <c r="BK55" i="3"/>
  <c r="BJ56" i="3"/>
  <c r="BK56" i="3"/>
  <c r="BJ57" i="3"/>
  <c r="BK57" i="3"/>
  <c r="BJ58" i="3"/>
  <c r="BK58" i="3"/>
  <c r="BJ59" i="3"/>
  <c r="BK59" i="3"/>
  <c r="BJ60" i="3"/>
  <c r="BK60" i="3"/>
  <c r="BJ61" i="3"/>
  <c r="BK61" i="3"/>
  <c r="BJ62" i="3"/>
  <c r="BK62" i="3"/>
  <c r="BJ63" i="3"/>
  <c r="BK63" i="3"/>
  <c r="BJ64" i="3"/>
  <c r="BK64" i="3"/>
  <c r="BJ65" i="3"/>
  <c r="BK65" i="3"/>
  <c r="BY65" i="3" s="1"/>
  <c r="BZ65" i="3" s="1"/>
  <c r="BJ66" i="3"/>
  <c r="BK66" i="3"/>
  <c r="BJ67" i="3"/>
  <c r="BK67" i="3"/>
  <c r="BJ68" i="3"/>
  <c r="BK68" i="3"/>
  <c r="BJ69" i="3"/>
  <c r="BK69" i="3"/>
  <c r="BJ70" i="3"/>
  <c r="BK70" i="3"/>
  <c r="BJ71" i="3"/>
  <c r="BK71" i="3"/>
  <c r="BJ72" i="3"/>
  <c r="BK72" i="3"/>
  <c r="BJ73" i="3"/>
  <c r="BK73" i="3"/>
  <c r="BJ74" i="3"/>
  <c r="BK74" i="3"/>
  <c r="BJ75" i="3"/>
  <c r="BK75" i="3"/>
  <c r="BJ76" i="3"/>
  <c r="BK76" i="3"/>
  <c r="BJ77" i="3"/>
  <c r="BK77" i="3"/>
  <c r="BJ78" i="3"/>
  <c r="BK78" i="3"/>
  <c r="BJ79" i="3"/>
  <c r="BK79" i="3"/>
  <c r="BJ80" i="3"/>
  <c r="BK80" i="3"/>
  <c r="BJ81" i="3"/>
  <c r="BK81" i="3"/>
  <c r="BY81" i="3" s="1"/>
  <c r="BZ81" i="3" s="1"/>
  <c r="BJ82" i="3"/>
  <c r="BK82" i="3"/>
  <c r="BJ83" i="3"/>
  <c r="BK83" i="3"/>
  <c r="BJ84" i="3"/>
  <c r="BK84" i="3"/>
  <c r="BJ85" i="3"/>
  <c r="BK85" i="3"/>
  <c r="BJ86" i="3"/>
  <c r="BK86" i="3"/>
  <c r="BJ87" i="3"/>
  <c r="BK87" i="3"/>
  <c r="BJ88" i="3"/>
  <c r="BK88" i="3"/>
  <c r="BJ89" i="3"/>
  <c r="BK89" i="3"/>
  <c r="BJ90" i="3"/>
  <c r="BK90" i="3"/>
  <c r="BJ91" i="3"/>
  <c r="BK91" i="3"/>
  <c r="BJ92" i="3"/>
  <c r="BK92" i="3"/>
  <c r="BJ93" i="3"/>
  <c r="BK93" i="3"/>
  <c r="BJ94" i="3"/>
  <c r="BK94" i="3"/>
  <c r="BJ95" i="3"/>
  <c r="BK95" i="3"/>
  <c r="BJ96" i="3"/>
  <c r="BK96" i="3"/>
  <c r="BJ97" i="3"/>
  <c r="BK97" i="3"/>
  <c r="BY97" i="3" s="1"/>
  <c r="BZ97" i="3" s="1"/>
  <c r="BJ98" i="3"/>
  <c r="BK98" i="3"/>
  <c r="BJ99" i="3"/>
  <c r="BK99" i="3"/>
  <c r="BJ100" i="3"/>
  <c r="BK100" i="3"/>
  <c r="BJ101" i="3"/>
  <c r="BK101" i="3"/>
  <c r="BY101" i="3" s="1"/>
  <c r="BZ101" i="3" s="1"/>
  <c r="BJ102" i="3"/>
  <c r="BK102" i="3"/>
  <c r="BJ103" i="3"/>
  <c r="BK103" i="3"/>
  <c r="BJ104" i="3"/>
  <c r="BK104" i="3"/>
  <c r="BJ105" i="3"/>
  <c r="BK105" i="3"/>
  <c r="BJ106" i="3"/>
  <c r="BK106" i="3"/>
  <c r="BJ107" i="3"/>
  <c r="BK107" i="3"/>
  <c r="BJ108" i="3"/>
  <c r="BK108" i="3"/>
  <c r="BJ109" i="3"/>
  <c r="BK109" i="3"/>
  <c r="BY109" i="3" s="1"/>
  <c r="BZ109" i="3" s="1"/>
  <c r="BJ110" i="3"/>
  <c r="BK110" i="3"/>
  <c r="BJ111" i="3"/>
  <c r="BK111" i="3"/>
  <c r="BJ112" i="3"/>
  <c r="BK112" i="3"/>
  <c r="BJ113" i="3"/>
  <c r="BK113" i="3"/>
  <c r="BY113" i="3" s="1"/>
  <c r="BZ113" i="3" s="1"/>
  <c r="BJ114" i="3"/>
  <c r="BK114" i="3"/>
  <c r="BJ115" i="3"/>
  <c r="BK115" i="3"/>
  <c r="BJ116" i="3"/>
  <c r="BK116" i="3"/>
  <c r="BJ117" i="3"/>
  <c r="BK117" i="3"/>
  <c r="BY117" i="3" s="1"/>
  <c r="BZ117" i="3" s="1"/>
  <c r="BJ118" i="3"/>
  <c r="BK118" i="3"/>
  <c r="BJ119" i="3"/>
  <c r="BK119" i="3"/>
  <c r="BJ120" i="3"/>
  <c r="BK120" i="3"/>
  <c r="BJ121" i="3"/>
  <c r="BK121" i="3"/>
  <c r="BJ122" i="3"/>
  <c r="BK122" i="3"/>
  <c r="BJ123" i="3"/>
  <c r="BK123" i="3"/>
  <c r="BJ124" i="3"/>
  <c r="BK124" i="3"/>
  <c r="BJ125" i="3"/>
  <c r="BK125" i="3"/>
  <c r="BJ126" i="3"/>
  <c r="BK126" i="3"/>
  <c r="BJ127" i="3"/>
  <c r="BK127" i="3"/>
  <c r="BJ128" i="3"/>
  <c r="BK128" i="3"/>
  <c r="BJ129" i="3"/>
  <c r="BK129" i="3"/>
  <c r="BY129" i="3" s="1"/>
  <c r="BZ129" i="3" s="1"/>
  <c r="BJ130" i="3"/>
  <c r="BK130" i="3"/>
  <c r="BJ131" i="3"/>
  <c r="BK131" i="3"/>
  <c r="BJ132" i="3"/>
  <c r="BK132" i="3"/>
  <c r="BJ133" i="3"/>
  <c r="BK133" i="3"/>
  <c r="BY133" i="3" s="1"/>
  <c r="BZ133" i="3" s="1"/>
  <c r="BJ134" i="3"/>
  <c r="BK134" i="3"/>
  <c r="BJ135" i="3"/>
  <c r="BK135" i="3"/>
  <c r="BJ136" i="3"/>
  <c r="BK136" i="3"/>
  <c r="BJ137" i="3"/>
  <c r="BK137" i="3"/>
  <c r="BJ138" i="3"/>
  <c r="BK138" i="3"/>
  <c r="BJ139" i="3"/>
  <c r="BK139" i="3"/>
  <c r="BJ140" i="3"/>
  <c r="BK140" i="3"/>
  <c r="BJ141" i="3"/>
  <c r="BK141" i="3"/>
  <c r="BJ142" i="3"/>
  <c r="BK142" i="3"/>
  <c r="BJ143" i="3"/>
  <c r="BK143" i="3"/>
  <c r="BJ144" i="3"/>
  <c r="BK144" i="3"/>
  <c r="BJ145" i="3"/>
  <c r="BK145" i="3"/>
  <c r="BJ146" i="3"/>
  <c r="BK146" i="3"/>
  <c r="BJ147" i="3"/>
  <c r="BK147" i="3"/>
  <c r="BJ148" i="3"/>
  <c r="BK148" i="3"/>
  <c r="BJ149" i="3"/>
  <c r="BK149" i="3"/>
  <c r="BJ150" i="3"/>
  <c r="BK150" i="3"/>
  <c r="BJ151" i="3"/>
  <c r="BK151" i="3"/>
  <c r="BJ152" i="3"/>
  <c r="BK152" i="3"/>
  <c r="BJ153" i="3"/>
  <c r="BK153" i="3"/>
  <c r="BJ154" i="3"/>
  <c r="BK154" i="3"/>
  <c r="BJ155" i="3"/>
  <c r="BK155" i="3"/>
  <c r="BJ156" i="3"/>
  <c r="BK156" i="3"/>
  <c r="BJ157" i="3"/>
  <c r="BK157" i="3"/>
  <c r="BJ158" i="3"/>
  <c r="BK158" i="3"/>
  <c r="BJ159" i="3"/>
  <c r="BK159" i="3"/>
  <c r="BJ160" i="3"/>
  <c r="BK160" i="3"/>
  <c r="BJ161" i="3"/>
  <c r="BK161" i="3"/>
  <c r="BJ162" i="3"/>
  <c r="BK162" i="3"/>
  <c r="BJ163" i="3"/>
  <c r="BK163" i="3"/>
  <c r="BJ164" i="3"/>
  <c r="BK164" i="3"/>
  <c r="BJ165" i="3"/>
  <c r="BK165" i="3"/>
  <c r="BJ166" i="3"/>
  <c r="BK166" i="3"/>
  <c r="BJ167" i="3"/>
  <c r="BK167" i="3"/>
  <c r="BJ168" i="3"/>
  <c r="BK168" i="3"/>
  <c r="BJ169" i="3"/>
  <c r="BK169" i="3"/>
  <c r="BJ170" i="3"/>
  <c r="BK170" i="3"/>
  <c r="BJ171" i="3"/>
  <c r="BK171" i="3"/>
  <c r="BJ172" i="3"/>
  <c r="BK172" i="3"/>
  <c r="BJ173" i="3"/>
  <c r="BK173" i="3"/>
  <c r="BY173" i="3" s="1"/>
  <c r="BZ173" i="3" s="1"/>
  <c r="BJ174" i="3"/>
  <c r="BK174" i="3"/>
  <c r="BJ175" i="3"/>
  <c r="BK175" i="3"/>
  <c r="BJ176" i="3"/>
  <c r="BK176" i="3"/>
  <c r="BJ177" i="3"/>
  <c r="BK177" i="3"/>
  <c r="BY177" i="3" s="1"/>
  <c r="BZ177" i="3" s="1"/>
  <c r="BJ178" i="3"/>
  <c r="BK178" i="3"/>
  <c r="BJ179" i="3"/>
  <c r="BK179" i="3"/>
  <c r="BJ180" i="3"/>
  <c r="BK180" i="3"/>
  <c r="BJ181" i="3"/>
  <c r="BK181" i="3"/>
  <c r="BY181" i="3" s="1"/>
  <c r="BZ181" i="3" s="1"/>
  <c r="BJ182" i="3"/>
  <c r="BK182" i="3"/>
  <c r="BJ183" i="3"/>
  <c r="BK183" i="3"/>
  <c r="BJ184" i="3"/>
  <c r="BK184" i="3"/>
  <c r="BJ185" i="3"/>
  <c r="BK185" i="3"/>
  <c r="BJ186" i="3"/>
  <c r="BK186" i="3"/>
  <c r="BJ187" i="3"/>
  <c r="BK187" i="3"/>
  <c r="BJ188" i="3"/>
  <c r="BK188" i="3"/>
  <c r="BJ189" i="3"/>
  <c r="BK189" i="3"/>
  <c r="BJ190" i="3"/>
  <c r="BK190" i="3"/>
  <c r="BJ191" i="3"/>
  <c r="BK191" i="3"/>
  <c r="BJ192" i="3"/>
  <c r="BK192" i="3"/>
  <c r="BJ193" i="3"/>
  <c r="BK193" i="3"/>
  <c r="BY193" i="3" s="1"/>
  <c r="BZ193" i="3" s="1"/>
  <c r="BJ194" i="3"/>
  <c r="BK194" i="3"/>
  <c r="BJ195" i="3"/>
  <c r="BK195" i="3"/>
  <c r="BJ196" i="3"/>
  <c r="BK196" i="3"/>
  <c r="BJ197" i="3"/>
  <c r="BK197" i="3"/>
  <c r="BY197" i="3" s="1"/>
  <c r="BZ197" i="3" s="1"/>
  <c r="BJ198" i="3"/>
  <c r="BK198" i="3"/>
  <c r="BJ199" i="3"/>
  <c r="BK199" i="3"/>
  <c r="BJ200" i="3"/>
  <c r="BK200" i="3"/>
  <c r="BJ201" i="3"/>
  <c r="BK201" i="3"/>
  <c r="BJ202" i="3"/>
  <c r="BK202" i="3"/>
  <c r="BJ203" i="3"/>
  <c r="BK203" i="3"/>
  <c r="BJ204" i="3"/>
  <c r="BK204" i="3"/>
  <c r="BJ205" i="3"/>
  <c r="BK205" i="3"/>
  <c r="BY205" i="3" s="1"/>
  <c r="BZ205" i="3" s="1"/>
  <c r="BJ206" i="3"/>
  <c r="BK206" i="3"/>
  <c r="BJ207" i="3"/>
  <c r="BK207" i="3"/>
  <c r="BJ208" i="3"/>
  <c r="BK208" i="3"/>
  <c r="BJ209" i="3"/>
  <c r="BK209" i="3"/>
  <c r="BY209" i="3" s="1"/>
  <c r="BZ209" i="3" s="1"/>
  <c r="BJ210" i="3"/>
  <c r="BK210" i="3"/>
  <c r="BJ211" i="3"/>
  <c r="BK211" i="3"/>
  <c r="BJ212" i="3"/>
  <c r="BK212" i="3"/>
  <c r="BJ213" i="3"/>
  <c r="BK213" i="3"/>
  <c r="BY213" i="3" s="1"/>
  <c r="BZ213" i="3" s="1"/>
  <c r="BJ214" i="3"/>
  <c r="BK214" i="3"/>
  <c r="BJ215" i="3"/>
  <c r="BK215" i="3"/>
  <c r="BJ216" i="3"/>
  <c r="BK216" i="3"/>
  <c r="BJ217" i="3"/>
  <c r="BK217" i="3"/>
  <c r="BJ218" i="3"/>
  <c r="BK218" i="3"/>
  <c r="BJ219" i="3"/>
  <c r="BK219" i="3"/>
  <c r="BJ220" i="3"/>
  <c r="BK220" i="3"/>
  <c r="BJ221" i="3"/>
  <c r="BK221" i="3"/>
  <c r="BY221" i="3" s="1"/>
  <c r="BZ221" i="3" s="1"/>
  <c r="BJ222" i="3"/>
  <c r="BK222" i="3"/>
  <c r="BJ223" i="3"/>
  <c r="BK223" i="3"/>
  <c r="BJ224" i="3"/>
  <c r="BK224" i="3"/>
  <c r="BJ225" i="3"/>
  <c r="BK225" i="3"/>
  <c r="BJ226" i="3"/>
  <c r="BK226" i="3"/>
  <c r="BJ227" i="3"/>
  <c r="BK227" i="3"/>
  <c r="BJ228" i="3"/>
  <c r="BK228" i="3"/>
  <c r="BJ229" i="3"/>
  <c r="BK229" i="3"/>
  <c r="BJ230" i="3"/>
  <c r="BK230" i="3"/>
  <c r="BJ231" i="3"/>
  <c r="BK231" i="3"/>
  <c r="BJ232" i="3"/>
  <c r="BK232" i="3"/>
  <c r="BJ233" i="3"/>
  <c r="BK233" i="3"/>
  <c r="BJ234" i="3"/>
  <c r="BK234" i="3"/>
  <c r="BJ235" i="3"/>
  <c r="BK235" i="3"/>
  <c r="BJ236" i="3"/>
  <c r="BK236" i="3"/>
  <c r="BJ237" i="3"/>
  <c r="BK237" i="3"/>
  <c r="BY237" i="3" s="1"/>
  <c r="BZ237" i="3" s="1"/>
  <c r="BJ238" i="3"/>
  <c r="BK238" i="3"/>
  <c r="BJ239" i="3"/>
  <c r="BK239" i="3"/>
  <c r="BJ240" i="3"/>
  <c r="BK240" i="3"/>
  <c r="BJ241" i="3"/>
  <c r="BK241" i="3"/>
  <c r="BJ242" i="3"/>
  <c r="BK242" i="3"/>
  <c r="BJ243" i="3"/>
  <c r="BK243" i="3"/>
  <c r="BJ244" i="3"/>
  <c r="BK244" i="3"/>
  <c r="BJ245" i="3"/>
  <c r="BK245" i="3"/>
  <c r="BJ246" i="3"/>
  <c r="BK246" i="3"/>
  <c r="BJ247" i="3"/>
  <c r="BK247" i="3"/>
  <c r="BJ248" i="3"/>
  <c r="BK248" i="3"/>
  <c r="BJ249" i="3"/>
  <c r="BK249" i="3"/>
  <c r="BY249" i="3" s="1"/>
  <c r="BZ249" i="3" s="1"/>
  <c r="BJ250" i="3"/>
  <c r="BK250" i="3"/>
  <c r="BJ251" i="3"/>
  <c r="BK251" i="3"/>
  <c r="BJ252" i="3"/>
  <c r="BK252" i="3"/>
  <c r="BJ253" i="3"/>
  <c r="BK253" i="3"/>
  <c r="BY253" i="3" s="1"/>
  <c r="BZ253" i="3" s="1"/>
  <c r="BJ254" i="3"/>
  <c r="BK254" i="3"/>
  <c r="BJ255" i="3"/>
  <c r="BK255" i="3"/>
  <c r="BJ256" i="3"/>
  <c r="BK256" i="3"/>
  <c r="BJ257" i="3"/>
  <c r="BK257" i="3"/>
  <c r="BJ258" i="3"/>
  <c r="BK258" i="3"/>
  <c r="BJ259" i="3"/>
  <c r="BK259" i="3"/>
  <c r="BJ260" i="3"/>
  <c r="BK260" i="3"/>
  <c r="BJ261" i="3"/>
  <c r="BK261" i="3"/>
  <c r="BJ262" i="3"/>
  <c r="BK262" i="3"/>
  <c r="BJ263" i="3"/>
  <c r="BK263" i="3"/>
  <c r="BJ264" i="3"/>
  <c r="BK264" i="3"/>
  <c r="BJ265" i="3"/>
  <c r="BK265" i="3"/>
  <c r="BJ266" i="3"/>
  <c r="BK266" i="3"/>
  <c r="BJ267" i="3"/>
  <c r="BK267" i="3"/>
  <c r="BJ268" i="3"/>
  <c r="BK268" i="3"/>
  <c r="BJ269" i="3"/>
  <c r="BK269" i="3"/>
  <c r="BY269" i="3" s="1"/>
  <c r="BZ269" i="3" s="1"/>
  <c r="BJ270" i="3"/>
  <c r="BK270" i="3"/>
  <c r="BJ271" i="3"/>
  <c r="BK271" i="3"/>
  <c r="BJ272" i="3"/>
  <c r="BK272" i="3"/>
  <c r="BJ273" i="3"/>
  <c r="BK273" i="3"/>
  <c r="BJ274" i="3"/>
  <c r="BK274" i="3"/>
  <c r="BJ275" i="3"/>
  <c r="BK275" i="3"/>
  <c r="BJ276" i="3"/>
  <c r="BK276" i="3"/>
  <c r="BJ277" i="3"/>
  <c r="BK277" i="3"/>
  <c r="BJ278" i="3"/>
  <c r="BK278" i="3"/>
  <c r="BJ279" i="3"/>
  <c r="BK279" i="3"/>
  <c r="BJ280" i="3"/>
  <c r="BK280" i="3"/>
  <c r="BJ281" i="3"/>
  <c r="BK281" i="3"/>
  <c r="BI6" i="3"/>
  <c r="BI7" i="3"/>
  <c r="BI8" i="3"/>
  <c r="BI9" i="3"/>
  <c r="BI10" i="3"/>
  <c r="BI11" i="3"/>
  <c r="BI12" i="3"/>
  <c r="BI13" i="3"/>
  <c r="BI14" i="3"/>
  <c r="BI15" i="3"/>
  <c r="BI16" i="3"/>
  <c r="BI17" i="3"/>
  <c r="BI18" i="3"/>
  <c r="BI19" i="3"/>
  <c r="BI20" i="3"/>
  <c r="BI21" i="3"/>
  <c r="BI22" i="3"/>
  <c r="BI23" i="3"/>
  <c r="BI24" i="3"/>
  <c r="BI25" i="3"/>
  <c r="BI26" i="3"/>
  <c r="BI27" i="3"/>
  <c r="BI28" i="3"/>
  <c r="BI29" i="3"/>
  <c r="BI30" i="3"/>
  <c r="BI31" i="3"/>
  <c r="BI32" i="3"/>
  <c r="BI33" i="3"/>
  <c r="BI34" i="3"/>
  <c r="BI35" i="3"/>
  <c r="BI36" i="3"/>
  <c r="BI37" i="3"/>
  <c r="BI38" i="3"/>
  <c r="BI39" i="3"/>
  <c r="BI40" i="3"/>
  <c r="BI41" i="3"/>
  <c r="BI42" i="3"/>
  <c r="BI43" i="3"/>
  <c r="BI44" i="3"/>
  <c r="BI45" i="3"/>
  <c r="BI46" i="3"/>
  <c r="BI47" i="3"/>
  <c r="BI48" i="3"/>
  <c r="BI49" i="3"/>
  <c r="BI50" i="3"/>
  <c r="BI51" i="3"/>
  <c r="BI52" i="3"/>
  <c r="BI53" i="3"/>
  <c r="BI54" i="3"/>
  <c r="BI55" i="3"/>
  <c r="BI56" i="3"/>
  <c r="BI57" i="3"/>
  <c r="BI58" i="3"/>
  <c r="BI59" i="3"/>
  <c r="BI60" i="3"/>
  <c r="BI61" i="3"/>
  <c r="BI62" i="3"/>
  <c r="BI63" i="3"/>
  <c r="BI64" i="3"/>
  <c r="BI65" i="3"/>
  <c r="BI66" i="3"/>
  <c r="BI67" i="3"/>
  <c r="BI68" i="3"/>
  <c r="BI69" i="3"/>
  <c r="BI70" i="3"/>
  <c r="BI71" i="3"/>
  <c r="BI72" i="3"/>
  <c r="BI73" i="3"/>
  <c r="BI74" i="3"/>
  <c r="BI75" i="3"/>
  <c r="BI76" i="3"/>
  <c r="BI77" i="3"/>
  <c r="BI78" i="3"/>
  <c r="BI79" i="3"/>
  <c r="BI80" i="3"/>
  <c r="BI81" i="3"/>
  <c r="BI82" i="3"/>
  <c r="BI83" i="3"/>
  <c r="BI84" i="3"/>
  <c r="BI85" i="3"/>
  <c r="BI86" i="3"/>
  <c r="BI87" i="3"/>
  <c r="BI88" i="3"/>
  <c r="BI89" i="3"/>
  <c r="BI90" i="3"/>
  <c r="BI91" i="3"/>
  <c r="BI92" i="3"/>
  <c r="BI93" i="3"/>
  <c r="BI94" i="3"/>
  <c r="BI95" i="3"/>
  <c r="BI96" i="3"/>
  <c r="BI97" i="3"/>
  <c r="BI98" i="3"/>
  <c r="BI99" i="3"/>
  <c r="BI100" i="3"/>
  <c r="BI101" i="3"/>
  <c r="BI102" i="3"/>
  <c r="BI103" i="3"/>
  <c r="BI104" i="3"/>
  <c r="BI105" i="3"/>
  <c r="BI106" i="3"/>
  <c r="BI107" i="3"/>
  <c r="BI108" i="3"/>
  <c r="BI109" i="3"/>
  <c r="BI110" i="3"/>
  <c r="BI111" i="3"/>
  <c r="BI112" i="3"/>
  <c r="BI113" i="3"/>
  <c r="BI114" i="3"/>
  <c r="BI115" i="3"/>
  <c r="BI116" i="3"/>
  <c r="BI117" i="3"/>
  <c r="BI118" i="3"/>
  <c r="BI119" i="3"/>
  <c r="BI120" i="3"/>
  <c r="BI121" i="3"/>
  <c r="BI122" i="3"/>
  <c r="BI123" i="3"/>
  <c r="BI124" i="3"/>
  <c r="BI125" i="3"/>
  <c r="BI126" i="3"/>
  <c r="BI127" i="3"/>
  <c r="BI128" i="3"/>
  <c r="BI129" i="3"/>
  <c r="BI130" i="3"/>
  <c r="BI131" i="3"/>
  <c r="BI132" i="3"/>
  <c r="BI133" i="3"/>
  <c r="BI134" i="3"/>
  <c r="BI135" i="3"/>
  <c r="BI136" i="3"/>
  <c r="BI137" i="3"/>
  <c r="BI138" i="3"/>
  <c r="BI139" i="3"/>
  <c r="BI140" i="3"/>
  <c r="BI141" i="3"/>
  <c r="BI142" i="3"/>
  <c r="BI143" i="3"/>
  <c r="BI144" i="3"/>
  <c r="BI145" i="3"/>
  <c r="BI146" i="3"/>
  <c r="BI147" i="3"/>
  <c r="BI148" i="3"/>
  <c r="BI149" i="3"/>
  <c r="BI150" i="3"/>
  <c r="BI151" i="3"/>
  <c r="BI152" i="3"/>
  <c r="BI153" i="3"/>
  <c r="BI154" i="3"/>
  <c r="BI155" i="3"/>
  <c r="BI156" i="3"/>
  <c r="BI157" i="3"/>
  <c r="BI158" i="3"/>
  <c r="BI159" i="3"/>
  <c r="BI160" i="3"/>
  <c r="BI161" i="3"/>
  <c r="BI162" i="3"/>
  <c r="BI163" i="3"/>
  <c r="BI164" i="3"/>
  <c r="BI165" i="3"/>
  <c r="BI166" i="3"/>
  <c r="BI167" i="3"/>
  <c r="BI168" i="3"/>
  <c r="BI169" i="3"/>
  <c r="BI170" i="3"/>
  <c r="BI171" i="3"/>
  <c r="BI172" i="3"/>
  <c r="BI173" i="3"/>
  <c r="BI174" i="3"/>
  <c r="BI175" i="3"/>
  <c r="BI176" i="3"/>
  <c r="BI177" i="3"/>
  <c r="BI178" i="3"/>
  <c r="BI179" i="3"/>
  <c r="BI180" i="3"/>
  <c r="BI181" i="3"/>
  <c r="BI182" i="3"/>
  <c r="BI183" i="3"/>
  <c r="BI184" i="3"/>
  <c r="BI185" i="3"/>
  <c r="BI186" i="3"/>
  <c r="BI187" i="3"/>
  <c r="BI188" i="3"/>
  <c r="BI189" i="3"/>
  <c r="BI190" i="3"/>
  <c r="BI191" i="3"/>
  <c r="BI192" i="3"/>
  <c r="BI193" i="3"/>
  <c r="BI194" i="3"/>
  <c r="BI195" i="3"/>
  <c r="BI196" i="3"/>
  <c r="BI197" i="3"/>
  <c r="BI198" i="3"/>
  <c r="BI199" i="3"/>
  <c r="BI200" i="3"/>
  <c r="BI201" i="3"/>
  <c r="BI202" i="3"/>
  <c r="BI203" i="3"/>
  <c r="BI204" i="3"/>
  <c r="BI205" i="3"/>
  <c r="BI206" i="3"/>
  <c r="BI207" i="3"/>
  <c r="BI208" i="3"/>
  <c r="BI209" i="3"/>
  <c r="BI210" i="3"/>
  <c r="BI211" i="3"/>
  <c r="BI212" i="3"/>
  <c r="BI213" i="3"/>
  <c r="BI214" i="3"/>
  <c r="BI215" i="3"/>
  <c r="BI216" i="3"/>
  <c r="BI217" i="3"/>
  <c r="BI218" i="3"/>
  <c r="BI219" i="3"/>
  <c r="BI220" i="3"/>
  <c r="BI221" i="3"/>
  <c r="BI222" i="3"/>
  <c r="BI223" i="3"/>
  <c r="BI224" i="3"/>
  <c r="BI225" i="3"/>
  <c r="BI226" i="3"/>
  <c r="BI227" i="3"/>
  <c r="BI228" i="3"/>
  <c r="BI229" i="3"/>
  <c r="BI230" i="3"/>
  <c r="BI231" i="3"/>
  <c r="BI232" i="3"/>
  <c r="BI233" i="3"/>
  <c r="BI234" i="3"/>
  <c r="BI235" i="3"/>
  <c r="BI236" i="3"/>
  <c r="BI237" i="3"/>
  <c r="BI238" i="3"/>
  <c r="BI239" i="3"/>
  <c r="BI240" i="3"/>
  <c r="BI241" i="3"/>
  <c r="BI242" i="3"/>
  <c r="BI243" i="3"/>
  <c r="BI244" i="3"/>
  <c r="BI245" i="3"/>
  <c r="BI246" i="3"/>
  <c r="BI247" i="3"/>
  <c r="BI248" i="3"/>
  <c r="BI249" i="3"/>
  <c r="BI250" i="3"/>
  <c r="BI251" i="3"/>
  <c r="BI252" i="3"/>
  <c r="BI253" i="3"/>
  <c r="BI254" i="3"/>
  <c r="BI255" i="3"/>
  <c r="BI256" i="3"/>
  <c r="BI257" i="3"/>
  <c r="BI258" i="3"/>
  <c r="BI259" i="3"/>
  <c r="BI260" i="3"/>
  <c r="BI261" i="3"/>
  <c r="BI262" i="3"/>
  <c r="BI263" i="3"/>
  <c r="BI264" i="3"/>
  <c r="BI265" i="3"/>
  <c r="BI266" i="3"/>
  <c r="BI267" i="3"/>
  <c r="BI268" i="3"/>
  <c r="BI269" i="3"/>
  <c r="BI270" i="3"/>
  <c r="BI271" i="3"/>
  <c r="BI272" i="3"/>
  <c r="BI273" i="3"/>
  <c r="BI274" i="3"/>
  <c r="BI275" i="3"/>
  <c r="BI276" i="3"/>
  <c r="BI277" i="3"/>
  <c r="BI278" i="3"/>
  <c r="BI279" i="3"/>
  <c r="BI280" i="3"/>
  <c r="BI281" i="3"/>
  <c r="BF6" i="3"/>
  <c r="BF7" i="3"/>
  <c r="BF8" i="3"/>
  <c r="BF9" i="3"/>
  <c r="BF10" i="3"/>
  <c r="BF11" i="3"/>
  <c r="BF12" i="3"/>
  <c r="BF13" i="3"/>
  <c r="BF14" i="3"/>
  <c r="BF15" i="3"/>
  <c r="BF16" i="3"/>
  <c r="BF17" i="3"/>
  <c r="BF18" i="3"/>
  <c r="BF19" i="3"/>
  <c r="BF20" i="3"/>
  <c r="BF21" i="3"/>
  <c r="BF22" i="3"/>
  <c r="BF23" i="3"/>
  <c r="BF24" i="3"/>
  <c r="BF25" i="3"/>
  <c r="BF26" i="3"/>
  <c r="BF27" i="3"/>
  <c r="BF28" i="3"/>
  <c r="BF29" i="3"/>
  <c r="BF30" i="3"/>
  <c r="BF31" i="3"/>
  <c r="BF32" i="3"/>
  <c r="BF33" i="3"/>
  <c r="BF34" i="3"/>
  <c r="BF35" i="3"/>
  <c r="BF36" i="3"/>
  <c r="BF37" i="3"/>
  <c r="BF38" i="3"/>
  <c r="BF39" i="3"/>
  <c r="BF40" i="3"/>
  <c r="BF41" i="3"/>
  <c r="BF42" i="3"/>
  <c r="BF43" i="3"/>
  <c r="BF44" i="3"/>
  <c r="BF45" i="3"/>
  <c r="BF46" i="3"/>
  <c r="BF47" i="3"/>
  <c r="BF48" i="3"/>
  <c r="BF49" i="3"/>
  <c r="BF50" i="3"/>
  <c r="BF51" i="3"/>
  <c r="BF52" i="3"/>
  <c r="BF53" i="3"/>
  <c r="BF54" i="3"/>
  <c r="BF55" i="3"/>
  <c r="BF56" i="3"/>
  <c r="BF57" i="3"/>
  <c r="BF58" i="3"/>
  <c r="BF59" i="3"/>
  <c r="BF60" i="3"/>
  <c r="BF61" i="3"/>
  <c r="BF62" i="3"/>
  <c r="BF63" i="3"/>
  <c r="BF64" i="3"/>
  <c r="BF65" i="3"/>
  <c r="BF66" i="3"/>
  <c r="BF67" i="3"/>
  <c r="BF68" i="3"/>
  <c r="BF69" i="3"/>
  <c r="BF70" i="3"/>
  <c r="BF71" i="3"/>
  <c r="BF72" i="3"/>
  <c r="BF73" i="3"/>
  <c r="BF74" i="3"/>
  <c r="BF75" i="3"/>
  <c r="BF76" i="3"/>
  <c r="BF77" i="3"/>
  <c r="BF78" i="3"/>
  <c r="BF79" i="3"/>
  <c r="BF80" i="3"/>
  <c r="BF81" i="3"/>
  <c r="BF82" i="3"/>
  <c r="BF83" i="3"/>
  <c r="BF84" i="3"/>
  <c r="BF85" i="3"/>
  <c r="BF86" i="3"/>
  <c r="BF87" i="3"/>
  <c r="BF88" i="3"/>
  <c r="BF89" i="3"/>
  <c r="BF90" i="3"/>
  <c r="BF91" i="3"/>
  <c r="BF92" i="3"/>
  <c r="BF93" i="3"/>
  <c r="BF94" i="3"/>
  <c r="BF95" i="3"/>
  <c r="BF96" i="3"/>
  <c r="BF97" i="3"/>
  <c r="BF98" i="3"/>
  <c r="BF99" i="3"/>
  <c r="BF100" i="3"/>
  <c r="BF101" i="3"/>
  <c r="BF102" i="3"/>
  <c r="BF103" i="3"/>
  <c r="BF104" i="3"/>
  <c r="BF105" i="3"/>
  <c r="BF106" i="3"/>
  <c r="BF107" i="3"/>
  <c r="BF108" i="3"/>
  <c r="BF109" i="3"/>
  <c r="BF110" i="3"/>
  <c r="BF111" i="3"/>
  <c r="BF112" i="3"/>
  <c r="BF113" i="3"/>
  <c r="BF114" i="3"/>
  <c r="BF115" i="3"/>
  <c r="BF116" i="3"/>
  <c r="BF117" i="3"/>
  <c r="BF118" i="3"/>
  <c r="BF119" i="3"/>
  <c r="BF120" i="3"/>
  <c r="BF121" i="3"/>
  <c r="BF122" i="3"/>
  <c r="BF123" i="3"/>
  <c r="BF124" i="3"/>
  <c r="BF125" i="3"/>
  <c r="BF126" i="3"/>
  <c r="BF127" i="3"/>
  <c r="BF128" i="3"/>
  <c r="BF129" i="3"/>
  <c r="BF130" i="3"/>
  <c r="BF131" i="3"/>
  <c r="BF132" i="3"/>
  <c r="BF133" i="3"/>
  <c r="BF134" i="3"/>
  <c r="BF135" i="3"/>
  <c r="BF136" i="3"/>
  <c r="BF137" i="3"/>
  <c r="BF138" i="3"/>
  <c r="BF139" i="3"/>
  <c r="BF140" i="3"/>
  <c r="BF141" i="3"/>
  <c r="BF142" i="3"/>
  <c r="BF143" i="3"/>
  <c r="BF144" i="3"/>
  <c r="BF145" i="3"/>
  <c r="BF146" i="3"/>
  <c r="BF147" i="3"/>
  <c r="BF148" i="3"/>
  <c r="BF149" i="3"/>
  <c r="BF150" i="3"/>
  <c r="BF151" i="3"/>
  <c r="BF152" i="3"/>
  <c r="BF153" i="3"/>
  <c r="BF154" i="3"/>
  <c r="BF155" i="3"/>
  <c r="BF156" i="3"/>
  <c r="BF157" i="3"/>
  <c r="BF158" i="3"/>
  <c r="BF159" i="3"/>
  <c r="BF160" i="3"/>
  <c r="BF161" i="3"/>
  <c r="BF162" i="3"/>
  <c r="BF163" i="3"/>
  <c r="BF164" i="3"/>
  <c r="BF165" i="3"/>
  <c r="BF166" i="3"/>
  <c r="BF167" i="3"/>
  <c r="BF168" i="3"/>
  <c r="BF169" i="3"/>
  <c r="BF170" i="3"/>
  <c r="BF171" i="3"/>
  <c r="BF172" i="3"/>
  <c r="BF173" i="3"/>
  <c r="BF174" i="3"/>
  <c r="BF175" i="3"/>
  <c r="BF176" i="3"/>
  <c r="BF177" i="3"/>
  <c r="BF178" i="3"/>
  <c r="BF179" i="3"/>
  <c r="BF180" i="3"/>
  <c r="BF181" i="3"/>
  <c r="BF182" i="3"/>
  <c r="BF183" i="3"/>
  <c r="BF184" i="3"/>
  <c r="BF185" i="3"/>
  <c r="BF186" i="3"/>
  <c r="BF187" i="3"/>
  <c r="BF188" i="3"/>
  <c r="BF189" i="3"/>
  <c r="BF190" i="3"/>
  <c r="BF191" i="3"/>
  <c r="BF192" i="3"/>
  <c r="BF193" i="3"/>
  <c r="BF194" i="3"/>
  <c r="BF195" i="3"/>
  <c r="BF196" i="3"/>
  <c r="BF197" i="3"/>
  <c r="BF198" i="3"/>
  <c r="BF199" i="3"/>
  <c r="BF200" i="3"/>
  <c r="BF201" i="3"/>
  <c r="BF202" i="3"/>
  <c r="BF203" i="3"/>
  <c r="BF204" i="3"/>
  <c r="BF205" i="3"/>
  <c r="BF206" i="3"/>
  <c r="BF207" i="3"/>
  <c r="BF208" i="3"/>
  <c r="BF209" i="3"/>
  <c r="BF210" i="3"/>
  <c r="BF211" i="3"/>
  <c r="BF212" i="3"/>
  <c r="BF213" i="3"/>
  <c r="BF214" i="3"/>
  <c r="BF215" i="3"/>
  <c r="BF216" i="3"/>
  <c r="BF217" i="3"/>
  <c r="BF218" i="3"/>
  <c r="BF219" i="3"/>
  <c r="BF220" i="3"/>
  <c r="BF221" i="3"/>
  <c r="BF222" i="3"/>
  <c r="BF223" i="3"/>
  <c r="BF224" i="3"/>
  <c r="BF225" i="3"/>
  <c r="BF226" i="3"/>
  <c r="BF227" i="3"/>
  <c r="BF228" i="3"/>
  <c r="BF229" i="3"/>
  <c r="BF230" i="3"/>
  <c r="BF231" i="3"/>
  <c r="BF232" i="3"/>
  <c r="BF233" i="3"/>
  <c r="BF234" i="3"/>
  <c r="BF235" i="3"/>
  <c r="BF236" i="3"/>
  <c r="BF237" i="3"/>
  <c r="BF238" i="3"/>
  <c r="BF239" i="3"/>
  <c r="BF240" i="3"/>
  <c r="BF241" i="3"/>
  <c r="BF242" i="3"/>
  <c r="BF243" i="3"/>
  <c r="BF244" i="3"/>
  <c r="BF245" i="3"/>
  <c r="BF246" i="3"/>
  <c r="BF247" i="3"/>
  <c r="BF248" i="3"/>
  <c r="BF249" i="3"/>
  <c r="BF250" i="3"/>
  <c r="BF251" i="3"/>
  <c r="BF252" i="3"/>
  <c r="BF253" i="3"/>
  <c r="BF254" i="3"/>
  <c r="BF255" i="3"/>
  <c r="BF256" i="3"/>
  <c r="BF257" i="3"/>
  <c r="BF258" i="3"/>
  <c r="BF259" i="3"/>
  <c r="BF260" i="3"/>
  <c r="BF261" i="3"/>
  <c r="BF262" i="3"/>
  <c r="BF263" i="3"/>
  <c r="BF264" i="3"/>
  <c r="BF265" i="3"/>
  <c r="BF266" i="3"/>
  <c r="BF267" i="3"/>
  <c r="BF268" i="3"/>
  <c r="BF269" i="3"/>
  <c r="BF270" i="3"/>
  <c r="BF271" i="3"/>
  <c r="BF272" i="3"/>
  <c r="BF273" i="3"/>
  <c r="BF274" i="3"/>
  <c r="BF275" i="3"/>
  <c r="BF276" i="3"/>
  <c r="BF277" i="3"/>
  <c r="BF278" i="3"/>
  <c r="BF279" i="3"/>
  <c r="BF280" i="3"/>
  <c r="BF281" i="3"/>
  <c r="BC6" i="3"/>
  <c r="BC7" i="3"/>
  <c r="BC8" i="3"/>
  <c r="BC9" i="3"/>
  <c r="BC10" i="3"/>
  <c r="BC11" i="3"/>
  <c r="BC12" i="3"/>
  <c r="BC13" i="3"/>
  <c r="BC14" i="3"/>
  <c r="BC15" i="3"/>
  <c r="BC16" i="3"/>
  <c r="BC17" i="3"/>
  <c r="BC18" i="3"/>
  <c r="BC19" i="3"/>
  <c r="BC20" i="3"/>
  <c r="BC21" i="3"/>
  <c r="BC22" i="3"/>
  <c r="BC23" i="3"/>
  <c r="BC24" i="3"/>
  <c r="BC25" i="3"/>
  <c r="BC26" i="3"/>
  <c r="BC27" i="3"/>
  <c r="BC28" i="3"/>
  <c r="BC29" i="3"/>
  <c r="BC30" i="3"/>
  <c r="BC31" i="3"/>
  <c r="BC32" i="3"/>
  <c r="BC33" i="3"/>
  <c r="BC34" i="3"/>
  <c r="BC35" i="3"/>
  <c r="BC36" i="3"/>
  <c r="BC37" i="3"/>
  <c r="BC38" i="3"/>
  <c r="BC39" i="3"/>
  <c r="BC40" i="3"/>
  <c r="BC41" i="3"/>
  <c r="BC42" i="3"/>
  <c r="BC43" i="3"/>
  <c r="BC44" i="3"/>
  <c r="BC45" i="3"/>
  <c r="BC46" i="3"/>
  <c r="BC47" i="3"/>
  <c r="BC48" i="3"/>
  <c r="BC49" i="3"/>
  <c r="BC50" i="3"/>
  <c r="BC51" i="3"/>
  <c r="BC52" i="3"/>
  <c r="BC53" i="3"/>
  <c r="BC54" i="3"/>
  <c r="BC55" i="3"/>
  <c r="BC56" i="3"/>
  <c r="BC57" i="3"/>
  <c r="BC58" i="3"/>
  <c r="BC59" i="3"/>
  <c r="BC60" i="3"/>
  <c r="BC61" i="3"/>
  <c r="BC62" i="3"/>
  <c r="BC63" i="3"/>
  <c r="BC64" i="3"/>
  <c r="BC65" i="3"/>
  <c r="BC66" i="3"/>
  <c r="BC67" i="3"/>
  <c r="BC68" i="3"/>
  <c r="BC69" i="3"/>
  <c r="BC70" i="3"/>
  <c r="BC71" i="3"/>
  <c r="BC72" i="3"/>
  <c r="BC73" i="3"/>
  <c r="BC74" i="3"/>
  <c r="BC75" i="3"/>
  <c r="BC76" i="3"/>
  <c r="BC77" i="3"/>
  <c r="BC78" i="3"/>
  <c r="BC79" i="3"/>
  <c r="BC80" i="3"/>
  <c r="BC81" i="3"/>
  <c r="BC82" i="3"/>
  <c r="BC83" i="3"/>
  <c r="BC84" i="3"/>
  <c r="BC85" i="3"/>
  <c r="BC86" i="3"/>
  <c r="BC87" i="3"/>
  <c r="BC88" i="3"/>
  <c r="BC89" i="3"/>
  <c r="BC90" i="3"/>
  <c r="BC91" i="3"/>
  <c r="BC92" i="3"/>
  <c r="BC93" i="3"/>
  <c r="BC94" i="3"/>
  <c r="BC95" i="3"/>
  <c r="BC96" i="3"/>
  <c r="BC97" i="3"/>
  <c r="BC98" i="3"/>
  <c r="BC99" i="3"/>
  <c r="BC100" i="3"/>
  <c r="BC101" i="3"/>
  <c r="BC102" i="3"/>
  <c r="BC103" i="3"/>
  <c r="BC104" i="3"/>
  <c r="BC105" i="3"/>
  <c r="BC106" i="3"/>
  <c r="BC107" i="3"/>
  <c r="BC108" i="3"/>
  <c r="BC109" i="3"/>
  <c r="BC110" i="3"/>
  <c r="BC111" i="3"/>
  <c r="BC112" i="3"/>
  <c r="BC113" i="3"/>
  <c r="BC114" i="3"/>
  <c r="BC115" i="3"/>
  <c r="BC116" i="3"/>
  <c r="BC117" i="3"/>
  <c r="BC118" i="3"/>
  <c r="BC119" i="3"/>
  <c r="BC120" i="3"/>
  <c r="BC121" i="3"/>
  <c r="BC122" i="3"/>
  <c r="BC123" i="3"/>
  <c r="BC124" i="3"/>
  <c r="BC125" i="3"/>
  <c r="BC126" i="3"/>
  <c r="BC127" i="3"/>
  <c r="BC128" i="3"/>
  <c r="BC129" i="3"/>
  <c r="BC130" i="3"/>
  <c r="BC131" i="3"/>
  <c r="BC132" i="3"/>
  <c r="BC133" i="3"/>
  <c r="BC134" i="3"/>
  <c r="BC135" i="3"/>
  <c r="BC136" i="3"/>
  <c r="BC137" i="3"/>
  <c r="BC138" i="3"/>
  <c r="BC139" i="3"/>
  <c r="BC140" i="3"/>
  <c r="BC141" i="3"/>
  <c r="BC142" i="3"/>
  <c r="BC143" i="3"/>
  <c r="BC144" i="3"/>
  <c r="BC145" i="3"/>
  <c r="BC146" i="3"/>
  <c r="BC147" i="3"/>
  <c r="BC148" i="3"/>
  <c r="BC149" i="3"/>
  <c r="BC150" i="3"/>
  <c r="BC151" i="3"/>
  <c r="BC152" i="3"/>
  <c r="BC153" i="3"/>
  <c r="BC154" i="3"/>
  <c r="BC155" i="3"/>
  <c r="BC156" i="3"/>
  <c r="BC157" i="3"/>
  <c r="BC158" i="3"/>
  <c r="BC159" i="3"/>
  <c r="BC160" i="3"/>
  <c r="BC161" i="3"/>
  <c r="BC162" i="3"/>
  <c r="BC163" i="3"/>
  <c r="BC164" i="3"/>
  <c r="BC165" i="3"/>
  <c r="BC166" i="3"/>
  <c r="BC167" i="3"/>
  <c r="BC168" i="3"/>
  <c r="BC169" i="3"/>
  <c r="BC170" i="3"/>
  <c r="BC171" i="3"/>
  <c r="BC172" i="3"/>
  <c r="BC173" i="3"/>
  <c r="BC174" i="3"/>
  <c r="BC175" i="3"/>
  <c r="BC176" i="3"/>
  <c r="BC177" i="3"/>
  <c r="BC178" i="3"/>
  <c r="BC179" i="3"/>
  <c r="BC180" i="3"/>
  <c r="BC181" i="3"/>
  <c r="BC182" i="3"/>
  <c r="BC183" i="3"/>
  <c r="BC184" i="3"/>
  <c r="BC185" i="3"/>
  <c r="BC186" i="3"/>
  <c r="BC187" i="3"/>
  <c r="BC188" i="3"/>
  <c r="BC189" i="3"/>
  <c r="BC190" i="3"/>
  <c r="BC191" i="3"/>
  <c r="BC192" i="3"/>
  <c r="BC193" i="3"/>
  <c r="BC194" i="3"/>
  <c r="BC195" i="3"/>
  <c r="BC196" i="3"/>
  <c r="BC197" i="3"/>
  <c r="BC198" i="3"/>
  <c r="BC199" i="3"/>
  <c r="BC200" i="3"/>
  <c r="BC201" i="3"/>
  <c r="BC202" i="3"/>
  <c r="BC203" i="3"/>
  <c r="BC204" i="3"/>
  <c r="BC205" i="3"/>
  <c r="BC206" i="3"/>
  <c r="BC207" i="3"/>
  <c r="BC208" i="3"/>
  <c r="BC209" i="3"/>
  <c r="BC210" i="3"/>
  <c r="BC211" i="3"/>
  <c r="BC212" i="3"/>
  <c r="BC213" i="3"/>
  <c r="BC214" i="3"/>
  <c r="BC215" i="3"/>
  <c r="BC216" i="3"/>
  <c r="BC217" i="3"/>
  <c r="BC218" i="3"/>
  <c r="BC219" i="3"/>
  <c r="BC220" i="3"/>
  <c r="BC221" i="3"/>
  <c r="BC222" i="3"/>
  <c r="BC223" i="3"/>
  <c r="BC224" i="3"/>
  <c r="BC225" i="3"/>
  <c r="BC226" i="3"/>
  <c r="BC227" i="3"/>
  <c r="BC228" i="3"/>
  <c r="BC229" i="3"/>
  <c r="BC230" i="3"/>
  <c r="BC231" i="3"/>
  <c r="BC232" i="3"/>
  <c r="BC233" i="3"/>
  <c r="BC234" i="3"/>
  <c r="BC235" i="3"/>
  <c r="BC236" i="3"/>
  <c r="BC237" i="3"/>
  <c r="BC238" i="3"/>
  <c r="BC239" i="3"/>
  <c r="BC240" i="3"/>
  <c r="BC241" i="3"/>
  <c r="BC242" i="3"/>
  <c r="BC243" i="3"/>
  <c r="BC244" i="3"/>
  <c r="BC245" i="3"/>
  <c r="BC246" i="3"/>
  <c r="BC247" i="3"/>
  <c r="BC248" i="3"/>
  <c r="BC249" i="3"/>
  <c r="BC250" i="3"/>
  <c r="BC251" i="3"/>
  <c r="BC252" i="3"/>
  <c r="BC253" i="3"/>
  <c r="BC254" i="3"/>
  <c r="BC255" i="3"/>
  <c r="BC256" i="3"/>
  <c r="BC257" i="3"/>
  <c r="BC258" i="3"/>
  <c r="BC259" i="3"/>
  <c r="BC260" i="3"/>
  <c r="BC261" i="3"/>
  <c r="BC262" i="3"/>
  <c r="BC263" i="3"/>
  <c r="BC264" i="3"/>
  <c r="BC265" i="3"/>
  <c r="BC266" i="3"/>
  <c r="BC267" i="3"/>
  <c r="BC268" i="3"/>
  <c r="BC269" i="3"/>
  <c r="BC270" i="3"/>
  <c r="BC271" i="3"/>
  <c r="BC272" i="3"/>
  <c r="BC273" i="3"/>
  <c r="BC274" i="3"/>
  <c r="BC275" i="3"/>
  <c r="BC276" i="3"/>
  <c r="BC277" i="3"/>
  <c r="BC278" i="3"/>
  <c r="BC279" i="3"/>
  <c r="BC280" i="3"/>
  <c r="BC281" i="3"/>
  <c r="BK5" i="3"/>
  <c r="BJ5" i="3"/>
  <c r="BI5" i="3"/>
  <c r="BF5" i="3"/>
  <c r="BC5" i="3"/>
  <c r="DM179" i="3"/>
  <c r="DM180" i="3"/>
  <c r="DM181" i="3"/>
  <c r="DM182" i="3"/>
  <c r="DM183" i="3"/>
  <c r="DM184" i="3"/>
  <c r="DM185" i="3"/>
  <c r="DM186" i="3"/>
  <c r="DM187" i="3"/>
  <c r="DM188" i="3"/>
  <c r="DM189" i="3"/>
  <c r="DM190" i="3"/>
  <c r="DM226" i="3"/>
  <c r="DM225" i="3"/>
  <c r="DM224" i="3"/>
  <c r="DM223" i="3"/>
  <c r="DM222" i="3"/>
  <c r="DM221" i="3"/>
  <c r="DM220" i="3"/>
  <c r="DM219" i="3"/>
  <c r="DM218" i="3"/>
  <c r="DM217" i="3"/>
  <c r="DM215" i="3"/>
  <c r="DM214" i="3"/>
  <c r="DM213" i="3"/>
  <c r="DM212" i="3"/>
  <c r="DM211" i="3"/>
  <c r="DM210" i="3"/>
  <c r="DM209" i="3"/>
  <c r="DM208" i="3"/>
  <c r="DM207" i="3"/>
  <c r="DM206" i="3"/>
  <c r="DM205" i="3"/>
  <c r="DM204" i="3"/>
  <c r="DM203" i="3"/>
  <c r="DM202" i="3"/>
  <c r="DM201" i="3"/>
  <c r="DM200" i="3"/>
  <c r="DM199" i="3"/>
  <c r="DM198" i="3"/>
  <c r="DM197" i="3"/>
  <c r="DM196" i="3"/>
  <c r="DM195" i="3"/>
  <c r="DM194" i="3"/>
  <c r="DM193" i="3"/>
  <c r="DM192" i="3"/>
  <c r="DM191" i="3"/>
  <c r="DM178" i="3"/>
  <c r="DM177" i="3"/>
  <c r="DM176" i="3"/>
  <c r="DM175" i="3"/>
  <c r="DM174" i="3"/>
  <c r="DM173" i="3"/>
  <c r="DM172" i="3"/>
  <c r="DM171" i="3"/>
  <c r="DM170" i="3"/>
  <c r="DM169" i="3"/>
  <c r="DM168" i="3"/>
  <c r="DM165" i="3"/>
  <c r="DM164" i="3"/>
  <c r="DM163" i="3"/>
  <c r="DM162" i="3"/>
  <c r="DM161" i="3"/>
  <c r="DM160" i="3"/>
  <c r="DM159" i="3"/>
  <c r="DM158" i="3"/>
  <c r="DM157" i="3"/>
  <c r="DM156" i="3"/>
  <c r="DM155" i="3"/>
  <c r="DM154" i="3"/>
  <c r="DM153" i="3"/>
  <c r="DM152" i="3"/>
  <c r="DM151" i="3"/>
  <c r="DM150" i="3"/>
  <c r="DM149" i="3"/>
  <c r="DM148" i="3"/>
  <c r="DM147" i="3"/>
  <c r="DM146" i="3"/>
  <c r="DM145" i="3"/>
  <c r="DM144" i="3"/>
  <c r="DM143" i="3"/>
  <c r="DM142" i="3"/>
  <c r="DM141" i="3"/>
  <c r="DM140" i="3"/>
  <c r="DM139" i="3"/>
  <c r="DM138" i="3"/>
  <c r="DM137" i="3"/>
  <c r="DM136" i="3"/>
  <c r="DM135" i="3"/>
  <c r="DM134" i="3"/>
  <c r="DM133" i="3"/>
  <c r="DM132" i="3"/>
  <c r="DM131" i="3"/>
  <c r="DM130" i="3"/>
  <c r="DM129" i="3"/>
  <c r="DM128" i="3"/>
  <c r="DM127" i="3"/>
  <c r="DM126" i="3"/>
  <c r="DM125" i="3"/>
  <c r="DM124" i="3"/>
  <c r="DM123" i="3"/>
  <c r="DM122" i="3"/>
  <c r="DM121" i="3"/>
  <c r="DM120" i="3"/>
  <c r="DM119" i="3"/>
  <c r="DM118" i="3"/>
  <c r="DM117" i="3"/>
  <c r="DM116" i="3"/>
  <c r="DM115" i="3"/>
  <c r="DM114" i="3"/>
  <c r="DM113" i="3"/>
  <c r="DM112" i="3"/>
  <c r="DM111" i="3"/>
  <c r="DM110" i="3"/>
  <c r="DM109" i="3"/>
  <c r="DM108" i="3"/>
  <c r="DM107" i="3"/>
  <c r="DM106" i="3"/>
  <c r="DM105" i="3"/>
  <c r="DM104" i="3"/>
  <c r="DM103" i="3"/>
  <c r="DM102" i="3"/>
  <c r="DM101" i="3"/>
  <c r="DM100" i="3"/>
  <c r="DM99" i="3"/>
  <c r="DM98" i="3"/>
  <c r="DM97" i="3"/>
  <c r="DM96" i="3"/>
  <c r="DM95" i="3"/>
  <c r="DM94" i="3"/>
  <c r="DM93" i="3"/>
  <c r="DM92" i="3"/>
  <c r="DM91" i="3"/>
  <c r="DM90" i="3"/>
  <c r="DM89" i="3"/>
  <c r="DM88" i="3"/>
  <c r="DM87" i="3"/>
  <c r="DM86" i="3"/>
  <c r="DM85" i="3"/>
  <c r="DM84" i="3"/>
  <c r="DM83" i="3"/>
  <c r="DM82" i="3"/>
  <c r="DM81" i="3"/>
  <c r="DM80" i="3"/>
  <c r="DM79" i="3"/>
  <c r="DM78" i="3"/>
  <c r="DM77" i="3"/>
  <c r="DM76" i="3"/>
  <c r="DM75" i="3"/>
  <c r="DM74" i="3"/>
  <c r="DM73" i="3"/>
  <c r="DM72" i="3"/>
  <c r="DM71" i="3"/>
  <c r="DM70" i="3"/>
  <c r="DM69" i="3"/>
  <c r="DM68" i="3"/>
  <c r="DM67" i="3"/>
  <c r="DM66" i="3"/>
  <c r="DM65" i="3"/>
  <c r="DM64" i="3"/>
  <c r="DM63" i="3"/>
  <c r="DM62" i="3"/>
  <c r="DM61" i="3"/>
  <c r="DM60" i="3"/>
  <c r="DM59" i="3"/>
  <c r="DM58" i="3"/>
  <c r="DM57" i="3"/>
  <c r="DM56" i="3"/>
  <c r="DM55" i="3"/>
  <c r="DM54" i="3"/>
  <c r="DM53" i="3"/>
  <c r="DM52" i="3"/>
  <c r="DM51" i="3"/>
  <c r="DM50" i="3"/>
  <c r="DM49" i="3"/>
  <c r="DM48" i="3"/>
  <c r="DM47" i="3"/>
  <c r="DM46" i="3"/>
  <c r="DM45" i="3"/>
  <c r="DM44" i="3"/>
  <c r="DM43" i="3"/>
  <c r="DM42" i="3"/>
  <c r="DM41" i="3"/>
  <c r="DM40" i="3"/>
  <c r="DM39" i="3"/>
  <c r="DM38" i="3"/>
  <c r="DM37" i="3"/>
  <c r="DM36" i="3"/>
  <c r="DM35" i="3"/>
  <c r="DM34" i="3"/>
  <c r="DM33" i="3"/>
  <c r="DM32" i="3"/>
  <c r="DM31" i="3"/>
  <c r="DM30" i="3"/>
  <c r="DM29" i="3"/>
  <c r="DM28" i="3"/>
  <c r="DM27" i="3"/>
  <c r="DM26" i="3"/>
  <c r="DM25" i="3"/>
  <c r="DM24" i="3"/>
  <c r="DM23" i="3"/>
  <c r="DM22" i="3"/>
  <c r="DM21" i="3"/>
  <c r="DM20" i="3"/>
  <c r="DM19" i="3"/>
  <c r="DM18" i="3"/>
  <c r="DM17" i="3"/>
  <c r="DM16" i="3"/>
  <c r="DM15" i="3"/>
  <c r="DM14" i="3"/>
  <c r="DM13" i="3"/>
  <c r="DM12" i="3"/>
  <c r="DM11" i="3"/>
  <c r="DM10" i="3"/>
  <c r="DM9" i="3"/>
  <c r="DM8" i="3"/>
  <c r="DM7" i="3"/>
  <c r="DM6" i="3"/>
  <c r="DM5" i="3"/>
  <c r="BY268" i="3" l="1"/>
  <c r="BZ268" i="3" s="1"/>
  <c r="BY266" i="3"/>
  <c r="BZ266" i="3" s="1"/>
  <c r="BY252" i="3"/>
  <c r="BZ252" i="3" s="1"/>
  <c r="BY250" i="3"/>
  <c r="BZ250" i="3" s="1"/>
  <c r="BY236" i="3"/>
  <c r="BZ236" i="3" s="1"/>
  <c r="BY234" i="3"/>
  <c r="BZ234" i="3" s="1"/>
  <c r="BL280" i="3"/>
  <c r="BL278" i="3"/>
  <c r="BL276" i="3"/>
  <c r="BL274" i="3"/>
  <c r="BL272" i="3"/>
  <c r="BL264" i="3"/>
  <c r="BL262" i="3"/>
  <c r="BL260" i="3"/>
  <c r="BL258" i="3"/>
  <c r="BL248" i="3"/>
  <c r="BL246" i="3"/>
  <c r="BL244" i="3"/>
  <c r="BL242" i="3"/>
  <c r="BL232" i="3"/>
  <c r="BL230" i="3"/>
  <c r="BL228" i="3"/>
  <c r="BL226" i="3"/>
  <c r="BL216" i="3"/>
  <c r="BL212" i="3"/>
  <c r="BL210" i="3"/>
  <c r="BL206" i="3"/>
  <c r="BL61" i="3"/>
  <c r="BL57" i="3"/>
  <c r="BX257" i="3"/>
  <c r="BX229" i="3"/>
  <c r="BX225" i="3"/>
  <c r="BX209" i="3"/>
  <c r="BX193" i="3"/>
  <c r="BX177" i="3"/>
  <c r="BX12" i="3"/>
  <c r="BX10" i="3"/>
  <c r="BX8" i="3"/>
  <c r="BX6" i="3"/>
  <c r="BL237" i="3"/>
  <c r="BX261" i="3"/>
  <c r="BX133" i="3"/>
  <c r="BX125" i="3"/>
  <c r="BX121" i="3"/>
  <c r="BX117" i="3"/>
  <c r="BX105" i="3"/>
  <c r="BX103" i="3"/>
  <c r="BX65" i="3"/>
  <c r="BX61" i="3"/>
  <c r="BX59" i="3"/>
  <c r="BX49" i="3"/>
  <c r="BX47" i="3"/>
  <c r="BX45" i="3"/>
  <c r="BX41" i="3"/>
  <c r="BX37" i="3"/>
  <c r="BX25" i="3"/>
  <c r="BX17" i="3"/>
  <c r="BX35" i="3"/>
  <c r="BX29" i="3"/>
  <c r="BX27" i="3"/>
  <c r="BX21" i="3"/>
  <c r="BX19" i="3"/>
  <c r="BL189" i="3"/>
  <c r="BL157" i="3"/>
  <c r="BL125" i="3"/>
  <c r="BL93" i="3"/>
  <c r="BL89" i="3"/>
  <c r="BL77" i="3"/>
  <c r="BL69" i="3"/>
  <c r="BX244" i="3"/>
  <c r="BX242" i="3"/>
  <c r="BX240" i="3"/>
  <c r="BX238" i="3"/>
  <c r="BX236" i="3"/>
  <c r="BX234" i="3"/>
  <c r="BX212" i="3"/>
  <c r="BX210" i="3"/>
  <c r="BX208" i="3"/>
  <c r="BX206" i="3"/>
  <c r="BX204" i="3"/>
  <c r="BX202" i="3"/>
  <c r="BX180" i="3"/>
  <c r="BX178" i="3"/>
  <c r="BX176" i="3"/>
  <c r="BX174" i="3"/>
  <c r="BX172" i="3"/>
  <c r="BX170" i="3"/>
  <c r="BX84" i="3"/>
  <c r="BX82" i="3"/>
  <c r="BX76" i="3"/>
  <c r="BX74" i="3"/>
  <c r="BX72" i="3"/>
  <c r="BX70" i="3"/>
  <c r="BX68" i="3"/>
  <c r="BX60" i="3"/>
  <c r="BX58" i="3"/>
  <c r="BX56" i="3"/>
  <c r="BX54" i="3"/>
  <c r="BX52" i="3"/>
  <c r="BX50" i="3"/>
  <c r="BX40" i="3"/>
  <c r="BX38" i="3"/>
  <c r="BX36" i="3"/>
  <c r="BX13" i="3"/>
  <c r="BL217" i="3"/>
  <c r="BL152" i="3"/>
  <c r="BL148" i="3"/>
  <c r="BL146" i="3"/>
  <c r="BL142" i="3"/>
  <c r="BL136" i="3"/>
  <c r="BL132" i="3"/>
  <c r="BL130" i="3"/>
  <c r="BL126" i="3"/>
  <c r="BL120" i="3"/>
  <c r="BL116" i="3"/>
  <c r="BL114" i="3"/>
  <c r="BL104" i="3"/>
  <c r="BL100" i="3"/>
  <c r="BL98" i="3"/>
  <c r="BX281" i="3"/>
  <c r="BX265" i="3"/>
  <c r="BX263" i="3"/>
  <c r="BY57" i="3"/>
  <c r="BZ57" i="3" s="1"/>
  <c r="BL5" i="3"/>
  <c r="BL141" i="3"/>
  <c r="BY61" i="3"/>
  <c r="BZ61" i="3" s="1"/>
  <c r="BY53" i="3"/>
  <c r="BZ53" i="3" s="1"/>
  <c r="BY49" i="3"/>
  <c r="BZ49" i="3" s="1"/>
  <c r="BX5" i="3"/>
  <c r="BX101" i="3"/>
  <c r="BX97" i="3"/>
  <c r="BL185" i="3"/>
  <c r="BL52" i="3"/>
  <c r="BL24" i="3"/>
  <c r="BL18" i="3"/>
  <c r="BX253" i="3"/>
  <c r="BX251" i="3"/>
  <c r="BX249" i="3"/>
  <c r="BX245" i="3"/>
  <c r="BX233" i="3"/>
  <c r="BX231" i="3"/>
  <c r="BX165" i="3"/>
  <c r="BX163" i="3"/>
  <c r="BX153" i="3"/>
  <c r="BX137" i="3"/>
  <c r="BX135" i="3"/>
  <c r="BL261" i="3"/>
  <c r="BL257" i="3"/>
  <c r="BL253" i="3"/>
  <c r="BY220" i="3"/>
  <c r="BZ220" i="3" s="1"/>
  <c r="BL200" i="3"/>
  <c r="BL196" i="3"/>
  <c r="BL194" i="3"/>
  <c r="BL181" i="3"/>
  <c r="BL173" i="3"/>
  <c r="BL153" i="3"/>
  <c r="BY149" i="3"/>
  <c r="BZ149" i="3" s="1"/>
  <c r="BY145" i="3"/>
  <c r="BZ145" i="3" s="1"/>
  <c r="BY141" i="3"/>
  <c r="BZ141" i="3" s="1"/>
  <c r="BL88" i="3"/>
  <c r="BL84" i="3"/>
  <c r="BL205" i="3"/>
  <c r="BY165" i="3"/>
  <c r="BZ165" i="3" s="1"/>
  <c r="BY161" i="3"/>
  <c r="BZ161" i="3" s="1"/>
  <c r="BL85" i="3"/>
  <c r="BL13" i="3"/>
  <c r="BY13" i="3"/>
  <c r="BZ13" i="3" s="1"/>
  <c r="BL245" i="3"/>
  <c r="BL241" i="3"/>
  <c r="BL225" i="3"/>
  <c r="BL221" i="3"/>
  <c r="BL184" i="3"/>
  <c r="BL180" i="3"/>
  <c r="BL178" i="3"/>
  <c r="BL174" i="3"/>
  <c r="BL168" i="3"/>
  <c r="BL164" i="3"/>
  <c r="BL162" i="3"/>
  <c r="BL121" i="3"/>
  <c r="BL56" i="3"/>
  <c r="BX197" i="3"/>
  <c r="BX189" i="3"/>
  <c r="BX185" i="3"/>
  <c r="BX181" i="3"/>
  <c r="BX169" i="3"/>
  <c r="BX167" i="3"/>
  <c r="BX116" i="3"/>
  <c r="BX114" i="3"/>
  <c r="BX112" i="3"/>
  <c r="BX110" i="3"/>
  <c r="BX108" i="3"/>
  <c r="BX106" i="3"/>
  <c r="BY89" i="3"/>
  <c r="BZ89" i="3" s="1"/>
  <c r="BL20" i="3"/>
  <c r="BY10" i="3"/>
  <c r="BZ10" i="3" s="1"/>
  <c r="BX273" i="3"/>
  <c r="BX259" i="3"/>
  <c r="BX161" i="3"/>
  <c r="BX145" i="3"/>
  <c r="CN5" i="3"/>
  <c r="BY45" i="3"/>
  <c r="BZ45" i="3" s="1"/>
  <c r="BY37" i="3"/>
  <c r="BZ37" i="3" s="1"/>
  <c r="BY33" i="3"/>
  <c r="BZ33" i="3" s="1"/>
  <c r="BX276" i="3"/>
  <c r="BX274" i="3"/>
  <c r="BX272" i="3"/>
  <c r="BX270" i="3"/>
  <c r="BX268" i="3"/>
  <c r="BX266" i="3"/>
  <c r="BX241" i="3"/>
  <c r="BX217" i="3"/>
  <c r="BX201" i="3"/>
  <c r="BX199" i="3"/>
  <c r="BX148" i="3"/>
  <c r="BX146" i="3"/>
  <c r="BX144" i="3"/>
  <c r="BX142" i="3"/>
  <c r="BX140" i="3"/>
  <c r="BX138" i="3"/>
  <c r="BX129" i="3"/>
  <c r="BX113" i="3"/>
  <c r="BX89" i="3"/>
  <c r="BX85" i="3"/>
  <c r="BX83" i="3"/>
  <c r="BX77" i="3"/>
  <c r="BX75" i="3"/>
  <c r="BX69" i="3"/>
  <c r="BX67" i="3"/>
  <c r="BX9" i="3"/>
  <c r="BY201" i="3"/>
  <c r="BZ201" i="3" s="1"/>
  <c r="BL201" i="3"/>
  <c r="BY281" i="3"/>
  <c r="BZ281" i="3" s="1"/>
  <c r="BL281" i="3"/>
  <c r="BL277" i="3"/>
  <c r="BY277" i="3"/>
  <c r="BZ277" i="3" s="1"/>
  <c r="BL273" i="3"/>
  <c r="BL269" i="3"/>
  <c r="BY169" i="3"/>
  <c r="BZ169" i="3" s="1"/>
  <c r="BL169" i="3"/>
  <c r="BY41" i="3"/>
  <c r="BZ41" i="3" s="1"/>
  <c r="BL41" i="3"/>
  <c r="BX213" i="3"/>
  <c r="BX81" i="3"/>
  <c r="BY261" i="3"/>
  <c r="BZ261" i="3" s="1"/>
  <c r="BY73" i="3"/>
  <c r="BZ73" i="3" s="1"/>
  <c r="BL73" i="3"/>
  <c r="BY265" i="3"/>
  <c r="BZ265" i="3" s="1"/>
  <c r="BL265" i="3"/>
  <c r="BY137" i="3"/>
  <c r="BZ137" i="3" s="1"/>
  <c r="BL137" i="3"/>
  <c r="BL82" i="3"/>
  <c r="BY82" i="3"/>
  <c r="BZ82" i="3" s="1"/>
  <c r="BL78" i="3"/>
  <c r="BY78" i="3"/>
  <c r="BZ78" i="3" s="1"/>
  <c r="BY9" i="3"/>
  <c r="BZ9" i="3" s="1"/>
  <c r="BL9" i="3"/>
  <c r="BY233" i="3"/>
  <c r="BZ233" i="3" s="1"/>
  <c r="BL233" i="3"/>
  <c r="BL229" i="3"/>
  <c r="BY229" i="3"/>
  <c r="BZ229" i="3" s="1"/>
  <c r="BY105" i="3"/>
  <c r="BZ105" i="3" s="1"/>
  <c r="BL105" i="3"/>
  <c r="BL50" i="3"/>
  <c r="BY50" i="3"/>
  <c r="BZ50" i="3" s="1"/>
  <c r="BY46" i="3"/>
  <c r="BZ46" i="3" s="1"/>
  <c r="BX277" i="3"/>
  <c r="BX149" i="3"/>
  <c r="BL249" i="3"/>
  <c r="BL25" i="3"/>
  <c r="BX227" i="3"/>
  <c r="BX221" i="3"/>
  <c r="BX219" i="3"/>
  <c r="BX195" i="3"/>
  <c r="BX187" i="3"/>
  <c r="BX157" i="3"/>
  <c r="BX155" i="3"/>
  <c r="BX131" i="3"/>
  <c r="BX123" i="3"/>
  <c r="BX99" i="3"/>
  <c r="BX93" i="3"/>
  <c r="BX91" i="3"/>
  <c r="BX73" i="3"/>
  <c r="BX63" i="3"/>
  <c r="BX33" i="3"/>
  <c r="BL190" i="3"/>
  <c r="BL158" i="3"/>
  <c r="BL109" i="3"/>
  <c r="BL94" i="3"/>
  <c r="BL72" i="3"/>
  <c r="BL68" i="3"/>
  <c r="BL66" i="3"/>
  <c r="BL45" i="3"/>
  <c r="BL40" i="3"/>
  <c r="BL36" i="3"/>
  <c r="BL34" i="3"/>
  <c r="BL21" i="3"/>
  <c r="BL17" i="3"/>
  <c r="BL15" i="3"/>
  <c r="BL8" i="3"/>
  <c r="BL6" i="3"/>
  <c r="BX279" i="3"/>
  <c r="BX247" i="3"/>
  <c r="BY217" i="3"/>
  <c r="BZ217" i="3" s="1"/>
  <c r="BX215" i="3"/>
  <c r="BY185" i="3"/>
  <c r="BZ185" i="3" s="1"/>
  <c r="BX183" i="3"/>
  <c r="BY153" i="3"/>
  <c r="BZ153" i="3" s="1"/>
  <c r="BX151" i="3"/>
  <c r="BY121" i="3"/>
  <c r="BZ121" i="3" s="1"/>
  <c r="BX119" i="3"/>
  <c r="BX66" i="3"/>
  <c r="BX34" i="3"/>
  <c r="BX28" i="3"/>
  <c r="BX26" i="3"/>
  <c r="BX15" i="3"/>
  <c r="BL149" i="3"/>
  <c r="BY77" i="3"/>
  <c r="BZ77" i="3" s="1"/>
  <c r="BX275" i="3"/>
  <c r="BX269" i="3"/>
  <c r="BX267" i="3"/>
  <c r="BX260" i="3"/>
  <c r="BX258" i="3"/>
  <c r="BX256" i="3"/>
  <c r="BX254" i="3"/>
  <c r="BX252" i="3"/>
  <c r="BX250" i="3"/>
  <c r="BX243" i="3"/>
  <c r="BX237" i="3"/>
  <c r="BX235" i="3"/>
  <c r="BX228" i="3"/>
  <c r="BX226" i="3"/>
  <c r="BX224" i="3"/>
  <c r="BX222" i="3"/>
  <c r="BX220" i="3"/>
  <c r="BX218" i="3"/>
  <c r="BX211" i="3"/>
  <c r="BX205" i="3"/>
  <c r="BX203" i="3"/>
  <c r="BX196" i="3"/>
  <c r="BX194" i="3"/>
  <c r="BX192" i="3"/>
  <c r="BX190" i="3"/>
  <c r="BX188" i="3"/>
  <c r="BX186" i="3"/>
  <c r="BX179" i="3"/>
  <c r="BX173" i="3"/>
  <c r="BX171" i="3"/>
  <c r="BX164" i="3"/>
  <c r="BX162" i="3"/>
  <c r="BX160" i="3"/>
  <c r="BX158" i="3"/>
  <c r="BX156" i="3"/>
  <c r="BX154" i="3"/>
  <c r="BX147" i="3"/>
  <c r="BX141" i="3"/>
  <c r="BX139" i="3"/>
  <c r="BX132" i="3"/>
  <c r="BX130" i="3"/>
  <c r="BX128" i="3"/>
  <c r="BX126" i="3"/>
  <c r="BX124" i="3"/>
  <c r="BX122" i="3"/>
  <c r="BX115" i="3"/>
  <c r="BX109" i="3"/>
  <c r="BX107" i="3"/>
  <c r="BX100" i="3"/>
  <c r="BX98" i="3"/>
  <c r="BX92" i="3"/>
  <c r="BX90" i="3"/>
  <c r="BX79" i="3"/>
  <c r="BX57" i="3"/>
  <c r="BX43" i="3"/>
  <c r="BX20" i="3"/>
  <c r="BX18" i="3"/>
  <c r="BX11" i="3"/>
  <c r="BY245" i="3"/>
  <c r="BZ245" i="3" s="1"/>
  <c r="BL271" i="3"/>
  <c r="BY271" i="3"/>
  <c r="BZ271" i="3" s="1"/>
  <c r="BL159" i="3"/>
  <c r="BY159" i="3"/>
  <c r="BZ159" i="3" s="1"/>
  <c r="BL150" i="3"/>
  <c r="BY150" i="3"/>
  <c r="BZ150" i="3" s="1"/>
  <c r="BL143" i="3"/>
  <c r="BY143" i="3"/>
  <c r="BZ143" i="3" s="1"/>
  <c r="BL127" i="3"/>
  <c r="BY127" i="3"/>
  <c r="BZ127" i="3" s="1"/>
  <c r="BL102" i="3"/>
  <c r="BY102" i="3"/>
  <c r="BZ102" i="3" s="1"/>
  <c r="BL95" i="3"/>
  <c r="BY95" i="3"/>
  <c r="BZ95" i="3" s="1"/>
  <c r="BL79" i="3"/>
  <c r="BY79" i="3"/>
  <c r="BZ79" i="3" s="1"/>
  <c r="BY273" i="3"/>
  <c r="BZ273" i="3" s="1"/>
  <c r="BY257" i="3"/>
  <c r="BZ257" i="3" s="1"/>
  <c r="BY246" i="3"/>
  <c r="BZ246" i="3" s="1"/>
  <c r="BY230" i="3"/>
  <c r="BZ230" i="3" s="1"/>
  <c r="BY200" i="3"/>
  <c r="BZ200" i="3" s="1"/>
  <c r="BY168" i="3"/>
  <c r="BZ168" i="3" s="1"/>
  <c r="BY146" i="3"/>
  <c r="BZ146" i="3" s="1"/>
  <c r="BY125" i="3"/>
  <c r="BZ125" i="3" s="1"/>
  <c r="BY104" i="3"/>
  <c r="BZ104" i="3" s="1"/>
  <c r="BY72" i="3"/>
  <c r="BZ72" i="3" s="1"/>
  <c r="BL255" i="3"/>
  <c r="BY255" i="3"/>
  <c r="BZ255" i="3" s="1"/>
  <c r="BL239" i="3"/>
  <c r="BY239" i="3"/>
  <c r="BZ239" i="3" s="1"/>
  <c r="BL198" i="3"/>
  <c r="BY198" i="3"/>
  <c r="BZ198" i="3" s="1"/>
  <c r="BL166" i="3"/>
  <c r="BY166" i="3"/>
  <c r="BZ166" i="3" s="1"/>
  <c r="BL118" i="3"/>
  <c r="BY118" i="3"/>
  <c r="BZ118" i="3" s="1"/>
  <c r="BL70" i="3"/>
  <c r="BY70" i="3"/>
  <c r="BZ70" i="3" s="1"/>
  <c r="BL54" i="3"/>
  <c r="BY54" i="3"/>
  <c r="BZ54" i="3" s="1"/>
  <c r="BL31" i="3"/>
  <c r="BY31" i="3"/>
  <c r="BZ31" i="3" s="1"/>
  <c r="BY278" i="3"/>
  <c r="BZ278" i="3" s="1"/>
  <c r="BY262" i="3"/>
  <c r="BZ262" i="3" s="1"/>
  <c r="BY241" i="3"/>
  <c r="BZ241" i="3" s="1"/>
  <c r="BY178" i="3"/>
  <c r="BZ178" i="3" s="1"/>
  <c r="BY29" i="3"/>
  <c r="BZ29" i="3" s="1"/>
  <c r="BL279" i="3"/>
  <c r="BY279" i="3"/>
  <c r="BZ279" i="3" s="1"/>
  <c r="BL270" i="3"/>
  <c r="BL263" i="3"/>
  <c r="BY263" i="3"/>
  <c r="BZ263" i="3" s="1"/>
  <c r="BL256" i="3"/>
  <c r="BL254" i="3"/>
  <c r="BL247" i="3"/>
  <c r="BY247" i="3"/>
  <c r="BZ247" i="3" s="1"/>
  <c r="BL240" i="3"/>
  <c r="BL238" i="3"/>
  <c r="BL231" i="3"/>
  <c r="BY231" i="3"/>
  <c r="BZ231" i="3" s="1"/>
  <c r="BL224" i="3"/>
  <c r="BL222" i="3"/>
  <c r="BL215" i="3"/>
  <c r="BY215" i="3"/>
  <c r="BZ215" i="3" s="1"/>
  <c r="BL213" i="3"/>
  <c r="BL208" i="3"/>
  <c r="BY208" i="3"/>
  <c r="BZ208" i="3" s="1"/>
  <c r="BL199" i="3"/>
  <c r="BY199" i="3"/>
  <c r="BZ199" i="3" s="1"/>
  <c r="BL197" i="3"/>
  <c r="BL192" i="3"/>
  <c r="BY192" i="3"/>
  <c r="BZ192" i="3" s="1"/>
  <c r="BL183" i="3"/>
  <c r="BY183" i="3"/>
  <c r="BZ183" i="3" s="1"/>
  <c r="BL176" i="3"/>
  <c r="BY176" i="3"/>
  <c r="BZ176" i="3" s="1"/>
  <c r="BL167" i="3"/>
  <c r="BY167" i="3"/>
  <c r="BZ167" i="3" s="1"/>
  <c r="BL165" i="3"/>
  <c r="BL160" i="3"/>
  <c r="BY160" i="3"/>
  <c r="BZ160" i="3" s="1"/>
  <c r="BL151" i="3"/>
  <c r="BY151" i="3"/>
  <c r="BZ151" i="3" s="1"/>
  <c r="BL144" i="3"/>
  <c r="BY144" i="3"/>
  <c r="BZ144" i="3" s="1"/>
  <c r="BL135" i="3"/>
  <c r="BY135" i="3"/>
  <c r="BZ135" i="3" s="1"/>
  <c r="BL133" i="3"/>
  <c r="BL128" i="3"/>
  <c r="BY128" i="3"/>
  <c r="BZ128" i="3" s="1"/>
  <c r="BL119" i="3"/>
  <c r="BY119" i="3"/>
  <c r="BZ119" i="3" s="1"/>
  <c r="BL117" i="3"/>
  <c r="BL112" i="3"/>
  <c r="BY112" i="3"/>
  <c r="BZ112" i="3" s="1"/>
  <c r="BL110" i="3"/>
  <c r="BL103" i="3"/>
  <c r="BY103" i="3"/>
  <c r="BZ103" i="3" s="1"/>
  <c r="BL101" i="3"/>
  <c r="BL96" i="3"/>
  <c r="BY96" i="3"/>
  <c r="BZ96" i="3" s="1"/>
  <c r="BL87" i="3"/>
  <c r="BY87" i="3"/>
  <c r="BZ87" i="3" s="1"/>
  <c r="BL80" i="3"/>
  <c r="BY80" i="3"/>
  <c r="BZ80" i="3" s="1"/>
  <c r="BL71" i="3"/>
  <c r="BY71" i="3"/>
  <c r="BZ71" i="3" s="1"/>
  <c r="BL64" i="3"/>
  <c r="BY64" i="3"/>
  <c r="BZ64" i="3" s="1"/>
  <c r="BL62" i="3"/>
  <c r="BL55" i="3"/>
  <c r="BY55" i="3"/>
  <c r="BZ55" i="3" s="1"/>
  <c r="BL53" i="3"/>
  <c r="BL48" i="3"/>
  <c r="BY48" i="3"/>
  <c r="BZ48" i="3" s="1"/>
  <c r="BL46" i="3"/>
  <c r="BL39" i="3"/>
  <c r="BY39" i="3"/>
  <c r="BZ39" i="3" s="1"/>
  <c r="BL37" i="3"/>
  <c r="BL32" i="3"/>
  <c r="BY32" i="3"/>
  <c r="BZ32" i="3" s="1"/>
  <c r="BL30" i="3"/>
  <c r="BL23" i="3"/>
  <c r="BY23" i="3"/>
  <c r="BZ23" i="3" s="1"/>
  <c r="BL16" i="3"/>
  <c r="BY16" i="3"/>
  <c r="BZ16" i="3" s="1"/>
  <c r="BL14" i="3"/>
  <c r="BY14" i="3"/>
  <c r="BZ14" i="3" s="1"/>
  <c r="BL7" i="3"/>
  <c r="BY7" i="3"/>
  <c r="BZ7" i="3" s="1"/>
  <c r="BY17" i="3"/>
  <c r="BZ17" i="3" s="1"/>
  <c r="BY276" i="3"/>
  <c r="BZ276" i="3" s="1"/>
  <c r="BY270" i="3"/>
  <c r="BZ270" i="3" s="1"/>
  <c r="BY260" i="3"/>
  <c r="BZ260" i="3" s="1"/>
  <c r="BY254" i="3"/>
  <c r="BZ254" i="3" s="1"/>
  <c r="BY244" i="3"/>
  <c r="BZ244" i="3" s="1"/>
  <c r="BY238" i="3"/>
  <c r="BZ238" i="3" s="1"/>
  <c r="BY228" i="3"/>
  <c r="BZ228" i="3" s="1"/>
  <c r="BY222" i="3"/>
  <c r="BZ222" i="3" s="1"/>
  <c r="BY216" i="3"/>
  <c r="BZ216" i="3" s="1"/>
  <c r="BY194" i="3"/>
  <c r="BZ194" i="3" s="1"/>
  <c r="BY184" i="3"/>
  <c r="BZ184" i="3" s="1"/>
  <c r="BY162" i="3"/>
  <c r="BZ162" i="3" s="1"/>
  <c r="BY152" i="3"/>
  <c r="BZ152" i="3" s="1"/>
  <c r="BY130" i="3"/>
  <c r="BZ130" i="3" s="1"/>
  <c r="BY120" i="3"/>
  <c r="BZ120" i="3" s="1"/>
  <c r="BY98" i="3"/>
  <c r="BZ98" i="3" s="1"/>
  <c r="BY88" i="3"/>
  <c r="BZ88" i="3" s="1"/>
  <c r="BY66" i="3"/>
  <c r="BZ66" i="3" s="1"/>
  <c r="BY56" i="3"/>
  <c r="BZ56" i="3" s="1"/>
  <c r="BY34" i="3"/>
  <c r="BZ34" i="3" s="1"/>
  <c r="BY24" i="3"/>
  <c r="BZ24" i="3" s="1"/>
  <c r="BL223" i="3"/>
  <c r="BY223" i="3"/>
  <c r="BZ223" i="3" s="1"/>
  <c r="BL214" i="3"/>
  <c r="BY214" i="3"/>
  <c r="BZ214" i="3" s="1"/>
  <c r="BL207" i="3"/>
  <c r="BY207" i="3"/>
  <c r="BZ207" i="3" s="1"/>
  <c r="BL191" i="3"/>
  <c r="BY191" i="3"/>
  <c r="BZ191" i="3" s="1"/>
  <c r="BL182" i="3"/>
  <c r="BY182" i="3"/>
  <c r="BZ182" i="3" s="1"/>
  <c r="BL175" i="3"/>
  <c r="BY175" i="3"/>
  <c r="BZ175" i="3" s="1"/>
  <c r="BL134" i="3"/>
  <c r="BY134" i="3"/>
  <c r="BZ134" i="3" s="1"/>
  <c r="BL111" i="3"/>
  <c r="BY111" i="3"/>
  <c r="BZ111" i="3" s="1"/>
  <c r="BL86" i="3"/>
  <c r="BY86" i="3"/>
  <c r="BZ86" i="3" s="1"/>
  <c r="BL63" i="3"/>
  <c r="BY63" i="3"/>
  <c r="BZ63" i="3" s="1"/>
  <c r="BL47" i="3"/>
  <c r="BY47" i="3"/>
  <c r="BZ47" i="3" s="1"/>
  <c r="BL38" i="3"/>
  <c r="BY38" i="3"/>
  <c r="BZ38" i="3" s="1"/>
  <c r="BL22" i="3"/>
  <c r="BY22" i="3"/>
  <c r="BZ22" i="3" s="1"/>
  <c r="BY8" i="3"/>
  <c r="BZ8" i="3" s="1"/>
  <c r="BY225" i="3"/>
  <c r="BZ225" i="3" s="1"/>
  <c r="BY210" i="3"/>
  <c r="BZ210" i="3" s="1"/>
  <c r="BY189" i="3"/>
  <c r="BZ189" i="3" s="1"/>
  <c r="BY157" i="3"/>
  <c r="BZ157" i="3" s="1"/>
  <c r="BY136" i="3"/>
  <c r="BZ136" i="3" s="1"/>
  <c r="BY114" i="3"/>
  <c r="BZ114" i="3" s="1"/>
  <c r="BY93" i="3"/>
  <c r="BZ93" i="3" s="1"/>
  <c r="BY40" i="3"/>
  <c r="BZ40" i="3" s="1"/>
  <c r="BL267" i="3"/>
  <c r="BY267" i="3"/>
  <c r="BZ267" i="3" s="1"/>
  <c r="BL251" i="3"/>
  <c r="BY251" i="3"/>
  <c r="BZ251" i="3" s="1"/>
  <c r="BL235" i="3"/>
  <c r="BY235" i="3"/>
  <c r="BZ235" i="3" s="1"/>
  <c r="BL219" i="3"/>
  <c r="BY219" i="3"/>
  <c r="BZ219" i="3" s="1"/>
  <c r="BL203" i="3"/>
  <c r="BY203" i="3"/>
  <c r="BZ203" i="3" s="1"/>
  <c r="BL187" i="3"/>
  <c r="BY187" i="3"/>
  <c r="BZ187" i="3" s="1"/>
  <c r="BL171" i="3"/>
  <c r="BY171" i="3"/>
  <c r="BZ171" i="3" s="1"/>
  <c r="BL155" i="3"/>
  <c r="BY155" i="3"/>
  <c r="BZ155" i="3" s="1"/>
  <c r="BL139" i="3"/>
  <c r="BY139" i="3"/>
  <c r="BZ139" i="3" s="1"/>
  <c r="BL123" i="3"/>
  <c r="BY123" i="3"/>
  <c r="BZ123" i="3" s="1"/>
  <c r="BL107" i="3"/>
  <c r="BY107" i="3"/>
  <c r="BZ107" i="3" s="1"/>
  <c r="BL91" i="3"/>
  <c r="BY91" i="3"/>
  <c r="BZ91" i="3" s="1"/>
  <c r="BL75" i="3"/>
  <c r="BY75" i="3"/>
  <c r="BZ75" i="3" s="1"/>
  <c r="BL59" i="3"/>
  <c r="BY59" i="3"/>
  <c r="BZ59" i="3" s="1"/>
  <c r="BL43" i="3"/>
  <c r="BY43" i="3"/>
  <c r="BZ43" i="3" s="1"/>
  <c r="BL27" i="3"/>
  <c r="BY27" i="3"/>
  <c r="BZ27" i="3" s="1"/>
  <c r="BL11" i="3"/>
  <c r="BY11" i="3"/>
  <c r="BZ11" i="3" s="1"/>
  <c r="BY18" i="3"/>
  <c r="BZ18" i="3" s="1"/>
  <c r="BY12" i="3"/>
  <c r="BZ12" i="3" s="1"/>
  <c r="BY6" i="3"/>
  <c r="BZ6" i="3" s="1"/>
  <c r="BY272" i="3"/>
  <c r="BZ272" i="3" s="1"/>
  <c r="BY256" i="3"/>
  <c r="BZ256" i="3" s="1"/>
  <c r="BY240" i="3"/>
  <c r="BZ240" i="3" s="1"/>
  <c r="BY224" i="3"/>
  <c r="BZ224" i="3" s="1"/>
  <c r="BY206" i="3"/>
  <c r="BZ206" i="3" s="1"/>
  <c r="BY196" i="3"/>
  <c r="BZ196" i="3" s="1"/>
  <c r="BY174" i="3"/>
  <c r="BZ174" i="3" s="1"/>
  <c r="BY164" i="3"/>
  <c r="BZ164" i="3" s="1"/>
  <c r="BY142" i="3"/>
  <c r="BZ142" i="3" s="1"/>
  <c r="BY132" i="3"/>
  <c r="BZ132" i="3" s="1"/>
  <c r="BY110" i="3"/>
  <c r="BZ110" i="3" s="1"/>
  <c r="BY100" i="3"/>
  <c r="BZ100" i="3" s="1"/>
  <c r="BY68" i="3"/>
  <c r="BZ68" i="3" s="1"/>
  <c r="BY36" i="3"/>
  <c r="BZ36" i="3" s="1"/>
  <c r="CP5" i="3"/>
  <c r="CQ5" i="3"/>
  <c r="DI5" i="3" s="1"/>
  <c r="BY5" i="3"/>
  <c r="BZ5" i="3" s="1"/>
  <c r="BL275" i="3"/>
  <c r="BY275" i="3"/>
  <c r="BZ275" i="3" s="1"/>
  <c r="BL268" i="3"/>
  <c r="BL266" i="3"/>
  <c r="BL259" i="3"/>
  <c r="BY259" i="3"/>
  <c r="BZ259" i="3" s="1"/>
  <c r="BL252" i="3"/>
  <c r="BL250" i="3"/>
  <c r="BL243" i="3"/>
  <c r="BY243" i="3"/>
  <c r="BZ243" i="3" s="1"/>
  <c r="BL236" i="3"/>
  <c r="BL234" i="3"/>
  <c r="BL227" i="3"/>
  <c r="BY227" i="3"/>
  <c r="BZ227" i="3" s="1"/>
  <c r="BL220" i="3"/>
  <c r="BL218" i="3"/>
  <c r="BY218" i="3"/>
  <c r="BZ218" i="3" s="1"/>
  <c r="BL211" i="3"/>
  <c r="BY211" i="3"/>
  <c r="BZ211" i="3" s="1"/>
  <c r="BL209" i="3"/>
  <c r="BL204" i="3"/>
  <c r="BY204" i="3"/>
  <c r="BZ204" i="3" s="1"/>
  <c r="BL202" i="3"/>
  <c r="BY202" i="3"/>
  <c r="BZ202" i="3" s="1"/>
  <c r="BL195" i="3"/>
  <c r="BY195" i="3"/>
  <c r="BZ195" i="3" s="1"/>
  <c r="BL193" i="3"/>
  <c r="BL188" i="3"/>
  <c r="BY188" i="3"/>
  <c r="BZ188" i="3" s="1"/>
  <c r="BL186" i="3"/>
  <c r="BY186" i="3"/>
  <c r="BZ186" i="3" s="1"/>
  <c r="BL179" i="3"/>
  <c r="BY179" i="3"/>
  <c r="BZ179" i="3" s="1"/>
  <c r="BL177" i="3"/>
  <c r="BL172" i="3"/>
  <c r="BY172" i="3"/>
  <c r="BZ172" i="3" s="1"/>
  <c r="BL170" i="3"/>
  <c r="BY170" i="3"/>
  <c r="BZ170" i="3" s="1"/>
  <c r="BL163" i="3"/>
  <c r="BY163" i="3"/>
  <c r="BZ163" i="3" s="1"/>
  <c r="BL161" i="3"/>
  <c r="BL156" i="3"/>
  <c r="BY156" i="3"/>
  <c r="BZ156" i="3" s="1"/>
  <c r="BL154" i="3"/>
  <c r="BY154" i="3"/>
  <c r="BZ154" i="3" s="1"/>
  <c r="BL147" i="3"/>
  <c r="BY147" i="3"/>
  <c r="BZ147" i="3" s="1"/>
  <c r="BL145" i="3"/>
  <c r="BL140" i="3"/>
  <c r="BY140" i="3"/>
  <c r="BZ140" i="3" s="1"/>
  <c r="BL138" i="3"/>
  <c r="BY138" i="3"/>
  <c r="BZ138" i="3" s="1"/>
  <c r="BL131" i="3"/>
  <c r="BY131" i="3"/>
  <c r="BZ131" i="3" s="1"/>
  <c r="BL129" i="3"/>
  <c r="BL124" i="3"/>
  <c r="BY124" i="3"/>
  <c r="BZ124" i="3" s="1"/>
  <c r="BL122" i="3"/>
  <c r="BY122" i="3"/>
  <c r="BZ122" i="3" s="1"/>
  <c r="BL115" i="3"/>
  <c r="BY115" i="3"/>
  <c r="BZ115" i="3" s="1"/>
  <c r="BL113" i="3"/>
  <c r="BL108" i="3"/>
  <c r="BY108" i="3"/>
  <c r="BZ108" i="3" s="1"/>
  <c r="BL106" i="3"/>
  <c r="BY106" i="3"/>
  <c r="BZ106" i="3" s="1"/>
  <c r="BL99" i="3"/>
  <c r="BY99" i="3"/>
  <c r="BZ99" i="3" s="1"/>
  <c r="BL97" i="3"/>
  <c r="BL92" i="3"/>
  <c r="BY92" i="3"/>
  <c r="BZ92" i="3" s="1"/>
  <c r="BL90" i="3"/>
  <c r="BY90" i="3"/>
  <c r="BZ90" i="3" s="1"/>
  <c r="BY85" i="3"/>
  <c r="BZ85" i="3" s="1"/>
  <c r="BL83" i="3"/>
  <c r="BY83" i="3"/>
  <c r="BZ83" i="3" s="1"/>
  <c r="BL81" i="3"/>
  <c r="BL76" i="3"/>
  <c r="BY76" i="3"/>
  <c r="BZ76" i="3" s="1"/>
  <c r="BL74" i="3"/>
  <c r="BY74" i="3"/>
  <c r="BZ74" i="3" s="1"/>
  <c r="BY69" i="3"/>
  <c r="BZ69" i="3" s="1"/>
  <c r="BL67" i="3"/>
  <c r="BY67" i="3"/>
  <c r="BZ67" i="3" s="1"/>
  <c r="BL65" i="3"/>
  <c r="BL60" i="3"/>
  <c r="BY60" i="3"/>
  <c r="BZ60" i="3" s="1"/>
  <c r="BL58" i="3"/>
  <c r="BY58" i="3"/>
  <c r="BZ58" i="3" s="1"/>
  <c r="BL51" i="3"/>
  <c r="BY51" i="3"/>
  <c r="BZ51" i="3" s="1"/>
  <c r="BL49" i="3"/>
  <c r="BL44" i="3"/>
  <c r="BY44" i="3"/>
  <c r="BZ44" i="3" s="1"/>
  <c r="BL42" i="3"/>
  <c r="BY42" i="3"/>
  <c r="BZ42" i="3" s="1"/>
  <c r="BL35" i="3"/>
  <c r="BY35" i="3"/>
  <c r="BZ35" i="3" s="1"/>
  <c r="BL33" i="3"/>
  <c r="BL28" i="3"/>
  <c r="BY28" i="3"/>
  <c r="BZ28" i="3" s="1"/>
  <c r="BL26" i="3"/>
  <c r="BY26" i="3"/>
  <c r="BZ26" i="3" s="1"/>
  <c r="BY21" i="3"/>
  <c r="BZ21" i="3" s="1"/>
  <c r="BL19" i="3"/>
  <c r="BL12" i="3"/>
  <c r="BL10" i="3"/>
  <c r="BX280" i="3"/>
  <c r="BX278" i="3"/>
  <c r="BX271" i="3"/>
  <c r="BX264" i="3"/>
  <c r="BX262" i="3"/>
  <c r="BX255" i="3"/>
  <c r="BX248" i="3"/>
  <c r="BX246" i="3"/>
  <c r="BX239" i="3"/>
  <c r="BX232" i="3"/>
  <c r="BX230" i="3"/>
  <c r="BX223" i="3"/>
  <c r="BX216" i="3"/>
  <c r="BX214" i="3"/>
  <c r="BX207" i="3"/>
  <c r="BX200" i="3"/>
  <c r="BX198" i="3"/>
  <c r="BX191" i="3"/>
  <c r="BX184" i="3"/>
  <c r="BX182" i="3"/>
  <c r="BX175" i="3"/>
  <c r="BX168" i="3"/>
  <c r="BX166" i="3"/>
  <c r="BX159" i="3"/>
  <c r="BX152" i="3"/>
  <c r="BX150" i="3"/>
  <c r="BX143" i="3"/>
  <c r="BX136" i="3"/>
  <c r="BX134" i="3"/>
  <c r="BX127" i="3"/>
  <c r="BX120" i="3"/>
  <c r="BX118" i="3"/>
  <c r="BX111" i="3"/>
  <c r="BX104" i="3"/>
  <c r="BX102" i="3"/>
  <c r="BX95" i="3"/>
  <c r="BX88" i="3"/>
  <c r="BX86" i="3"/>
  <c r="BX53" i="3"/>
  <c r="BX51" i="3"/>
  <c r="BX44" i="3"/>
  <c r="BX42" i="3"/>
  <c r="BX31" i="3"/>
  <c r="BX24" i="3"/>
  <c r="BX22" i="3"/>
  <c r="BY15" i="3"/>
  <c r="BZ15" i="3" s="1"/>
  <c r="BY280" i="3"/>
  <c r="BZ280" i="3" s="1"/>
  <c r="BY274" i="3"/>
  <c r="BZ274" i="3" s="1"/>
  <c r="BY264" i="3"/>
  <c r="BZ264" i="3" s="1"/>
  <c r="BY258" i="3"/>
  <c r="BZ258" i="3" s="1"/>
  <c r="BY248" i="3"/>
  <c r="BZ248" i="3" s="1"/>
  <c r="BY242" i="3"/>
  <c r="BZ242" i="3" s="1"/>
  <c r="BY232" i="3"/>
  <c r="BZ232" i="3" s="1"/>
  <c r="BY226" i="3"/>
  <c r="BZ226" i="3" s="1"/>
  <c r="BY212" i="3"/>
  <c r="BZ212" i="3" s="1"/>
  <c r="BY190" i="3"/>
  <c r="BZ190" i="3" s="1"/>
  <c r="BY180" i="3"/>
  <c r="BZ180" i="3" s="1"/>
  <c r="BY158" i="3"/>
  <c r="BZ158" i="3" s="1"/>
  <c r="BY148" i="3"/>
  <c r="BZ148" i="3" s="1"/>
  <c r="BY126" i="3"/>
  <c r="BZ126" i="3" s="1"/>
  <c r="BY116" i="3"/>
  <c r="BZ116" i="3" s="1"/>
  <c r="BY94" i="3"/>
  <c r="BZ94" i="3" s="1"/>
  <c r="BY84" i="3"/>
  <c r="BZ84" i="3" s="1"/>
  <c r="BY62" i="3"/>
  <c r="BZ62" i="3" s="1"/>
  <c r="BY52" i="3"/>
  <c r="BZ52" i="3" s="1"/>
  <c r="BY30" i="3"/>
  <c r="BZ30" i="3" s="1"/>
  <c r="BY20" i="3"/>
  <c r="BZ20" i="3" s="1"/>
  <c r="BX96" i="3"/>
  <c r="BX94" i="3"/>
  <c r="BX87" i="3"/>
  <c r="BX80" i="3"/>
  <c r="BX78" i="3"/>
  <c r="BX71" i="3"/>
  <c r="BX64" i="3"/>
  <c r="BX62" i="3"/>
  <c r="BX55" i="3"/>
  <c r="BX48" i="3"/>
  <c r="BX46" i="3"/>
  <c r="BX39" i="3"/>
  <c r="BX32" i="3"/>
  <c r="BX30" i="3"/>
  <c r="BX23" i="3"/>
  <c r="BX16" i="3"/>
  <c r="BX14" i="3"/>
  <c r="BX7" i="3"/>
  <c r="CJ282" i="3"/>
  <c r="CI282" i="3"/>
  <c r="CG282" i="3"/>
  <c r="CF282" i="3"/>
  <c r="CD282" i="3"/>
  <c r="CC282" i="3"/>
  <c r="BQ282" i="3"/>
  <c r="BP282" i="3"/>
  <c r="BN282" i="3"/>
  <c r="BM282" i="3"/>
  <c r="BE282" i="3"/>
  <c r="BD282" i="3"/>
  <c r="BB282" i="3"/>
  <c r="BA282" i="3"/>
  <c r="BO136" i="3"/>
  <c r="BR136" i="3"/>
  <c r="CE136" i="3"/>
  <c r="CH136" i="3"/>
  <c r="CK136" i="3"/>
  <c r="CL136" i="3"/>
  <c r="CM136" i="3"/>
  <c r="BO137" i="3"/>
  <c r="BR137" i="3"/>
  <c r="CE137" i="3"/>
  <c r="CH137" i="3"/>
  <c r="CK137" i="3"/>
  <c r="CL137" i="3"/>
  <c r="CM137" i="3"/>
  <c r="BO138" i="3"/>
  <c r="BR138" i="3"/>
  <c r="CE138" i="3"/>
  <c r="CH138" i="3"/>
  <c r="CK138" i="3"/>
  <c r="CL138" i="3"/>
  <c r="CM138" i="3"/>
  <c r="BO139" i="3"/>
  <c r="BR139" i="3"/>
  <c r="CE139" i="3"/>
  <c r="CH139" i="3"/>
  <c r="CK139" i="3"/>
  <c r="CL139" i="3"/>
  <c r="CM139" i="3"/>
  <c r="BO140" i="3"/>
  <c r="BR140" i="3"/>
  <c r="CE140" i="3"/>
  <c r="CH140" i="3"/>
  <c r="CK140" i="3"/>
  <c r="CL140" i="3"/>
  <c r="CM140" i="3"/>
  <c r="BO141" i="3"/>
  <c r="BR141" i="3"/>
  <c r="CE141" i="3"/>
  <c r="CH141" i="3"/>
  <c r="CK141" i="3"/>
  <c r="CL141" i="3"/>
  <c r="CM141" i="3"/>
  <c r="BO142" i="3"/>
  <c r="BR142" i="3"/>
  <c r="CE142" i="3"/>
  <c r="CH142" i="3"/>
  <c r="CK142" i="3"/>
  <c r="CL142" i="3"/>
  <c r="CM142" i="3"/>
  <c r="BO143" i="3"/>
  <c r="BR143" i="3"/>
  <c r="CE143" i="3"/>
  <c r="CH143" i="3"/>
  <c r="CK143" i="3"/>
  <c r="CL143" i="3"/>
  <c r="CM143" i="3"/>
  <c r="BO144" i="3"/>
  <c r="BR144" i="3"/>
  <c r="CE144" i="3"/>
  <c r="CH144" i="3"/>
  <c r="CK144" i="3"/>
  <c r="CL144" i="3"/>
  <c r="CM144" i="3"/>
  <c r="BO145" i="3"/>
  <c r="BR145" i="3"/>
  <c r="CE145" i="3"/>
  <c r="CH145" i="3"/>
  <c r="CK145" i="3"/>
  <c r="CL145" i="3"/>
  <c r="CM145" i="3"/>
  <c r="BO146" i="3"/>
  <c r="BR146" i="3"/>
  <c r="CE146" i="3"/>
  <c r="CH146" i="3"/>
  <c r="CK146" i="3"/>
  <c r="CL146" i="3"/>
  <c r="CM146" i="3"/>
  <c r="BO147" i="3"/>
  <c r="BR147" i="3"/>
  <c r="CE147" i="3"/>
  <c r="CH147" i="3"/>
  <c r="CK147" i="3"/>
  <c r="CL147" i="3"/>
  <c r="CM147" i="3"/>
  <c r="BO148" i="3"/>
  <c r="BR148" i="3"/>
  <c r="CE148" i="3"/>
  <c r="CH148" i="3"/>
  <c r="CK148" i="3"/>
  <c r="CL148" i="3"/>
  <c r="CM148" i="3"/>
  <c r="BO149" i="3"/>
  <c r="BR149" i="3"/>
  <c r="CE149" i="3"/>
  <c r="CH149" i="3"/>
  <c r="CK149" i="3"/>
  <c r="CL149" i="3"/>
  <c r="CM149" i="3"/>
  <c r="BO150" i="3"/>
  <c r="BR150" i="3"/>
  <c r="CE150" i="3"/>
  <c r="CH150" i="3"/>
  <c r="CK150" i="3"/>
  <c r="CL150" i="3"/>
  <c r="CM150" i="3"/>
  <c r="BO151" i="3"/>
  <c r="BR151" i="3"/>
  <c r="CE151" i="3"/>
  <c r="CH151" i="3"/>
  <c r="CK151" i="3"/>
  <c r="CL151" i="3"/>
  <c r="CM151" i="3"/>
  <c r="BO152" i="3"/>
  <c r="BR152" i="3"/>
  <c r="CE152" i="3"/>
  <c r="CH152" i="3"/>
  <c r="CK152" i="3"/>
  <c r="CL152" i="3"/>
  <c r="CM152" i="3"/>
  <c r="BO153" i="3"/>
  <c r="BR153" i="3"/>
  <c r="CE153" i="3"/>
  <c r="CH153" i="3"/>
  <c r="CK153" i="3"/>
  <c r="CL153" i="3"/>
  <c r="CM153" i="3"/>
  <c r="BO154" i="3"/>
  <c r="BR154" i="3"/>
  <c r="CE154" i="3"/>
  <c r="CH154" i="3"/>
  <c r="CK154" i="3"/>
  <c r="CL154" i="3"/>
  <c r="CM154" i="3"/>
  <c r="BO155" i="3"/>
  <c r="BR155" i="3"/>
  <c r="CE155" i="3"/>
  <c r="CH155" i="3"/>
  <c r="CK155" i="3"/>
  <c r="CL155" i="3"/>
  <c r="CM155" i="3"/>
  <c r="BO156" i="3"/>
  <c r="BR156" i="3"/>
  <c r="CE156" i="3"/>
  <c r="CH156" i="3"/>
  <c r="CK156" i="3"/>
  <c r="CL156" i="3"/>
  <c r="CM156" i="3"/>
  <c r="BO157" i="3"/>
  <c r="BR157" i="3"/>
  <c r="CE157" i="3"/>
  <c r="CH157" i="3"/>
  <c r="CK157" i="3"/>
  <c r="CL157" i="3"/>
  <c r="CM157" i="3"/>
  <c r="BO158" i="3"/>
  <c r="BR158" i="3"/>
  <c r="CE158" i="3"/>
  <c r="CH158" i="3"/>
  <c r="CK158" i="3"/>
  <c r="CL158" i="3"/>
  <c r="CM158" i="3"/>
  <c r="BO159" i="3"/>
  <c r="BR159" i="3"/>
  <c r="CE159" i="3"/>
  <c r="CH159" i="3"/>
  <c r="CK159" i="3"/>
  <c r="CL159" i="3"/>
  <c r="CM159" i="3"/>
  <c r="BO160" i="3"/>
  <c r="BR160" i="3"/>
  <c r="CE160" i="3"/>
  <c r="CH160" i="3"/>
  <c r="CK160" i="3"/>
  <c r="CL160" i="3"/>
  <c r="CM160" i="3"/>
  <c r="BO161" i="3"/>
  <c r="BR161" i="3"/>
  <c r="CE161" i="3"/>
  <c r="CH161" i="3"/>
  <c r="CK161" i="3"/>
  <c r="CL161" i="3"/>
  <c r="CM161" i="3"/>
  <c r="BO162" i="3"/>
  <c r="BR162" i="3"/>
  <c r="CE162" i="3"/>
  <c r="CH162" i="3"/>
  <c r="CK162" i="3"/>
  <c r="CL162" i="3"/>
  <c r="CM162" i="3"/>
  <c r="BO163" i="3"/>
  <c r="BR163" i="3"/>
  <c r="CE163" i="3"/>
  <c r="CH163" i="3"/>
  <c r="CK163" i="3"/>
  <c r="CL163" i="3"/>
  <c r="CM163" i="3"/>
  <c r="BO164" i="3"/>
  <c r="BR164" i="3"/>
  <c r="CE164" i="3"/>
  <c r="CH164" i="3"/>
  <c r="CK164" i="3"/>
  <c r="CL164" i="3"/>
  <c r="CM164" i="3"/>
  <c r="BO165" i="3"/>
  <c r="BR165" i="3"/>
  <c r="CE165" i="3"/>
  <c r="CH165" i="3"/>
  <c r="CK165" i="3"/>
  <c r="CL165" i="3"/>
  <c r="CM165" i="3"/>
  <c r="BO166" i="3"/>
  <c r="BR166" i="3"/>
  <c r="BU166" i="3"/>
  <c r="CE166" i="3"/>
  <c r="CH166" i="3"/>
  <c r="CK166" i="3"/>
  <c r="CL166" i="3"/>
  <c r="CM166" i="3"/>
  <c r="BO167" i="3"/>
  <c r="BR167" i="3"/>
  <c r="BU167" i="3"/>
  <c r="CE167" i="3"/>
  <c r="CH167" i="3"/>
  <c r="CK167" i="3"/>
  <c r="CL167" i="3"/>
  <c r="CM167" i="3"/>
  <c r="BO168" i="3"/>
  <c r="BR168" i="3"/>
  <c r="CE168" i="3"/>
  <c r="CH168" i="3"/>
  <c r="CK168" i="3"/>
  <c r="CL168" i="3"/>
  <c r="CM168" i="3"/>
  <c r="BO169" i="3"/>
  <c r="BR169" i="3"/>
  <c r="CE169" i="3"/>
  <c r="CH169" i="3"/>
  <c r="CK169" i="3"/>
  <c r="CL169" i="3"/>
  <c r="CM169" i="3"/>
  <c r="BO170" i="3"/>
  <c r="BR170" i="3"/>
  <c r="CE170" i="3"/>
  <c r="CH170" i="3"/>
  <c r="CK170" i="3"/>
  <c r="CL170" i="3"/>
  <c r="CM170" i="3"/>
  <c r="BO171" i="3"/>
  <c r="BR171" i="3"/>
  <c r="CE171" i="3"/>
  <c r="CH171" i="3"/>
  <c r="CK171" i="3"/>
  <c r="CL171" i="3"/>
  <c r="CM171" i="3"/>
  <c r="BO172" i="3"/>
  <c r="BR172" i="3"/>
  <c r="CE172" i="3"/>
  <c r="CH172" i="3"/>
  <c r="CK172" i="3"/>
  <c r="CL172" i="3"/>
  <c r="CM172" i="3"/>
  <c r="BO173" i="3"/>
  <c r="BR173" i="3"/>
  <c r="CE173" i="3"/>
  <c r="CH173" i="3"/>
  <c r="CK173" i="3"/>
  <c r="CL173" i="3"/>
  <c r="CM173" i="3"/>
  <c r="BO174" i="3"/>
  <c r="BR174" i="3"/>
  <c r="CE174" i="3"/>
  <c r="CH174" i="3"/>
  <c r="CK174" i="3"/>
  <c r="CL174" i="3"/>
  <c r="CM174" i="3"/>
  <c r="BO175" i="3"/>
  <c r="BR175" i="3"/>
  <c r="CE175" i="3"/>
  <c r="CH175" i="3"/>
  <c r="CK175" i="3"/>
  <c r="CL175" i="3"/>
  <c r="CM175" i="3"/>
  <c r="BO176" i="3"/>
  <c r="BR176" i="3"/>
  <c r="CE176" i="3"/>
  <c r="CH176" i="3"/>
  <c r="CK176" i="3"/>
  <c r="CL176" i="3"/>
  <c r="CM176" i="3"/>
  <c r="BO177" i="3"/>
  <c r="BR177" i="3"/>
  <c r="CE177" i="3"/>
  <c r="CH177" i="3"/>
  <c r="CK177" i="3"/>
  <c r="CL177" i="3"/>
  <c r="CM177" i="3"/>
  <c r="BO178" i="3"/>
  <c r="BR178" i="3"/>
  <c r="CE178" i="3"/>
  <c r="CH178" i="3"/>
  <c r="CK178" i="3"/>
  <c r="CL178" i="3"/>
  <c r="CM178" i="3"/>
  <c r="BO179" i="3"/>
  <c r="BR179" i="3"/>
  <c r="CE179" i="3"/>
  <c r="CH179" i="3"/>
  <c r="CK179" i="3"/>
  <c r="CL179" i="3"/>
  <c r="CM179" i="3"/>
  <c r="BO180" i="3"/>
  <c r="BR180" i="3"/>
  <c r="CE180" i="3"/>
  <c r="CH180" i="3"/>
  <c r="CK180" i="3"/>
  <c r="CL180" i="3"/>
  <c r="CM180" i="3"/>
  <c r="BO181" i="3"/>
  <c r="BR181" i="3"/>
  <c r="CE181" i="3"/>
  <c r="CH181" i="3"/>
  <c r="CK181" i="3"/>
  <c r="CL181" i="3"/>
  <c r="CM181" i="3"/>
  <c r="BO182" i="3"/>
  <c r="BR182" i="3"/>
  <c r="CE182" i="3"/>
  <c r="CH182" i="3"/>
  <c r="CK182" i="3"/>
  <c r="CL182" i="3"/>
  <c r="CM182" i="3"/>
  <c r="BO183" i="3"/>
  <c r="BR183" i="3"/>
  <c r="CE183" i="3"/>
  <c r="CH183" i="3"/>
  <c r="CK183" i="3"/>
  <c r="CL183" i="3"/>
  <c r="CM183" i="3"/>
  <c r="BO184" i="3"/>
  <c r="BR184" i="3"/>
  <c r="CE184" i="3"/>
  <c r="CH184" i="3"/>
  <c r="CK184" i="3"/>
  <c r="CL184" i="3"/>
  <c r="CM184" i="3"/>
  <c r="BO185" i="3"/>
  <c r="BR185" i="3"/>
  <c r="CE185" i="3"/>
  <c r="CH185" i="3"/>
  <c r="CK185" i="3"/>
  <c r="CL185" i="3"/>
  <c r="CM185" i="3"/>
  <c r="BO186" i="3"/>
  <c r="BR186" i="3"/>
  <c r="CE186" i="3"/>
  <c r="CH186" i="3"/>
  <c r="CK186" i="3"/>
  <c r="CL186" i="3"/>
  <c r="CM186" i="3"/>
  <c r="BO187" i="3"/>
  <c r="BR187" i="3"/>
  <c r="CE187" i="3"/>
  <c r="CH187" i="3"/>
  <c r="CK187" i="3"/>
  <c r="CL187" i="3"/>
  <c r="CM187" i="3"/>
  <c r="BO188" i="3"/>
  <c r="BR188" i="3"/>
  <c r="CE188" i="3"/>
  <c r="CH188" i="3"/>
  <c r="CK188" i="3"/>
  <c r="CL188" i="3"/>
  <c r="CM188" i="3"/>
  <c r="BO189" i="3"/>
  <c r="BR189" i="3"/>
  <c r="CE189" i="3"/>
  <c r="CH189" i="3"/>
  <c r="CK189" i="3"/>
  <c r="CL189" i="3"/>
  <c r="CM189" i="3"/>
  <c r="BO190" i="3"/>
  <c r="BR190" i="3"/>
  <c r="CE190" i="3"/>
  <c r="CH190" i="3"/>
  <c r="CK190" i="3"/>
  <c r="CL190" i="3"/>
  <c r="CM190" i="3"/>
  <c r="BO191" i="3"/>
  <c r="BR191" i="3"/>
  <c r="CE191" i="3"/>
  <c r="CH191" i="3"/>
  <c r="CK191" i="3"/>
  <c r="CL191" i="3"/>
  <c r="CM191" i="3"/>
  <c r="BO192" i="3"/>
  <c r="BR192" i="3"/>
  <c r="CE192" i="3"/>
  <c r="CH192" i="3"/>
  <c r="CK192" i="3"/>
  <c r="CL192" i="3"/>
  <c r="CM192" i="3"/>
  <c r="BO193" i="3"/>
  <c r="BR193" i="3"/>
  <c r="CE193" i="3"/>
  <c r="CH193" i="3"/>
  <c r="CK193" i="3"/>
  <c r="CL193" i="3"/>
  <c r="CM193" i="3"/>
  <c r="BO194" i="3"/>
  <c r="BR194" i="3"/>
  <c r="CE194" i="3"/>
  <c r="CH194" i="3"/>
  <c r="CK194" i="3"/>
  <c r="CL194" i="3"/>
  <c r="CM194" i="3"/>
  <c r="BO195" i="3"/>
  <c r="BR195" i="3"/>
  <c r="CE195" i="3"/>
  <c r="CH195" i="3"/>
  <c r="CK195" i="3"/>
  <c r="CL195" i="3"/>
  <c r="CM195" i="3"/>
  <c r="BO196" i="3"/>
  <c r="BR196" i="3"/>
  <c r="CE196" i="3"/>
  <c r="CH196" i="3"/>
  <c r="CK196" i="3"/>
  <c r="CL196" i="3"/>
  <c r="CM196" i="3"/>
  <c r="BO197" i="3"/>
  <c r="BR197" i="3"/>
  <c r="CE197" i="3"/>
  <c r="CH197" i="3"/>
  <c r="CK197" i="3"/>
  <c r="CL197" i="3"/>
  <c r="CM197" i="3"/>
  <c r="BO198" i="3"/>
  <c r="BR198" i="3"/>
  <c r="CE198" i="3"/>
  <c r="CH198" i="3"/>
  <c r="CK198" i="3"/>
  <c r="CL198" i="3"/>
  <c r="CM198" i="3"/>
  <c r="BO199" i="3"/>
  <c r="BR199" i="3"/>
  <c r="CE199" i="3"/>
  <c r="CH199" i="3"/>
  <c r="CK199" i="3"/>
  <c r="CL199" i="3"/>
  <c r="CM199" i="3"/>
  <c r="BO200" i="3"/>
  <c r="BR200" i="3"/>
  <c r="CE200" i="3"/>
  <c r="CH200" i="3"/>
  <c r="CK200" i="3"/>
  <c r="CL200" i="3"/>
  <c r="CM200" i="3"/>
  <c r="BO201" i="3"/>
  <c r="BR201" i="3"/>
  <c r="CE201" i="3"/>
  <c r="CH201" i="3"/>
  <c r="CK201" i="3"/>
  <c r="CL201" i="3"/>
  <c r="CM201" i="3"/>
  <c r="BO202" i="3"/>
  <c r="BR202" i="3"/>
  <c r="CE202" i="3"/>
  <c r="CH202" i="3"/>
  <c r="CK202" i="3"/>
  <c r="CL202" i="3"/>
  <c r="CM202" i="3"/>
  <c r="BO203" i="3"/>
  <c r="BR203" i="3"/>
  <c r="CE203" i="3"/>
  <c r="CH203" i="3"/>
  <c r="CK203" i="3"/>
  <c r="CL203" i="3"/>
  <c r="CM203" i="3"/>
  <c r="BO204" i="3"/>
  <c r="BR204" i="3"/>
  <c r="CE204" i="3"/>
  <c r="CH204" i="3"/>
  <c r="CK204" i="3"/>
  <c r="CL204" i="3"/>
  <c r="CM204" i="3"/>
  <c r="BO205" i="3"/>
  <c r="BR205" i="3"/>
  <c r="CE205" i="3"/>
  <c r="CH205" i="3"/>
  <c r="CK205" i="3"/>
  <c r="CL205" i="3"/>
  <c r="CM205" i="3"/>
  <c r="BO206" i="3"/>
  <c r="BR206" i="3"/>
  <c r="CE206" i="3"/>
  <c r="CH206" i="3"/>
  <c r="CK206" i="3"/>
  <c r="CL206" i="3"/>
  <c r="CM206" i="3"/>
  <c r="BO207" i="3"/>
  <c r="BR207" i="3"/>
  <c r="CE207" i="3"/>
  <c r="CH207" i="3"/>
  <c r="CK207" i="3"/>
  <c r="CL207" i="3"/>
  <c r="CM207" i="3"/>
  <c r="BO208" i="3"/>
  <c r="BR208" i="3"/>
  <c r="CE208" i="3"/>
  <c r="CH208" i="3"/>
  <c r="CK208" i="3"/>
  <c r="CL208" i="3"/>
  <c r="CM208" i="3"/>
  <c r="BO209" i="3"/>
  <c r="BR209" i="3"/>
  <c r="CE209" i="3"/>
  <c r="CH209" i="3"/>
  <c r="CK209" i="3"/>
  <c r="CL209" i="3"/>
  <c r="CM209" i="3"/>
  <c r="BO210" i="3"/>
  <c r="BR210" i="3"/>
  <c r="CE210" i="3"/>
  <c r="CH210" i="3"/>
  <c r="CK210" i="3"/>
  <c r="CL210" i="3"/>
  <c r="CM210" i="3"/>
  <c r="BO211" i="3"/>
  <c r="BR211" i="3"/>
  <c r="CE211" i="3"/>
  <c r="CH211" i="3"/>
  <c r="CK211" i="3"/>
  <c r="CL211" i="3"/>
  <c r="CM211" i="3"/>
  <c r="BO212" i="3"/>
  <c r="BR212" i="3"/>
  <c r="CE212" i="3"/>
  <c r="CH212" i="3"/>
  <c r="CK212" i="3"/>
  <c r="CL212" i="3"/>
  <c r="CM212" i="3"/>
  <c r="BO213" i="3"/>
  <c r="BR213" i="3"/>
  <c r="CE213" i="3"/>
  <c r="CH213" i="3"/>
  <c r="CK213" i="3"/>
  <c r="CL213" i="3"/>
  <c r="CM213" i="3"/>
  <c r="BO214" i="3"/>
  <c r="BR214" i="3"/>
  <c r="CE214" i="3"/>
  <c r="CH214" i="3"/>
  <c r="CK214" i="3"/>
  <c r="CL214" i="3"/>
  <c r="CM214" i="3"/>
  <c r="BO215" i="3"/>
  <c r="BR215" i="3"/>
  <c r="CE215" i="3"/>
  <c r="CH215" i="3"/>
  <c r="CK215" i="3"/>
  <c r="CL215" i="3"/>
  <c r="CM215" i="3"/>
  <c r="BO216" i="3"/>
  <c r="BR216" i="3"/>
  <c r="BU216" i="3"/>
  <c r="CE216" i="3"/>
  <c r="CH216" i="3"/>
  <c r="CK216" i="3"/>
  <c r="CL216" i="3"/>
  <c r="CM216" i="3"/>
  <c r="BO217" i="3"/>
  <c r="BR217" i="3"/>
  <c r="CE217" i="3"/>
  <c r="CH217" i="3"/>
  <c r="CK217" i="3"/>
  <c r="CL217" i="3"/>
  <c r="CM217" i="3"/>
  <c r="BO218" i="3"/>
  <c r="BR218" i="3"/>
  <c r="CE218" i="3"/>
  <c r="CH218" i="3"/>
  <c r="CK218" i="3"/>
  <c r="CL218" i="3"/>
  <c r="CM218" i="3"/>
  <c r="BO219" i="3"/>
  <c r="BR219" i="3"/>
  <c r="CE219" i="3"/>
  <c r="CH219" i="3"/>
  <c r="CK219" i="3"/>
  <c r="CL219" i="3"/>
  <c r="CM219" i="3"/>
  <c r="BO220" i="3"/>
  <c r="BR220" i="3"/>
  <c r="CE220" i="3"/>
  <c r="CH220" i="3"/>
  <c r="CK220" i="3"/>
  <c r="CL220" i="3"/>
  <c r="CM220" i="3"/>
  <c r="BO221" i="3"/>
  <c r="BR221" i="3"/>
  <c r="CE221" i="3"/>
  <c r="CH221" i="3"/>
  <c r="CK221" i="3"/>
  <c r="CL221" i="3"/>
  <c r="CM221" i="3"/>
  <c r="BO222" i="3"/>
  <c r="BR222" i="3"/>
  <c r="CE222" i="3"/>
  <c r="CH222" i="3"/>
  <c r="CK222" i="3"/>
  <c r="CL222" i="3"/>
  <c r="CM222" i="3"/>
  <c r="BO223" i="3"/>
  <c r="BR223" i="3"/>
  <c r="CE223" i="3"/>
  <c r="CH223" i="3"/>
  <c r="CK223" i="3"/>
  <c r="CL223" i="3"/>
  <c r="CM223" i="3"/>
  <c r="BO224" i="3"/>
  <c r="BR224" i="3"/>
  <c r="CE224" i="3"/>
  <c r="CH224" i="3"/>
  <c r="CK224" i="3"/>
  <c r="CL224" i="3"/>
  <c r="CM224" i="3"/>
  <c r="BO225" i="3"/>
  <c r="BR225" i="3"/>
  <c r="CE225" i="3"/>
  <c r="CH225" i="3"/>
  <c r="CK225" i="3"/>
  <c r="CL225" i="3"/>
  <c r="CM225" i="3"/>
  <c r="BO226" i="3"/>
  <c r="BR226" i="3"/>
  <c r="CE226" i="3"/>
  <c r="CH226" i="3"/>
  <c r="CK226" i="3"/>
  <c r="CL226" i="3"/>
  <c r="CM226" i="3"/>
  <c r="BO227" i="3"/>
  <c r="BR227" i="3"/>
  <c r="BU227" i="3"/>
  <c r="CE227" i="3"/>
  <c r="CH227" i="3"/>
  <c r="CK227" i="3"/>
  <c r="CL227" i="3"/>
  <c r="CM227" i="3"/>
  <c r="BO228" i="3"/>
  <c r="BR228" i="3"/>
  <c r="BU228" i="3"/>
  <c r="CE228" i="3"/>
  <c r="CH228" i="3"/>
  <c r="CK228" i="3"/>
  <c r="CL228" i="3"/>
  <c r="CM228" i="3"/>
  <c r="BO229" i="3"/>
  <c r="BR229" i="3"/>
  <c r="BU229" i="3"/>
  <c r="CE229" i="3"/>
  <c r="CH229" i="3"/>
  <c r="CK229" i="3"/>
  <c r="CL229" i="3"/>
  <c r="CM229" i="3"/>
  <c r="BO230" i="3"/>
  <c r="BR230" i="3"/>
  <c r="BU230" i="3"/>
  <c r="CE230" i="3"/>
  <c r="CH230" i="3"/>
  <c r="CK230" i="3"/>
  <c r="CL230" i="3"/>
  <c r="CM230" i="3"/>
  <c r="BO231" i="3"/>
  <c r="BR231" i="3"/>
  <c r="BU231" i="3"/>
  <c r="CE231" i="3"/>
  <c r="CH231" i="3"/>
  <c r="CK231" i="3"/>
  <c r="CL231" i="3"/>
  <c r="CM231" i="3"/>
  <c r="BO232" i="3"/>
  <c r="BR232" i="3"/>
  <c r="BU232" i="3"/>
  <c r="CE232" i="3"/>
  <c r="CH232" i="3"/>
  <c r="CK232" i="3"/>
  <c r="CL232" i="3"/>
  <c r="CM232" i="3"/>
  <c r="BO233" i="3"/>
  <c r="BR233" i="3"/>
  <c r="BU233" i="3"/>
  <c r="CE233" i="3"/>
  <c r="CH233" i="3"/>
  <c r="CK233" i="3"/>
  <c r="CL233" i="3"/>
  <c r="CM233" i="3"/>
  <c r="BO234" i="3"/>
  <c r="BR234" i="3"/>
  <c r="BU234" i="3"/>
  <c r="CE234" i="3"/>
  <c r="CH234" i="3"/>
  <c r="CK234" i="3"/>
  <c r="CL234" i="3"/>
  <c r="CM234" i="3"/>
  <c r="BO235" i="3"/>
  <c r="BR235" i="3"/>
  <c r="BU235" i="3"/>
  <c r="CE235" i="3"/>
  <c r="CH235" i="3"/>
  <c r="CK235" i="3"/>
  <c r="CL235" i="3"/>
  <c r="CM235" i="3"/>
  <c r="BO236" i="3"/>
  <c r="BR236" i="3"/>
  <c r="BU236" i="3"/>
  <c r="CE236" i="3"/>
  <c r="CH236" i="3"/>
  <c r="CK236" i="3"/>
  <c r="CL236" i="3"/>
  <c r="CM236" i="3"/>
  <c r="BO237" i="3"/>
  <c r="BR237" i="3"/>
  <c r="BU237" i="3"/>
  <c r="CE237" i="3"/>
  <c r="CH237" i="3"/>
  <c r="CK237" i="3"/>
  <c r="CL237" i="3"/>
  <c r="CM237" i="3"/>
  <c r="BO238" i="3"/>
  <c r="BR238" i="3"/>
  <c r="BU238" i="3"/>
  <c r="CE238" i="3"/>
  <c r="CH238" i="3"/>
  <c r="CK238" i="3"/>
  <c r="CL238" i="3"/>
  <c r="CM238" i="3"/>
  <c r="BO239" i="3"/>
  <c r="BR239" i="3"/>
  <c r="BU239" i="3"/>
  <c r="CE239" i="3"/>
  <c r="CH239" i="3"/>
  <c r="CK239" i="3"/>
  <c r="CL239" i="3"/>
  <c r="CM239" i="3"/>
  <c r="BO240" i="3"/>
  <c r="BR240" i="3"/>
  <c r="BU240" i="3"/>
  <c r="CE240" i="3"/>
  <c r="CH240" i="3"/>
  <c r="CK240" i="3"/>
  <c r="CL240" i="3"/>
  <c r="CM240" i="3"/>
  <c r="BO241" i="3"/>
  <c r="BR241" i="3"/>
  <c r="BU241" i="3"/>
  <c r="CE241" i="3"/>
  <c r="CH241" i="3"/>
  <c r="CK241" i="3"/>
  <c r="CL241" i="3"/>
  <c r="CM241" i="3"/>
  <c r="BO242" i="3"/>
  <c r="BR242" i="3"/>
  <c r="BU242" i="3"/>
  <c r="CE242" i="3"/>
  <c r="CH242" i="3"/>
  <c r="CK242" i="3"/>
  <c r="CL242" i="3"/>
  <c r="CM242" i="3"/>
  <c r="BO243" i="3"/>
  <c r="BR243" i="3"/>
  <c r="BU243" i="3"/>
  <c r="CE243" i="3"/>
  <c r="CH243" i="3"/>
  <c r="CK243" i="3"/>
  <c r="CL243" i="3"/>
  <c r="CM243" i="3"/>
  <c r="BO244" i="3"/>
  <c r="BR244" i="3"/>
  <c r="BU244" i="3"/>
  <c r="CE244" i="3"/>
  <c r="CH244" i="3"/>
  <c r="CK244" i="3"/>
  <c r="CL244" i="3"/>
  <c r="CM244" i="3"/>
  <c r="BO245" i="3"/>
  <c r="BR245" i="3"/>
  <c r="BU245" i="3"/>
  <c r="CE245" i="3"/>
  <c r="CH245" i="3"/>
  <c r="CK245" i="3"/>
  <c r="CL245" i="3"/>
  <c r="CM245" i="3"/>
  <c r="BO246" i="3"/>
  <c r="BR246" i="3"/>
  <c r="BU246" i="3"/>
  <c r="CE246" i="3"/>
  <c r="CH246" i="3"/>
  <c r="CK246" i="3"/>
  <c r="CL246" i="3"/>
  <c r="CM246" i="3"/>
  <c r="BO247" i="3"/>
  <c r="BR247" i="3"/>
  <c r="BU247" i="3"/>
  <c r="CE247" i="3"/>
  <c r="CH247" i="3"/>
  <c r="CK247" i="3"/>
  <c r="CL247" i="3"/>
  <c r="CM247" i="3"/>
  <c r="BO248" i="3"/>
  <c r="BR248" i="3"/>
  <c r="BU248" i="3"/>
  <c r="CE248" i="3"/>
  <c r="CH248" i="3"/>
  <c r="CK248" i="3"/>
  <c r="CL248" i="3"/>
  <c r="CM248" i="3"/>
  <c r="BO249" i="3"/>
  <c r="BR249" i="3"/>
  <c r="BU249" i="3"/>
  <c r="CE249" i="3"/>
  <c r="CH249" i="3"/>
  <c r="CK249" i="3"/>
  <c r="CL249" i="3"/>
  <c r="CM249" i="3"/>
  <c r="BO250" i="3"/>
  <c r="BR250" i="3"/>
  <c r="BU250" i="3"/>
  <c r="CE250" i="3"/>
  <c r="CH250" i="3"/>
  <c r="CK250" i="3"/>
  <c r="CL250" i="3"/>
  <c r="CM250" i="3"/>
  <c r="BO251" i="3"/>
  <c r="BR251" i="3"/>
  <c r="BU251" i="3"/>
  <c r="CE251" i="3"/>
  <c r="CH251" i="3"/>
  <c r="CK251" i="3"/>
  <c r="CL251" i="3"/>
  <c r="CM251" i="3"/>
  <c r="BO252" i="3"/>
  <c r="BR252" i="3"/>
  <c r="BU252" i="3"/>
  <c r="CE252" i="3"/>
  <c r="CH252" i="3"/>
  <c r="CK252" i="3"/>
  <c r="CL252" i="3"/>
  <c r="CM252" i="3"/>
  <c r="BO253" i="3"/>
  <c r="BR253" i="3"/>
  <c r="BU253" i="3"/>
  <c r="CE253" i="3"/>
  <c r="CH253" i="3"/>
  <c r="CK253" i="3"/>
  <c r="CL253" i="3"/>
  <c r="CM253" i="3"/>
  <c r="BU254" i="3"/>
  <c r="CH254" i="3"/>
  <c r="CK254" i="3"/>
  <c r="CL254" i="3"/>
  <c r="CM254" i="3"/>
  <c r="BU255" i="3"/>
  <c r="CH255" i="3"/>
  <c r="CK255" i="3"/>
  <c r="CL255" i="3"/>
  <c r="CM255" i="3"/>
  <c r="BU256" i="3"/>
  <c r="CH256" i="3"/>
  <c r="CK256" i="3"/>
  <c r="CL256" i="3"/>
  <c r="CM256" i="3"/>
  <c r="BO257" i="3"/>
  <c r="BR257" i="3"/>
  <c r="BU257" i="3"/>
  <c r="CE257" i="3"/>
  <c r="CH257" i="3"/>
  <c r="CK257" i="3"/>
  <c r="CL257" i="3"/>
  <c r="CM257" i="3"/>
  <c r="BO258" i="3"/>
  <c r="BR258" i="3"/>
  <c r="BU258" i="3"/>
  <c r="CE258" i="3"/>
  <c r="CH258" i="3"/>
  <c r="CK258" i="3"/>
  <c r="CL258" i="3"/>
  <c r="CM258" i="3"/>
  <c r="BO259" i="3"/>
  <c r="BR259" i="3"/>
  <c r="BU259" i="3"/>
  <c r="CE259" i="3"/>
  <c r="CH259" i="3"/>
  <c r="CK259" i="3"/>
  <c r="CL259" i="3"/>
  <c r="CM259" i="3"/>
  <c r="BO260" i="3"/>
  <c r="BR260" i="3"/>
  <c r="BU260" i="3"/>
  <c r="CE260" i="3"/>
  <c r="CH260" i="3"/>
  <c r="CK260" i="3"/>
  <c r="CL260" i="3"/>
  <c r="CM260" i="3"/>
  <c r="BO261" i="3"/>
  <c r="BR261" i="3"/>
  <c r="BU261" i="3"/>
  <c r="CE261" i="3"/>
  <c r="CH261" i="3"/>
  <c r="CK261" i="3"/>
  <c r="CL261" i="3"/>
  <c r="CM261" i="3"/>
  <c r="BO262" i="3"/>
  <c r="BR262" i="3"/>
  <c r="BU262" i="3"/>
  <c r="CE262" i="3"/>
  <c r="CH262" i="3"/>
  <c r="CK262" i="3"/>
  <c r="CL262" i="3"/>
  <c r="CM262" i="3"/>
  <c r="BO263" i="3"/>
  <c r="BR263" i="3"/>
  <c r="BU263" i="3"/>
  <c r="CE263" i="3"/>
  <c r="CH263" i="3"/>
  <c r="CK263" i="3"/>
  <c r="CL263" i="3"/>
  <c r="CM263" i="3"/>
  <c r="BO264" i="3"/>
  <c r="BR264" i="3"/>
  <c r="BU264" i="3"/>
  <c r="CE264" i="3"/>
  <c r="CH264" i="3"/>
  <c r="CK264" i="3"/>
  <c r="CL264" i="3"/>
  <c r="CM264" i="3"/>
  <c r="BO265" i="3"/>
  <c r="BR265" i="3"/>
  <c r="BU265" i="3"/>
  <c r="CE265" i="3"/>
  <c r="CH265" i="3"/>
  <c r="CK265" i="3"/>
  <c r="CL265" i="3"/>
  <c r="CM265" i="3"/>
  <c r="BO266" i="3"/>
  <c r="BR266" i="3"/>
  <c r="BU266" i="3"/>
  <c r="CE266" i="3"/>
  <c r="CH266" i="3"/>
  <c r="CK266" i="3"/>
  <c r="CL266" i="3"/>
  <c r="CM266" i="3"/>
  <c r="BO267" i="3"/>
  <c r="BR267" i="3"/>
  <c r="BU267" i="3"/>
  <c r="CE267" i="3"/>
  <c r="CH267" i="3"/>
  <c r="CK267" i="3"/>
  <c r="CL267" i="3"/>
  <c r="CM267" i="3"/>
  <c r="BO268" i="3"/>
  <c r="BR268" i="3"/>
  <c r="BU268" i="3"/>
  <c r="CE268" i="3"/>
  <c r="CH268" i="3"/>
  <c r="CK268" i="3"/>
  <c r="CL268" i="3"/>
  <c r="CM268" i="3"/>
  <c r="BO269" i="3"/>
  <c r="BR269" i="3"/>
  <c r="BU269" i="3"/>
  <c r="CE269" i="3"/>
  <c r="CH269" i="3"/>
  <c r="CK269" i="3"/>
  <c r="CL269" i="3"/>
  <c r="CM269" i="3"/>
  <c r="BO270" i="3"/>
  <c r="BR270" i="3"/>
  <c r="BU270" i="3"/>
  <c r="CE270" i="3"/>
  <c r="CH270" i="3"/>
  <c r="CK270" i="3"/>
  <c r="CL270" i="3"/>
  <c r="CM270" i="3"/>
  <c r="BO271" i="3"/>
  <c r="BR271" i="3"/>
  <c r="BU271" i="3"/>
  <c r="CE271" i="3"/>
  <c r="CH271" i="3"/>
  <c r="CK271" i="3"/>
  <c r="CL271" i="3"/>
  <c r="CM271" i="3"/>
  <c r="BO272" i="3"/>
  <c r="BR272" i="3"/>
  <c r="BU272" i="3"/>
  <c r="CE272" i="3"/>
  <c r="CH272" i="3"/>
  <c r="CK272" i="3"/>
  <c r="CL272" i="3"/>
  <c r="CM272" i="3"/>
  <c r="BO273" i="3"/>
  <c r="BR273" i="3"/>
  <c r="BU273" i="3"/>
  <c r="CE273" i="3"/>
  <c r="CH273" i="3"/>
  <c r="CK273" i="3"/>
  <c r="CL273" i="3"/>
  <c r="CM273" i="3"/>
  <c r="BO274" i="3"/>
  <c r="BR274" i="3"/>
  <c r="BU274" i="3"/>
  <c r="CE274" i="3"/>
  <c r="CH274" i="3"/>
  <c r="CK274" i="3"/>
  <c r="CL274" i="3"/>
  <c r="CM274" i="3"/>
  <c r="BO275" i="3"/>
  <c r="BR275" i="3"/>
  <c r="CE275" i="3"/>
  <c r="CH275" i="3"/>
  <c r="CK275" i="3"/>
  <c r="CL275" i="3"/>
  <c r="CM275" i="3"/>
  <c r="BO276" i="3"/>
  <c r="BR276" i="3"/>
  <c r="CE276" i="3"/>
  <c r="CH276" i="3"/>
  <c r="CK276" i="3"/>
  <c r="CL276" i="3"/>
  <c r="CM276" i="3"/>
  <c r="BO277" i="3"/>
  <c r="BR277" i="3"/>
  <c r="CE277" i="3"/>
  <c r="CH277" i="3"/>
  <c r="CK277" i="3"/>
  <c r="CL277" i="3"/>
  <c r="CM277" i="3"/>
  <c r="BO278" i="3"/>
  <c r="BR278" i="3"/>
  <c r="CE278" i="3"/>
  <c r="CH278" i="3"/>
  <c r="CK278" i="3"/>
  <c r="CL278" i="3"/>
  <c r="CM278" i="3"/>
  <c r="BO279" i="3"/>
  <c r="BR279" i="3"/>
  <c r="BU279" i="3"/>
  <c r="CE279" i="3"/>
  <c r="CH279" i="3"/>
  <c r="CK279" i="3"/>
  <c r="CL279" i="3"/>
  <c r="CM279" i="3"/>
  <c r="BO280" i="3"/>
  <c r="BR280" i="3"/>
  <c r="BU280" i="3"/>
  <c r="CE280" i="3"/>
  <c r="CH280" i="3"/>
  <c r="CK280" i="3"/>
  <c r="CL280" i="3"/>
  <c r="CM280" i="3"/>
  <c r="BO281" i="3"/>
  <c r="BR281" i="3"/>
  <c r="BU281" i="3"/>
  <c r="CE281" i="3"/>
  <c r="CH281" i="3"/>
  <c r="CK281" i="3"/>
  <c r="CL281" i="3"/>
  <c r="CM281" i="3"/>
  <c r="BO24" i="3"/>
  <c r="BR24" i="3"/>
  <c r="CE24" i="3"/>
  <c r="CH24" i="3"/>
  <c r="CK24" i="3"/>
  <c r="CL24" i="3"/>
  <c r="CM24" i="3"/>
  <c r="BO25" i="3"/>
  <c r="BR25" i="3"/>
  <c r="CE25" i="3"/>
  <c r="CH25" i="3"/>
  <c r="CK25" i="3"/>
  <c r="CL25" i="3"/>
  <c r="CM25" i="3"/>
  <c r="BO26" i="3"/>
  <c r="BR26" i="3"/>
  <c r="CE26" i="3"/>
  <c r="CH26" i="3"/>
  <c r="CK26" i="3"/>
  <c r="CL26" i="3"/>
  <c r="CM26" i="3"/>
  <c r="BO27" i="3"/>
  <c r="BR27" i="3"/>
  <c r="CE27" i="3"/>
  <c r="CH27" i="3"/>
  <c r="CK27" i="3"/>
  <c r="CL27" i="3"/>
  <c r="CM27" i="3"/>
  <c r="BO28" i="3"/>
  <c r="BR28" i="3"/>
  <c r="CE28" i="3"/>
  <c r="CH28" i="3"/>
  <c r="CK28" i="3"/>
  <c r="CL28" i="3"/>
  <c r="CM28" i="3"/>
  <c r="BO29" i="3"/>
  <c r="BR29" i="3"/>
  <c r="CE29" i="3"/>
  <c r="CH29" i="3"/>
  <c r="CK29" i="3"/>
  <c r="CL29" i="3"/>
  <c r="CM29" i="3"/>
  <c r="BO30" i="3"/>
  <c r="BR30" i="3"/>
  <c r="CE30" i="3"/>
  <c r="CH30" i="3"/>
  <c r="CK30" i="3"/>
  <c r="CL30" i="3"/>
  <c r="CM30" i="3"/>
  <c r="BO31" i="3"/>
  <c r="BR31" i="3"/>
  <c r="CE31" i="3"/>
  <c r="CH31" i="3"/>
  <c r="CK31" i="3"/>
  <c r="CL31" i="3"/>
  <c r="CM31" i="3"/>
  <c r="BO32" i="3"/>
  <c r="BR32" i="3"/>
  <c r="CE32" i="3"/>
  <c r="CH32" i="3"/>
  <c r="CK32" i="3"/>
  <c r="CL32" i="3"/>
  <c r="CM32" i="3"/>
  <c r="BO33" i="3"/>
  <c r="BR33" i="3"/>
  <c r="CE33" i="3"/>
  <c r="CH33" i="3"/>
  <c r="CK33" i="3"/>
  <c r="CL33" i="3"/>
  <c r="CM33" i="3"/>
  <c r="BO34" i="3"/>
  <c r="BR34" i="3"/>
  <c r="CE34" i="3"/>
  <c r="CH34" i="3"/>
  <c r="CK34" i="3"/>
  <c r="CL34" i="3"/>
  <c r="CM34" i="3"/>
  <c r="BO35" i="3"/>
  <c r="BR35" i="3"/>
  <c r="CE35" i="3"/>
  <c r="CH35" i="3"/>
  <c r="CK35" i="3"/>
  <c r="CL35" i="3"/>
  <c r="CM35" i="3"/>
  <c r="BO36" i="3"/>
  <c r="BR36" i="3"/>
  <c r="CE36" i="3"/>
  <c r="CH36" i="3"/>
  <c r="CK36" i="3"/>
  <c r="CL36" i="3"/>
  <c r="CM36" i="3"/>
  <c r="BO37" i="3"/>
  <c r="BR37" i="3"/>
  <c r="CE37" i="3"/>
  <c r="CH37" i="3"/>
  <c r="CK37" i="3"/>
  <c r="CL37" i="3"/>
  <c r="CM37" i="3"/>
  <c r="BO38" i="3"/>
  <c r="BR38" i="3"/>
  <c r="CE38" i="3"/>
  <c r="CH38" i="3"/>
  <c r="CK38" i="3"/>
  <c r="CL38" i="3"/>
  <c r="CM38" i="3"/>
  <c r="BO39" i="3"/>
  <c r="BR39" i="3"/>
  <c r="CE39" i="3"/>
  <c r="CH39" i="3"/>
  <c r="CK39" i="3"/>
  <c r="CL39" i="3"/>
  <c r="CM39" i="3"/>
  <c r="BO40" i="3"/>
  <c r="BR40" i="3"/>
  <c r="CE40" i="3"/>
  <c r="CH40" i="3"/>
  <c r="CK40" i="3"/>
  <c r="CL40" i="3"/>
  <c r="CM40" i="3"/>
  <c r="BO41" i="3"/>
  <c r="BR41" i="3"/>
  <c r="CE41" i="3"/>
  <c r="CH41" i="3"/>
  <c r="CK41" i="3"/>
  <c r="CL41" i="3"/>
  <c r="CM41" i="3"/>
  <c r="BO42" i="3"/>
  <c r="BR42" i="3"/>
  <c r="CE42" i="3"/>
  <c r="CH42" i="3"/>
  <c r="CK42" i="3"/>
  <c r="CL42" i="3"/>
  <c r="CM42" i="3"/>
  <c r="BO43" i="3"/>
  <c r="BR43" i="3"/>
  <c r="CE43" i="3"/>
  <c r="CH43" i="3"/>
  <c r="CK43" i="3"/>
  <c r="CL43" i="3"/>
  <c r="CM43" i="3"/>
  <c r="BO44" i="3"/>
  <c r="BR44" i="3"/>
  <c r="CE44" i="3"/>
  <c r="CH44" i="3"/>
  <c r="CK44" i="3"/>
  <c r="CL44" i="3"/>
  <c r="CM44" i="3"/>
  <c r="BO45" i="3"/>
  <c r="BR45" i="3"/>
  <c r="CE45" i="3"/>
  <c r="CH45" i="3"/>
  <c r="CK45" i="3"/>
  <c r="CL45" i="3"/>
  <c r="CM45" i="3"/>
  <c r="BO46" i="3"/>
  <c r="BR46" i="3"/>
  <c r="CE46" i="3"/>
  <c r="CH46" i="3"/>
  <c r="CK46" i="3"/>
  <c r="CL46" i="3"/>
  <c r="CM46" i="3"/>
  <c r="BO47" i="3"/>
  <c r="BR47" i="3"/>
  <c r="CE47" i="3"/>
  <c r="CH47" i="3"/>
  <c r="CK47" i="3"/>
  <c r="CL47" i="3"/>
  <c r="CM47" i="3"/>
  <c r="BO48" i="3"/>
  <c r="BR48" i="3"/>
  <c r="CE48" i="3"/>
  <c r="CH48" i="3"/>
  <c r="CK48" i="3"/>
  <c r="CL48" i="3"/>
  <c r="CM48" i="3"/>
  <c r="BO49" i="3"/>
  <c r="BR49" i="3"/>
  <c r="CE49" i="3"/>
  <c r="CH49" i="3"/>
  <c r="CK49" i="3"/>
  <c r="CL49" i="3"/>
  <c r="CM49" i="3"/>
  <c r="BO50" i="3"/>
  <c r="BR50" i="3"/>
  <c r="CE50" i="3"/>
  <c r="CH50" i="3"/>
  <c r="CK50" i="3"/>
  <c r="CL50" i="3"/>
  <c r="CM50" i="3"/>
  <c r="BO51" i="3"/>
  <c r="BR51" i="3"/>
  <c r="CE51" i="3"/>
  <c r="CH51" i="3"/>
  <c r="CK51" i="3"/>
  <c r="CL51" i="3"/>
  <c r="CM51" i="3"/>
  <c r="BO52" i="3"/>
  <c r="BR52" i="3"/>
  <c r="CE52" i="3"/>
  <c r="CH52" i="3"/>
  <c r="CK52" i="3"/>
  <c r="CL52" i="3"/>
  <c r="CM52" i="3"/>
  <c r="BO53" i="3"/>
  <c r="BR53" i="3"/>
  <c r="CE53" i="3"/>
  <c r="CH53" i="3"/>
  <c r="CK53" i="3"/>
  <c r="CL53" i="3"/>
  <c r="CM53" i="3"/>
  <c r="BO54" i="3"/>
  <c r="BR54" i="3"/>
  <c r="CE54" i="3"/>
  <c r="CH54" i="3"/>
  <c r="CK54" i="3"/>
  <c r="CL54" i="3"/>
  <c r="CM54" i="3"/>
  <c r="BO55" i="3"/>
  <c r="BR55" i="3"/>
  <c r="CE55" i="3"/>
  <c r="CH55" i="3"/>
  <c r="CK55" i="3"/>
  <c r="CL55" i="3"/>
  <c r="CM55" i="3"/>
  <c r="BO56" i="3"/>
  <c r="BR56" i="3"/>
  <c r="CE56" i="3"/>
  <c r="CH56" i="3"/>
  <c r="CK56" i="3"/>
  <c r="CL56" i="3"/>
  <c r="CM56" i="3"/>
  <c r="BO57" i="3"/>
  <c r="BR57" i="3"/>
  <c r="CE57" i="3"/>
  <c r="CH57" i="3"/>
  <c r="CK57" i="3"/>
  <c r="CL57" i="3"/>
  <c r="CM57" i="3"/>
  <c r="BO58" i="3"/>
  <c r="BR58" i="3"/>
  <c r="CE58" i="3"/>
  <c r="CH58" i="3"/>
  <c r="CK58" i="3"/>
  <c r="CL58" i="3"/>
  <c r="CM58" i="3"/>
  <c r="BO59" i="3"/>
  <c r="BR59" i="3"/>
  <c r="CE59" i="3"/>
  <c r="CH59" i="3"/>
  <c r="CK59" i="3"/>
  <c r="CL59" i="3"/>
  <c r="CM59" i="3"/>
  <c r="BO60" i="3"/>
  <c r="BR60" i="3"/>
  <c r="CE60" i="3"/>
  <c r="CH60" i="3"/>
  <c r="CK60" i="3"/>
  <c r="CL60" i="3"/>
  <c r="CM60" i="3"/>
  <c r="BO61" i="3"/>
  <c r="BR61" i="3"/>
  <c r="CE61" i="3"/>
  <c r="CH61" i="3"/>
  <c r="CK61" i="3"/>
  <c r="CL61" i="3"/>
  <c r="CM61" i="3"/>
  <c r="BO62" i="3"/>
  <c r="BR62" i="3"/>
  <c r="CE62" i="3"/>
  <c r="CH62" i="3"/>
  <c r="CK62" i="3"/>
  <c r="CL62" i="3"/>
  <c r="CM62" i="3"/>
  <c r="BO63" i="3"/>
  <c r="BR63" i="3"/>
  <c r="CE63" i="3"/>
  <c r="CH63" i="3"/>
  <c r="CK63" i="3"/>
  <c r="CL63" i="3"/>
  <c r="CM63" i="3"/>
  <c r="BO64" i="3"/>
  <c r="BR64" i="3"/>
  <c r="CE64" i="3"/>
  <c r="CH64" i="3"/>
  <c r="CK64" i="3"/>
  <c r="CL64" i="3"/>
  <c r="CM64" i="3"/>
  <c r="BO65" i="3"/>
  <c r="BR65" i="3"/>
  <c r="CE65" i="3"/>
  <c r="CH65" i="3"/>
  <c r="CK65" i="3"/>
  <c r="CL65" i="3"/>
  <c r="CM65" i="3"/>
  <c r="BO66" i="3"/>
  <c r="BR66" i="3"/>
  <c r="CE66" i="3"/>
  <c r="CH66" i="3"/>
  <c r="CK66" i="3"/>
  <c r="CL66" i="3"/>
  <c r="CM66" i="3"/>
  <c r="BO67" i="3"/>
  <c r="BR67" i="3"/>
  <c r="CE67" i="3"/>
  <c r="CH67" i="3"/>
  <c r="CK67" i="3"/>
  <c r="CL67" i="3"/>
  <c r="CM67" i="3"/>
  <c r="BO68" i="3"/>
  <c r="BR68" i="3"/>
  <c r="CE68" i="3"/>
  <c r="CH68" i="3"/>
  <c r="CK68" i="3"/>
  <c r="CL68" i="3"/>
  <c r="CM68" i="3"/>
  <c r="BO69" i="3"/>
  <c r="BR69" i="3"/>
  <c r="CE69" i="3"/>
  <c r="CH69" i="3"/>
  <c r="CK69" i="3"/>
  <c r="CL69" i="3"/>
  <c r="CM69" i="3"/>
  <c r="BO70" i="3"/>
  <c r="BR70" i="3"/>
  <c r="CE70" i="3"/>
  <c r="CH70" i="3"/>
  <c r="CK70" i="3"/>
  <c r="CL70" i="3"/>
  <c r="CM70" i="3"/>
  <c r="BO71" i="3"/>
  <c r="BR71" i="3"/>
  <c r="CE71" i="3"/>
  <c r="CH71" i="3"/>
  <c r="CK71" i="3"/>
  <c r="CL71" i="3"/>
  <c r="CM71" i="3"/>
  <c r="BO72" i="3"/>
  <c r="BR72" i="3"/>
  <c r="CE72" i="3"/>
  <c r="CH72" i="3"/>
  <c r="CK72" i="3"/>
  <c r="CL72" i="3"/>
  <c r="CM72" i="3"/>
  <c r="BO73" i="3"/>
  <c r="BR73" i="3"/>
  <c r="CE73" i="3"/>
  <c r="CH73" i="3"/>
  <c r="CK73" i="3"/>
  <c r="CL73" i="3"/>
  <c r="CM73" i="3"/>
  <c r="BO74" i="3"/>
  <c r="BR74" i="3"/>
  <c r="CE74" i="3"/>
  <c r="CH74" i="3"/>
  <c r="CK74" i="3"/>
  <c r="CL74" i="3"/>
  <c r="CM74" i="3"/>
  <c r="BO75" i="3"/>
  <c r="BR75" i="3"/>
  <c r="CE75" i="3"/>
  <c r="CH75" i="3"/>
  <c r="CK75" i="3"/>
  <c r="CL75" i="3"/>
  <c r="CM75" i="3"/>
  <c r="BO76" i="3"/>
  <c r="BR76" i="3"/>
  <c r="CE76" i="3"/>
  <c r="CH76" i="3"/>
  <c r="CK76" i="3"/>
  <c r="CL76" i="3"/>
  <c r="CM76" i="3"/>
  <c r="BO77" i="3"/>
  <c r="BR77" i="3"/>
  <c r="CE77" i="3"/>
  <c r="CH77" i="3"/>
  <c r="CK77" i="3"/>
  <c r="CL77" i="3"/>
  <c r="CM77" i="3"/>
  <c r="BO78" i="3"/>
  <c r="BR78" i="3"/>
  <c r="CE78" i="3"/>
  <c r="CH78" i="3"/>
  <c r="CK78" i="3"/>
  <c r="CL78" i="3"/>
  <c r="CM78" i="3"/>
  <c r="BO79" i="3"/>
  <c r="BR79" i="3"/>
  <c r="CE79" i="3"/>
  <c r="CH79" i="3"/>
  <c r="CK79" i="3"/>
  <c r="CL79" i="3"/>
  <c r="CM79" i="3"/>
  <c r="BO80" i="3"/>
  <c r="BR80" i="3"/>
  <c r="CE80" i="3"/>
  <c r="CH80" i="3"/>
  <c r="CK80" i="3"/>
  <c r="CL80" i="3"/>
  <c r="CM80" i="3"/>
  <c r="BO81" i="3"/>
  <c r="BR81" i="3"/>
  <c r="CE81" i="3"/>
  <c r="CH81" i="3"/>
  <c r="CK81" i="3"/>
  <c r="CL81" i="3"/>
  <c r="CM81" i="3"/>
  <c r="BO82" i="3"/>
  <c r="BR82" i="3"/>
  <c r="CE82" i="3"/>
  <c r="CH82" i="3"/>
  <c r="CK82" i="3"/>
  <c r="CL82" i="3"/>
  <c r="CM82" i="3"/>
  <c r="BO83" i="3"/>
  <c r="BR83" i="3"/>
  <c r="CE83" i="3"/>
  <c r="CH83" i="3"/>
  <c r="CK83" i="3"/>
  <c r="CL83" i="3"/>
  <c r="CM83" i="3"/>
  <c r="BO84" i="3"/>
  <c r="BR84" i="3"/>
  <c r="CE84" i="3"/>
  <c r="CH84" i="3"/>
  <c r="CK84" i="3"/>
  <c r="CL84" i="3"/>
  <c r="CM84" i="3"/>
  <c r="BO85" i="3"/>
  <c r="BR85" i="3"/>
  <c r="CE85" i="3"/>
  <c r="CH85" i="3"/>
  <c r="CK85" i="3"/>
  <c r="CL85" i="3"/>
  <c r="CM85" i="3"/>
  <c r="BO86" i="3"/>
  <c r="BR86" i="3"/>
  <c r="CE86" i="3"/>
  <c r="CH86" i="3"/>
  <c r="CK86" i="3"/>
  <c r="CL86" i="3"/>
  <c r="CM86" i="3"/>
  <c r="BO87" i="3"/>
  <c r="BR87" i="3"/>
  <c r="CE87" i="3"/>
  <c r="CH87" i="3"/>
  <c r="CK87" i="3"/>
  <c r="CL87" i="3"/>
  <c r="CM87" i="3"/>
  <c r="BO88" i="3"/>
  <c r="BR88" i="3"/>
  <c r="CE88" i="3"/>
  <c r="CH88" i="3"/>
  <c r="CK88" i="3"/>
  <c r="CL88" i="3"/>
  <c r="CM88" i="3"/>
  <c r="BO89" i="3"/>
  <c r="BR89" i="3"/>
  <c r="CE89" i="3"/>
  <c r="CH89" i="3"/>
  <c r="CK89" i="3"/>
  <c r="CL89" i="3"/>
  <c r="CM89" i="3"/>
  <c r="BO90" i="3"/>
  <c r="BR90" i="3"/>
  <c r="CE90" i="3"/>
  <c r="CH90" i="3"/>
  <c r="CK90" i="3"/>
  <c r="CL90" i="3"/>
  <c r="CM90" i="3"/>
  <c r="BO91" i="3"/>
  <c r="BR91" i="3"/>
  <c r="CE91" i="3"/>
  <c r="CH91" i="3"/>
  <c r="CK91" i="3"/>
  <c r="CL91" i="3"/>
  <c r="CM91" i="3"/>
  <c r="BO92" i="3"/>
  <c r="BR92" i="3"/>
  <c r="CE92" i="3"/>
  <c r="CH92" i="3"/>
  <c r="CK92" i="3"/>
  <c r="CL92" i="3"/>
  <c r="CM92" i="3"/>
  <c r="BO93" i="3"/>
  <c r="BR93" i="3"/>
  <c r="CE93" i="3"/>
  <c r="CH93" i="3"/>
  <c r="CK93" i="3"/>
  <c r="CL93" i="3"/>
  <c r="CM93" i="3"/>
  <c r="BO94" i="3"/>
  <c r="BR94" i="3"/>
  <c r="CE94" i="3"/>
  <c r="CH94" i="3"/>
  <c r="CK94" i="3"/>
  <c r="CL94" i="3"/>
  <c r="CM94" i="3"/>
  <c r="BO95" i="3"/>
  <c r="BR95" i="3"/>
  <c r="CE95" i="3"/>
  <c r="CH95" i="3"/>
  <c r="CK95" i="3"/>
  <c r="CL95" i="3"/>
  <c r="CM95" i="3"/>
  <c r="BO96" i="3"/>
  <c r="BR96" i="3"/>
  <c r="CE96" i="3"/>
  <c r="CH96" i="3"/>
  <c r="CK96" i="3"/>
  <c r="CL96" i="3"/>
  <c r="CM96" i="3"/>
  <c r="BO97" i="3"/>
  <c r="BR97" i="3"/>
  <c r="CE97" i="3"/>
  <c r="CH97" i="3"/>
  <c r="CK97" i="3"/>
  <c r="CL97" i="3"/>
  <c r="CM97" i="3"/>
  <c r="BO98" i="3"/>
  <c r="BR98" i="3"/>
  <c r="CE98" i="3"/>
  <c r="CH98" i="3"/>
  <c r="CK98" i="3"/>
  <c r="CL98" i="3"/>
  <c r="CM98" i="3"/>
  <c r="BO99" i="3"/>
  <c r="BR99" i="3"/>
  <c r="CE99" i="3"/>
  <c r="CH99" i="3"/>
  <c r="CK99" i="3"/>
  <c r="CL99" i="3"/>
  <c r="CM99" i="3"/>
  <c r="BO100" i="3"/>
  <c r="BR100" i="3"/>
  <c r="CE100" i="3"/>
  <c r="CH100" i="3"/>
  <c r="CK100" i="3"/>
  <c r="CL100" i="3"/>
  <c r="CM100" i="3"/>
  <c r="BO101" i="3"/>
  <c r="BR101" i="3"/>
  <c r="CE101" i="3"/>
  <c r="CH101" i="3"/>
  <c r="CK101" i="3"/>
  <c r="CL101" i="3"/>
  <c r="CM101" i="3"/>
  <c r="BO102" i="3"/>
  <c r="BR102" i="3"/>
  <c r="CE102" i="3"/>
  <c r="CH102" i="3"/>
  <c r="CK102" i="3"/>
  <c r="CL102" i="3"/>
  <c r="CM102" i="3"/>
  <c r="BO103" i="3"/>
  <c r="BR103" i="3"/>
  <c r="CE103" i="3"/>
  <c r="CH103" i="3"/>
  <c r="CK103" i="3"/>
  <c r="CL103" i="3"/>
  <c r="CM103" i="3"/>
  <c r="BO104" i="3"/>
  <c r="BR104" i="3"/>
  <c r="CE104" i="3"/>
  <c r="CH104" i="3"/>
  <c r="CK104" i="3"/>
  <c r="CL104" i="3"/>
  <c r="CM104" i="3"/>
  <c r="BO105" i="3"/>
  <c r="BR105" i="3"/>
  <c r="CE105" i="3"/>
  <c r="CH105" i="3"/>
  <c r="CK105" i="3"/>
  <c r="CL105" i="3"/>
  <c r="CM105" i="3"/>
  <c r="BO106" i="3"/>
  <c r="BR106" i="3"/>
  <c r="CE106" i="3"/>
  <c r="CH106" i="3"/>
  <c r="CK106" i="3"/>
  <c r="CL106" i="3"/>
  <c r="CM106" i="3"/>
  <c r="BO107" i="3"/>
  <c r="BR107" i="3"/>
  <c r="CE107" i="3"/>
  <c r="CH107" i="3"/>
  <c r="CK107" i="3"/>
  <c r="CL107" i="3"/>
  <c r="CM107" i="3"/>
  <c r="BO108" i="3"/>
  <c r="BR108" i="3"/>
  <c r="CE108" i="3"/>
  <c r="CH108" i="3"/>
  <c r="CK108" i="3"/>
  <c r="CL108" i="3"/>
  <c r="CM108" i="3"/>
  <c r="BO109" i="3"/>
  <c r="BR109" i="3"/>
  <c r="CE109" i="3"/>
  <c r="CH109" i="3"/>
  <c r="CK109" i="3"/>
  <c r="CL109" i="3"/>
  <c r="CM109" i="3"/>
  <c r="BO110" i="3"/>
  <c r="BR110" i="3"/>
  <c r="CE110" i="3"/>
  <c r="CH110" i="3"/>
  <c r="CK110" i="3"/>
  <c r="CL110" i="3"/>
  <c r="CM110" i="3"/>
  <c r="BO111" i="3"/>
  <c r="BR111" i="3"/>
  <c r="CE111" i="3"/>
  <c r="CH111" i="3"/>
  <c r="CK111" i="3"/>
  <c r="CL111" i="3"/>
  <c r="CM111" i="3"/>
  <c r="BO112" i="3"/>
  <c r="BR112" i="3"/>
  <c r="CE112" i="3"/>
  <c r="CH112" i="3"/>
  <c r="CK112" i="3"/>
  <c r="CL112" i="3"/>
  <c r="CM112" i="3"/>
  <c r="BO113" i="3"/>
  <c r="BR113" i="3"/>
  <c r="CE113" i="3"/>
  <c r="CH113" i="3"/>
  <c r="CK113" i="3"/>
  <c r="CL113" i="3"/>
  <c r="CM113" i="3"/>
  <c r="BO114" i="3"/>
  <c r="BR114" i="3"/>
  <c r="CE114" i="3"/>
  <c r="CH114" i="3"/>
  <c r="CK114" i="3"/>
  <c r="CL114" i="3"/>
  <c r="CM114" i="3"/>
  <c r="BO115" i="3"/>
  <c r="BR115" i="3"/>
  <c r="CE115" i="3"/>
  <c r="CH115" i="3"/>
  <c r="CK115" i="3"/>
  <c r="CL115" i="3"/>
  <c r="CM115" i="3"/>
  <c r="BO116" i="3"/>
  <c r="BR116" i="3"/>
  <c r="CE116" i="3"/>
  <c r="CH116" i="3"/>
  <c r="CK116" i="3"/>
  <c r="CL116" i="3"/>
  <c r="CM116" i="3"/>
  <c r="BO117" i="3"/>
  <c r="BR117" i="3"/>
  <c r="CE117" i="3"/>
  <c r="CH117" i="3"/>
  <c r="CK117" i="3"/>
  <c r="CL117" i="3"/>
  <c r="CM117" i="3"/>
  <c r="BO118" i="3"/>
  <c r="BR118" i="3"/>
  <c r="CE118" i="3"/>
  <c r="CH118" i="3"/>
  <c r="CK118" i="3"/>
  <c r="CL118" i="3"/>
  <c r="CM118" i="3"/>
  <c r="BO119" i="3"/>
  <c r="BR119" i="3"/>
  <c r="CE119" i="3"/>
  <c r="CH119" i="3"/>
  <c r="CK119" i="3"/>
  <c r="CL119" i="3"/>
  <c r="CM119" i="3"/>
  <c r="BO120" i="3"/>
  <c r="BR120" i="3"/>
  <c r="CE120" i="3"/>
  <c r="CH120" i="3"/>
  <c r="CK120" i="3"/>
  <c r="CL120" i="3"/>
  <c r="CM120" i="3"/>
  <c r="BO121" i="3"/>
  <c r="BR121" i="3"/>
  <c r="CE121" i="3"/>
  <c r="CH121" i="3"/>
  <c r="CK121" i="3"/>
  <c r="CL121" i="3"/>
  <c r="CM121" i="3"/>
  <c r="BO122" i="3"/>
  <c r="BR122" i="3"/>
  <c r="CE122" i="3"/>
  <c r="CH122" i="3"/>
  <c r="CK122" i="3"/>
  <c r="CL122" i="3"/>
  <c r="CM122" i="3"/>
  <c r="BO123" i="3"/>
  <c r="BR123" i="3"/>
  <c r="CE123" i="3"/>
  <c r="CH123" i="3"/>
  <c r="CK123" i="3"/>
  <c r="CL123" i="3"/>
  <c r="CM123" i="3"/>
  <c r="BO124" i="3"/>
  <c r="BR124" i="3"/>
  <c r="CE124" i="3"/>
  <c r="CH124" i="3"/>
  <c r="CK124" i="3"/>
  <c r="CL124" i="3"/>
  <c r="CM124" i="3"/>
  <c r="BO125" i="3"/>
  <c r="BR125" i="3"/>
  <c r="CE125" i="3"/>
  <c r="CH125" i="3"/>
  <c r="CK125" i="3"/>
  <c r="CL125" i="3"/>
  <c r="CM125" i="3"/>
  <c r="BO126" i="3"/>
  <c r="BR126" i="3"/>
  <c r="CE126" i="3"/>
  <c r="CH126" i="3"/>
  <c r="CK126" i="3"/>
  <c r="CL126" i="3"/>
  <c r="CM126" i="3"/>
  <c r="BO127" i="3"/>
  <c r="BR127" i="3"/>
  <c r="CE127" i="3"/>
  <c r="CH127" i="3"/>
  <c r="CK127" i="3"/>
  <c r="CL127" i="3"/>
  <c r="CM127" i="3"/>
  <c r="BO128" i="3"/>
  <c r="BR128" i="3"/>
  <c r="CE128" i="3"/>
  <c r="CH128" i="3"/>
  <c r="CK128" i="3"/>
  <c r="CL128" i="3"/>
  <c r="CM128" i="3"/>
  <c r="BO129" i="3"/>
  <c r="BR129" i="3"/>
  <c r="CE129" i="3"/>
  <c r="CH129" i="3"/>
  <c r="CK129" i="3"/>
  <c r="CL129" i="3"/>
  <c r="CM129" i="3"/>
  <c r="BO130" i="3"/>
  <c r="BR130" i="3"/>
  <c r="CE130" i="3"/>
  <c r="CH130" i="3"/>
  <c r="CK130" i="3"/>
  <c r="CL130" i="3"/>
  <c r="CM130" i="3"/>
  <c r="BO131" i="3"/>
  <c r="BR131" i="3"/>
  <c r="CE131" i="3"/>
  <c r="CH131" i="3"/>
  <c r="CK131" i="3"/>
  <c r="CL131" i="3"/>
  <c r="CM131" i="3"/>
  <c r="BO132" i="3"/>
  <c r="BR132" i="3"/>
  <c r="CE132" i="3"/>
  <c r="CH132" i="3"/>
  <c r="CK132" i="3"/>
  <c r="CL132" i="3"/>
  <c r="CM132" i="3"/>
  <c r="BO133" i="3"/>
  <c r="BR133" i="3"/>
  <c r="CE133" i="3"/>
  <c r="CH133" i="3"/>
  <c r="CK133" i="3"/>
  <c r="CL133" i="3"/>
  <c r="CM133" i="3"/>
  <c r="BO134" i="3"/>
  <c r="BR134" i="3"/>
  <c r="CE134" i="3"/>
  <c r="CH134" i="3"/>
  <c r="CK134" i="3"/>
  <c r="CL134" i="3"/>
  <c r="CM134" i="3"/>
  <c r="BO135" i="3"/>
  <c r="BR135" i="3"/>
  <c r="CE135" i="3"/>
  <c r="CH135" i="3"/>
  <c r="CK135" i="3"/>
  <c r="CL135" i="3"/>
  <c r="CM135" i="3"/>
  <c r="CM23" i="3"/>
  <c r="CL23" i="3"/>
  <c r="CK23" i="3"/>
  <c r="CH23" i="3"/>
  <c r="CE23" i="3"/>
  <c r="BR23" i="3"/>
  <c r="BO23" i="3"/>
  <c r="CM22" i="3"/>
  <c r="CL22" i="3"/>
  <c r="CK22" i="3"/>
  <c r="CH22" i="3"/>
  <c r="CE22" i="3"/>
  <c r="BR22" i="3"/>
  <c r="BO22" i="3"/>
  <c r="CM21" i="3"/>
  <c r="CL21" i="3"/>
  <c r="CK21" i="3"/>
  <c r="CH21" i="3"/>
  <c r="CE21" i="3"/>
  <c r="BR21" i="3"/>
  <c r="BO21" i="3"/>
  <c r="CM20" i="3"/>
  <c r="CL20" i="3"/>
  <c r="CK20" i="3"/>
  <c r="CH20" i="3"/>
  <c r="CE20" i="3"/>
  <c r="BR20" i="3"/>
  <c r="BO20" i="3"/>
  <c r="CM19" i="3"/>
  <c r="CL19" i="3"/>
  <c r="CK19" i="3"/>
  <c r="CH19" i="3"/>
  <c r="CE19" i="3"/>
  <c r="BR19" i="3"/>
  <c r="BO19" i="3"/>
  <c r="CM18" i="3"/>
  <c r="CL18" i="3"/>
  <c r="CK18" i="3"/>
  <c r="CH18" i="3"/>
  <c r="CE18" i="3"/>
  <c r="BR18" i="3"/>
  <c r="BO18" i="3"/>
  <c r="CM17" i="3"/>
  <c r="CL17" i="3"/>
  <c r="CK17" i="3"/>
  <c r="CH17" i="3"/>
  <c r="CE17" i="3"/>
  <c r="BR17" i="3"/>
  <c r="BO17" i="3"/>
  <c r="CM16" i="3"/>
  <c r="CL16" i="3"/>
  <c r="CK16" i="3"/>
  <c r="CH16" i="3"/>
  <c r="CE16" i="3"/>
  <c r="BR16" i="3"/>
  <c r="BO16" i="3"/>
  <c r="CM15" i="3"/>
  <c r="CL15" i="3"/>
  <c r="CK15" i="3"/>
  <c r="CH15" i="3"/>
  <c r="CE15" i="3"/>
  <c r="BR15" i="3"/>
  <c r="BO15" i="3"/>
  <c r="CM14" i="3"/>
  <c r="CL14" i="3"/>
  <c r="CK14" i="3"/>
  <c r="CH14" i="3"/>
  <c r="CE14" i="3"/>
  <c r="BR14" i="3"/>
  <c r="BO14" i="3"/>
  <c r="CM13" i="3"/>
  <c r="CL13" i="3"/>
  <c r="CK13" i="3"/>
  <c r="CH13" i="3"/>
  <c r="CE13" i="3"/>
  <c r="BR13" i="3"/>
  <c r="BO13" i="3"/>
  <c r="CM12" i="3"/>
  <c r="CL12" i="3"/>
  <c r="CK12" i="3"/>
  <c r="CH12" i="3"/>
  <c r="CE12" i="3"/>
  <c r="BR12" i="3"/>
  <c r="BO12" i="3"/>
  <c r="CM11" i="3"/>
  <c r="CL11" i="3"/>
  <c r="CK11" i="3"/>
  <c r="CH11" i="3"/>
  <c r="CE11" i="3"/>
  <c r="BR11" i="3"/>
  <c r="BO11" i="3"/>
  <c r="CM10" i="3"/>
  <c r="CL10" i="3"/>
  <c r="CK10" i="3"/>
  <c r="CH10" i="3"/>
  <c r="CE10" i="3"/>
  <c r="BR10" i="3"/>
  <c r="BO10" i="3"/>
  <c r="CM9" i="3"/>
  <c r="CL9" i="3"/>
  <c r="CK9" i="3"/>
  <c r="CH9" i="3"/>
  <c r="CE9" i="3"/>
  <c r="BR9" i="3"/>
  <c r="BO9" i="3"/>
  <c r="CM8" i="3"/>
  <c r="CL8" i="3"/>
  <c r="CK8" i="3"/>
  <c r="CH8" i="3"/>
  <c r="CE8" i="3"/>
  <c r="BR8" i="3"/>
  <c r="BO8" i="3"/>
  <c r="CM7" i="3"/>
  <c r="CL7" i="3"/>
  <c r="CK7" i="3"/>
  <c r="CH7" i="3"/>
  <c r="CE7" i="3"/>
  <c r="BR7" i="3"/>
  <c r="BO7" i="3"/>
  <c r="CM6" i="3"/>
  <c r="CL6" i="3"/>
  <c r="CK6" i="3"/>
  <c r="CH6" i="3"/>
  <c r="CE6" i="3"/>
  <c r="BR6" i="3"/>
  <c r="BO6" i="3"/>
  <c r="DJ5" i="3" l="1"/>
  <c r="DK5" i="3"/>
  <c r="CR5" i="3"/>
  <c r="CS5" i="3"/>
  <c r="BU134" i="3"/>
  <c r="BU11" i="3"/>
  <c r="BU13" i="3"/>
  <c r="BU15" i="3"/>
  <c r="BU19" i="3"/>
  <c r="BU29" i="3"/>
  <c r="BU35" i="3"/>
  <c r="BU37" i="3"/>
  <c r="BU41" i="3"/>
  <c r="BU43" i="3"/>
  <c r="BU49" i="3"/>
  <c r="BU57" i="3"/>
  <c r="BU65" i="3"/>
  <c r="BU67" i="3"/>
  <c r="BU69" i="3"/>
  <c r="BU71" i="3"/>
  <c r="BU81" i="3"/>
  <c r="BU83" i="3"/>
  <c r="BU91" i="3"/>
  <c r="BU93" i="3"/>
  <c r="BU99" i="3"/>
  <c r="BU105" i="3"/>
  <c r="BU109" i="3"/>
  <c r="BU117" i="3"/>
  <c r="BU123" i="3"/>
  <c r="BU125" i="3"/>
  <c r="BU189" i="3"/>
  <c r="BU278" i="3"/>
  <c r="BU16" i="3"/>
  <c r="BU30" i="3"/>
  <c r="BU40" i="3"/>
  <c r="BU50" i="3"/>
  <c r="BU68" i="3"/>
  <c r="BU126" i="3"/>
  <c r="BU188" i="3"/>
  <c r="BU192" i="3"/>
  <c r="BU208" i="3"/>
  <c r="BU120" i="3"/>
  <c r="BU106" i="3"/>
  <c r="CP81" i="3"/>
  <c r="BU12" i="3"/>
  <c r="CP68" i="3"/>
  <c r="BU54" i="3"/>
  <c r="BU52" i="3"/>
  <c r="BU7" i="3"/>
  <c r="BU132" i="3"/>
  <c r="BU26" i="3"/>
  <c r="BU10" i="3"/>
  <c r="BU165" i="3"/>
  <c r="BU164" i="3"/>
  <c r="BU39" i="3"/>
  <c r="BU21" i="3"/>
  <c r="BU112" i="3"/>
  <c r="CP107" i="3"/>
  <c r="BU85" i="3"/>
  <c r="BU78" i="3"/>
  <c r="CQ49" i="3"/>
  <c r="CP40" i="3"/>
  <c r="CP30" i="3"/>
  <c r="BU275" i="3"/>
  <c r="CP208" i="3"/>
  <c r="CP192" i="3"/>
  <c r="BU185" i="3"/>
  <c r="BU158" i="3"/>
  <c r="BU18" i="3"/>
  <c r="BU190" i="3"/>
  <c r="BU201" i="3"/>
  <c r="CQ13" i="3"/>
  <c r="BU131" i="3"/>
  <c r="CQ125" i="3"/>
  <c r="BU90" i="3"/>
  <c r="CP215" i="3"/>
  <c r="BU207" i="3"/>
  <c r="BU180" i="3"/>
  <c r="CQ124" i="3"/>
  <c r="CQ150" i="3"/>
  <c r="DI150" i="3" s="1"/>
  <c r="CQ217" i="3"/>
  <c r="BU27" i="3"/>
  <c r="CQ27" i="3"/>
  <c r="BU61" i="3"/>
  <c r="BU63" i="3"/>
  <c r="CQ63" i="3"/>
  <c r="CQ79" i="3"/>
  <c r="BU79" i="3"/>
  <c r="BU111" i="3"/>
  <c r="BU119" i="3"/>
  <c r="BU121" i="3"/>
  <c r="BU137" i="3"/>
  <c r="CQ137" i="3"/>
  <c r="BU141" i="3"/>
  <c r="BU147" i="3"/>
  <c r="BU151" i="3"/>
  <c r="BU159" i="3"/>
  <c r="BU177" i="3"/>
  <c r="BU181" i="3"/>
  <c r="BU191" i="3"/>
  <c r="BU195" i="3"/>
  <c r="BU220" i="3"/>
  <c r="CQ220" i="3"/>
  <c r="DI220" i="3" s="1"/>
  <c r="BU224" i="3"/>
  <c r="CQ126" i="3"/>
  <c r="BU23" i="3"/>
  <c r="BU101" i="3"/>
  <c r="BU89" i="3"/>
  <c r="CQ57" i="3"/>
  <c r="BU47" i="3"/>
  <c r="BU33" i="3"/>
  <c r="BU25" i="3"/>
  <c r="CQ202" i="3"/>
  <c r="CQ76" i="3"/>
  <c r="CQ82" i="3"/>
  <c r="BU31" i="3"/>
  <c r="CQ31" i="3"/>
  <c r="BU53" i="3"/>
  <c r="BU143" i="3"/>
  <c r="BU175" i="3"/>
  <c r="BU183" i="3"/>
  <c r="BU197" i="3"/>
  <c r="BU205" i="3"/>
  <c r="BU218" i="3"/>
  <c r="BU95" i="3"/>
  <c r="BU73" i="3"/>
  <c r="CQ30" i="3"/>
  <c r="BU213" i="3"/>
  <c r="BU149" i="3"/>
  <c r="BU129" i="3"/>
  <c r="BU127" i="3"/>
  <c r="CQ81" i="3"/>
  <c r="DI81" i="3" s="1"/>
  <c r="BU75" i="3"/>
  <c r="BU222" i="3"/>
  <c r="CQ206" i="3"/>
  <c r="BU179" i="3"/>
  <c r="BU161" i="3"/>
  <c r="BU76" i="3"/>
  <c r="BU60" i="3"/>
  <c r="BU174" i="3"/>
  <c r="BU160" i="3"/>
  <c r="CQ45" i="3"/>
  <c r="CQ69" i="3"/>
  <c r="CQ278" i="3"/>
  <c r="DI278" i="3" s="1"/>
  <c r="BU6" i="3"/>
  <c r="BU8" i="3"/>
  <c r="BU14" i="3"/>
  <c r="BU20" i="3"/>
  <c r="BU28" i="3"/>
  <c r="BU32" i="3"/>
  <c r="BU34" i="3"/>
  <c r="BU36" i="3"/>
  <c r="BU44" i="3"/>
  <c r="BU58" i="3"/>
  <c r="BU64" i="3"/>
  <c r="BU66" i="3"/>
  <c r="BU70" i="3"/>
  <c r="BU82" i="3"/>
  <c r="BU84" i="3"/>
  <c r="BU86" i="3"/>
  <c r="BU88" i="3"/>
  <c r="BU92" i="3"/>
  <c r="BU94" i="3"/>
  <c r="BU96" i="3"/>
  <c r="BU98" i="3"/>
  <c r="BU102" i="3"/>
  <c r="BU104" i="3"/>
  <c r="BU110" i="3"/>
  <c r="BU118" i="3"/>
  <c r="BU122" i="3"/>
  <c r="BU128" i="3"/>
  <c r="BU138" i="3"/>
  <c r="BU144" i="3"/>
  <c r="BU148" i="3"/>
  <c r="BU152" i="3"/>
  <c r="BU162" i="3"/>
  <c r="BU168" i="3"/>
  <c r="BU170" i="3"/>
  <c r="BU172" i="3"/>
  <c r="BU176" i="3"/>
  <c r="BU178" i="3"/>
  <c r="BU182" i="3"/>
  <c r="BU184" i="3"/>
  <c r="BU186" i="3"/>
  <c r="BU194" i="3"/>
  <c r="BU196" i="3"/>
  <c r="BU198" i="3"/>
  <c r="BU200" i="3"/>
  <c r="BU202" i="3"/>
  <c r="BU210" i="3"/>
  <c r="BU217" i="3"/>
  <c r="BU219" i="3"/>
  <c r="BU221" i="3"/>
  <c r="BU223" i="3"/>
  <c r="BU225" i="3"/>
  <c r="CQ6" i="3"/>
  <c r="BU22" i="3"/>
  <c r="BU130" i="3"/>
  <c r="BU124" i="3"/>
  <c r="BU74" i="3"/>
  <c r="BU56" i="3"/>
  <c r="BU42" i="3"/>
  <c r="BU38" i="3"/>
  <c r="CQ223" i="3"/>
  <c r="DI223" i="3" s="1"/>
  <c r="BU9" i="3"/>
  <c r="BU17" i="3"/>
  <c r="BU45" i="3"/>
  <c r="BU51" i="3"/>
  <c r="BU55" i="3"/>
  <c r="BU59" i="3"/>
  <c r="BU77" i="3"/>
  <c r="BU87" i="3"/>
  <c r="BU97" i="3"/>
  <c r="BU103" i="3"/>
  <c r="BU107" i="3"/>
  <c r="BU113" i="3"/>
  <c r="BU115" i="3"/>
  <c r="BU133" i="3"/>
  <c r="BU135" i="3"/>
  <c r="BU171" i="3"/>
  <c r="BU173" i="3"/>
  <c r="BU187" i="3"/>
  <c r="BU193" i="3"/>
  <c r="BU199" i="3"/>
  <c r="BU203" i="3"/>
  <c r="BU211" i="3"/>
  <c r="BU215" i="3"/>
  <c r="BU226" i="3"/>
  <c r="BU276" i="3"/>
  <c r="BU140" i="3"/>
  <c r="BU146" i="3"/>
  <c r="CQ146" i="3"/>
  <c r="DI146" i="3" s="1"/>
  <c r="BU156" i="3"/>
  <c r="BU100" i="3"/>
  <c r="BU80" i="3"/>
  <c r="BU72" i="3"/>
  <c r="BU62" i="3"/>
  <c r="BU214" i="3"/>
  <c r="BU206" i="3"/>
  <c r="CQ205" i="3"/>
  <c r="CQ171" i="3"/>
  <c r="BU142" i="3"/>
  <c r="CP88" i="3"/>
  <c r="CP170" i="3"/>
  <c r="BU153" i="3"/>
  <c r="CP155" i="3"/>
  <c r="BU155" i="3"/>
  <c r="BU209" i="3"/>
  <c r="CN104" i="3"/>
  <c r="BU139" i="3"/>
  <c r="BU145" i="3"/>
  <c r="BU157" i="3"/>
  <c r="BU163" i="3"/>
  <c r="BU169" i="3"/>
  <c r="BU24" i="3"/>
  <c r="BU46" i="3"/>
  <c r="BU48" i="3"/>
  <c r="BU108" i="3"/>
  <c r="BU114" i="3"/>
  <c r="BU116" i="3"/>
  <c r="BU136" i="3"/>
  <c r="BU150" i="3"/>
  <c r="BU154" i="3"/>
  <c r="BU204" i="3"/>
  <c r="BU212" i="3"/>
  <c r="BU277" i="3"/>
  <c r="CQ145" i="3"/>
  <c r="BS282" i="3"/>
  <c r="BT282" i="3"/>
  <c r="BH282" i="3"/>
  <c r="BG282" i="3"/>
  <c r="CN272" i="3"/>
  <c r="CP269" i="3"/>
  <c r="CN256" i="3"/>
  <c r="CN111" i="3"/>
  <c r="CN107" i="3"/>
  <c r="CN84" i="3"/>
  <c r="CN56" i="3"/>
  <c r="CN33" i="3"/>
  <c r="CN29" i="3"/>
  <c r="CN206" i="3"/>
  <c r="CN130" i="3"/>
  <c r="CP252" i="3"/>
  <c r="CN192" i="3"/>
  <c r="CN187" i="3"/>
  <c r="CP157" i="3"/>
  <c r="CN174" i="3"/>
  <c r="CN210" i="3"/>
  <c r="CN96" i="3"/>
  <c r="CP131" i="3"/>
  <c r="CN124" i="3"/>
  <c r="CN99" i="3"/>
  <c r="CN83" i="3"/>
  <c r="CN36" i="3"/>
  <c r="CN24" i="3"/>
  <c r="CN201" i="3"/>
  <c r="CN88" i="3"/>
  <c r="CN133" i="3"/>
  <c r="CN112" i="3"/>
  <c r="CN93" i="3"/>
  <c r="CN253" i="3"/>
  <c r="CN250" i="3"/>
  <c r="CN246" i="3"/>
  <c r="CN208" i="3"/>
  <c r="CN198" i="3"/>
  <c r="CP104" i="3"/>
  <c r="CN61" i="3"/>
  <c r="CN114" i="3"/>
  <c r="CN248" i="3"/>
  <c r="CN236" i="3"/>
  <c r="CN224" i="3"/>
  <c r="CN180" i="3"/>
  <c r="CN160" i="3"/>
  <c r="CN247" i="3"/>
  <c r="CN219" i="3"/>
  <c r="CN216" i="3"/>
  <c r="CN203" i="3"/>
  <c r="CN42" i="3"/>
  <c r="CN34" i="3"/>
  <c r="CN280" i="3"/>
  <c r="CP177" i="3"/>
  <c r="CP100" i="3"/>
  <c r="CP78" i="3"/>
  <c r="CN73" i="3"/>
  <c r="CN48" i="3"/>
  <c r="CQ46" i="3"/>
  <c r="DI46" i="3" s="1"/>
  <c r="CN127" i="3"/>
  <c r="CN123" i="3"/>
  <c r="CN122" i="3"/>
  <c r="CN119" i="3"/>
  <c r="CN105" i="3"/>
  <c r="CN103" i="3"/>
  <c r="CN102" i="3"/>
  <c r="CN87" i="3"/>
  <c r="CN72" i="3"/>
  <c r="CP279" i="3"/>
  <c r="CP267" i="3"/>
  <c r="CN266" i="3"/>
  <c r="CN265" i="3"/>
  <c r="CN262" i="3"/>
  <c r="CP250" i="3"/>
  <c r="CN234" i="3"/>
  <c r="CN230" i="3"/>
  <c r="CN218" i="3"/>
  <c r="CP193" i="3"/>
  <c r="CP172" i="3"/>
  <c r="CN152" i="3"/>
  <c r="CN148" i="3"/>
  <c r="CQ216" i="3"/>
  <c r="DI216" i="3" s="1"/>
  <c r="CP79" i="3"/>
  <c r="CN113" i="3"/>
  <c r="CN92" i="3"/>
  <c r="CN86" i="3"/>
  <c r="CP53" i="3"/>
  <c r="CN49" i="3"/>
  <c r="CQ78" i="3"/>
  <c r="DI78" i="3" s="1"/>
  <c r="CP74" i="3"/>
  <c r="CP112" i="3"/>
  <c r="CN108" i="3"/>
  <c r="CN91" i="3"/>
  <c r="CN65" i="3"/>
  <c r="CP65" i="3"/>
  <c r="CN51" i="3"/>
  <c r="CP277" i="3"/>
  <c r="CN276" i="3"/>
  <c r="CP273" i="3"/>
  <c r="CQ251" i="3"/>
  <c r="DI251" i="3" s="1"/>
  <c r="CP217" i="3"/>
  <c r="CN207" i="3"/>
  <c r="CN185" i="3"/>
  <c r="CN177" i="3"/>
  <c r="CN176" i="3"/>
  <c r="CN159" i="3"/>
  <c r="CP149" i="3"/>
  <c r="CP147" i="3"/>
  <c r="CQ136" i="3"/>
  <c r="DI136" i="3" s="1"/>
  <c r="CQ231" i="3"/>
  <c r="CP220" i="3"/>
  <c r="CP185" i="3"/>
  <c r="CP145" i="3"/>
  <c r="CP139" i="3"/>
  <c r="CN137" i="3"/>
  <c r="CN115" i="3"/>
  <c r="CP113" i="3"/>
  <c r="CP105" i="3"/>
  <c r="CN97" i="3"/>
  <c r="CP96" i="3"/>
  <c r="CN94" i="3"/>
  <c r="CN89" i="3"/>
  <c r="CP84" i="3"/>
  <c r="CN81" i="3"/>
  <c r="CN77" i="3"/>
  <c r="CN47" i="3"/>
  <c r="CN261" i="3"/>
  <c r="CQ252" i="3"/>
  <c r="CP246" i="3"/>
  <c r="CN244" i="3"/>
  <c r="CN240" i="3"/>
  <c r="CN226" i="3"/>
  <c r="CN225" i="3"/>
  <c r="CN217" i="3"/>
  <c r="CP198" i="3"/>
  <c r="CP187" i="3"/>
  <c r="CN163" i="3"/>
  <c r="CP161" i="3"/>
  <c r="CQ158" i="3"/>
  <c r="DI158" i="3" s="1"/>
  <c r="CN147" i="3"/>
  <c r="CP141" i="3"/>
  <c r="CN140" i="3"/>
  <c r="CN136" i="3"/>
  <c r="CN8" i="3"/>
  <c r="CN12" i="3"/>
  <c r="CP132" i="3"/>
  <c r="CP159" i="3"/>
  <c r="CP151" i="3"/>
  <c r="CP146" i="3"/>
  <c r="CP16" i="3"/>
  <c r="CN135" i="3"/>
  <c r="CP135" i="3"/>
  <c r="CQ132" i="3"/>
  <c r="CN131" i="3"/>
  <c r="CN120" i="3"/>
  <c r="CP116" i="3"/>
  <c r="CN100" i="3"/>
  <c r="CQ89" i="3"/>
  <c r="CN69" i="3"/>
  <c r="CN64" i="3"/>
  <c r="CP62" i="3"/>
  <c r="CN55" i="3"/>
  <c r="CN53" i="3"/>
  <c r="CP49" i="3"/>
  <c r="CQ48" i="3"/>
  <c r="CP37" i="3"/>
  <c r="CN237" i="3"/>
  <c r="CN228" i="3"/>
  <c r="CP226" i="3"/>
  <c r="CN211" i="3"/>
  <c r="CQ204" i="3"/>
  <c r="CN196" i="3"/>
  <c r="CN181" i="3"/>
  <c r="CP179" i="3"/>
  <c r="CP80" i="3"/>
  <c r="CN16" i="3"/>
  <c r="CN134" i="3"/>
  <c r="CP133" i="3"/>
  <c r="CN128" i="3"/>
  <c r="CP124" i="3"/>
  <c r="CP93" i="3"/>
  <c r="CP91" i="3"/>
  <c r="CP70" i="3"/>
  <c r="CP66" i="3"/>
  <c r="CP64" i="3"/>
  <c r="CP54" i="3"/>
  <c r="CN44" i="3"/>
  <c r="CN25" i="3"/>
  <c r="CP25" i="3"/>
  <c r="CP24" i="3"/>
  <c r="CQ268" i="3"/>
  <c r="DI268" i="3" s="1"/>
  <c r="CN249" i="3"/>
  <c r="CP158" i="3"/>
  <c r="CN132" i="3"/>
  <c r="CN106" i="3"/>
  <c r="CP97" i="3"/>
  <c r="CN95" i="3"/>
  <c r="CN90" i="3"/>
  <c r="CP89" i="3"/>
  <c r="CP86" i="3"/>
  <c r="CN60" i="3"/>
  <c r="CP60" i="3"/>
  <c r="CP57" i="3"/>
  <c r="CN54" i="3"/>
  <c r="CP51" i="3"/>
  <c r="CP47" i="3"/>
  <c r="CN39" i="3"/>
  <c r="CN271" i="3"/>
  <c r="CN254" i="3"/>
  <c r="CN231" i="3"/>
  <c r="CN214" i="3"/>
  <c r="CP207" i="3"/>
  <c r="CP201" i="3"/>
  <c r="CN199" i="3"/>
  <c r="CN184" i="3"/>
  <c r="CP168" i="3"/>
  <c r="CN167" i="3"/>
  <c r="CN46" i="3"/>
  <c r="CN45" i="3"/>
  <c r="CP43" i="3"/>
  <c r="CP39" i="3"/>
  <c r="CQ38" i="3"/>
  <c r="DI38" i="3" s="1"/>
  <c r="CN28" i="3"/>
  <c r="CP281" i="3"/>
  <c r="CN279" i="3"/>
  <c r="CP274" i="3"/>
  <c r="CP271" i="3"/>
  <c r="CN270" i="3"/>
  <c r="CP265" i="3"/>
  <c r="CN264" i="3"/>
  <c r="CN260" i="3"/>
  <c r="CP257" i="3"/>
  <c r="CN243" i="3"/>
  <c r="CN238" i="3"/>
  <c r="CP238" i="3"/>
  <c r="CN233" i="3"/>
  <c r="CP203" i="3"/>
  <c r="CN193" i="3"/>
  <c r="CN190" i="3"/>
  <c r="CP189" i="3"/>
  <c r="CP164" i="3"/>
  <c r="CN162" i="3"/>
  <c r="CQ154" i="3"/>
  <c r="CN146" i="3"/>
  <c r="CP142" i="3"/>
  <c r="CP45" i="3"/>
  <c r="CN37" i="3"/>
  <c r="CN31" i="3"/>
  <c r="CP29" i="3"/>
  <c r="CN281" i="3"/>
  <c r="CN278" i="3"/>
  <c r="CN263" i="3"/>
  <c r="CP261" i="3"/>
  <c r="CN259" i="3"/>
  <c r="CN257" i="3"/>
  <c r="CN245" i="3"/>
  <c r="CN242" i="3"/>
  <c r="CP242" i="3"/>
  <c r="CP234" i="3"/>
  <c r="CN223" i="3"/>
  <c r="CN215" i="3"/>
  <c r="CP214" i="3"/>
  <c r="CP213" i="3"/>
  <c r="CP211" i="3"/>
  <c r="CN209" i="3"/>
  <c r="CP199" i="3"/>
  <c r="CN194" i="3"/>
  <c r="CN189" i="3"/>
  <c r="CN182" i="3"/>
  <c r="CP181" i="3"/>
  <c r="CN179" i="3"/>
  <c r="CN171" i="3"/>
  <c r="CP171" i="3"/>
  <c r="CN164" i="3"/>
  <c r="CN156" i="3"/>
  <c r="CP156" i="3"/>
  <c r="CP73" i="3"/>
  <c r="CP278" i="3"/>
  <c r="CQ270" i="3"/>
  <c r="CN144" i="3"/>
  <c r="CP130" i="3"/>
  <c r="CP129" i="3"/>
  <c r="CP128" i="3"/>
  <c r="CP111" i="3"/>
  <c r="CP110" i="3"/>
  <c r="CP99" i="3"/>
  <c r="CP72" i="3"/>
  <c r="CN52" i="3"/>
  <c r="CP33" i="3"/>
  <c r="CN26" i="3"/>
  <c r="CQ280" i="3"/>
  <c r="CQ276" i="3"/>
  <c r="DI276" i="3" s="1"/>
  <c r="CQ274" i="3"/>
  <c r="DH282" i="3"/>
  <c r="CQ235" i="3"/>
  <c r="CP230" i="3"/>
  <c r="CQ227" i="3"/>
  <c r="CN221" i="3"/>
  <c r="CQ212" i="3"/>
  <c r="CQ173" i="3"/>
  <c r="CN6" i="3"/>
  <c r="CP123" i="3"/>
  <c r="CP122" i="3"/>
  <c r="CP119" i="3"/>
  <c r="CP118" i="3"/>
  <c r="CQ113" i="3"/>
  <c r="CP108" i="3"/>
  <c r="CP106" i="3"/>
  <c r="CQ101" i="3"/>
  <c r="DI101" i="3" s="1"/>
  <c r="CP83" i="3"/>
  <c r="CP69" i="3"/>
  <c r="CQ62" i="3"/>
  <c r="DI62" i="3" s="1"/>
  <c r="CP61" i="3"/>
  <c r="CP58" i="3"/>
  <c r="CQ54" i="3"/>
  <c r="DI54" i="3" s="1"/>
  <c r="CN43" i="3"/>
  <c r="CP35" i="3"/>
  <c r="CP34" i="3"/>
  <c r="CP276" i="3"/>
  <c r="CP275" i="3"/>
  <c r="CP254" i="3"/>
  <c r="CQ247" i="3"/>
  <c r="CQ243" i="3"/>
  <c r="CP241" i="3"/>
  <c r="CP240" i="3"/>
  <c r="CQ239" i="3"/>
  <c r="CP239" i="3"/>
  <c r="CP216" i="3"/>
  <c r="CQ200" i="3"/>
  <c r="CN7" i="3"/>
  <c r="CN19" i="3"/>
  <c r="CQ21" i="3"/>
  <c r="CP22" i="3"/>
  <c r="CP134" i="3"/>
  <c r="CN129" i="3"/>
  <c r="CN126" i="3"/>
  <c r="CP120" i="3"/>
  <c r="CN116" i="3"/>
  <c r="CN110" i="3"/>
  <c r="CP102" i="3"/>
  <c r="CP95" i="3"/>
  <c r="CP92" i="3"/>
  <c r="CP90" i="3"/>
  <c r="CQ85" i="3"/>
  <c r="CN80" i="3"/>
  <c r="CN76" i="3"/>
  <c r="CP76" i="3"/>
  <c r="CP75" i="3"/>
  <c r="CN57" i="3"/>
  <c r="CP55" i="3"/>
  <c r="CQ52" i="3"/>
  <c r="DI52" i="3" s="1"/>
  <c r="CN41" i="3"/>
  <c r="CN273" i="3"/>
  <c r="CP270" i="3"/>
  <c r="CP268" i="3"/>
  <c r="CQ266" i="3"/>
  <c r="DI266" i="3" s="1"/>
  <c r="CQ264" i="3"/>
  <c r="CQ262" i="3"/>
  <c r="CQ258" i="3"/>
  <c r="CM282" i="3"/>
  <c r="CN241" i="3"/>
  <c r="CN227" i="3"/>
  <c r="CQ142" i="3"/>
  <c r="DI142" i="3" s="1"/>
  <c r="CN121" i="3"/>
  <c r="CP121" i="3"/>
  <c r="CN118" i="3"/>
  <c r="CP115" i="3"/>
  <c r="CP114" i="3"/>
  <c r="CP103" i="3"/>
  <c r="CN98" i="3"/>
  <c r="CP87" i="3"/>
  <c r="CN82" i="3"/>
  <c r="CP82" i="3"/>
  <c r="CP77" i="3"/>
  <c r="CN68" i="3"/>
  <c r="CN58" i="3"/>
  <c r="CP56" i="3"/>
  <c r="CN50" i="3"/>
  <c r="CP42" i="3"/>
  <c r="CN38" i="3"/>
  <c r="CN32" i="3"/>
  <c r="CN275" i="3"/>
  <c r="CQ272" i="3"/>
  <c r="DI272" i="3" s="1"/>
  <c r="CN268" i="3"/>
  <c r="CN267" i="3"/>
  <c r="CP263" i="3"/>
  <c r="CP260" i="3"/>
  <c r="CP259" i="3"/>
  <c r="CP256" i="3"/>
  <c r="CP253" i="3"/>
  <c r="CP244" i="3"/>
  <c r="CL282" i="3"/>
  <c r="CN239" i="3"/>
  <c r="CP233" i="3"/>
  <c r="CP232" i="3"/>
  <c r="CN229" i="3"/>
  <c r="CP228" i="3"/>
  <c r="CP224" i="3"/>
  <c r="CN222" i="3"/>
  <c r="CQ208" i="3"/>
  <c r="CN197" i="3"/>
  <c r="CP280" i="3"/>
  <c r="CN277" i="3"/>
  <c r="CN274" i="3"/>
  <c r="CP272" i="3"/>
  <c r="CN269" i="3"/>
  <c r="CP264" i="3"/>
  <c r="CN258" i="3"/>
  <c r="CP258" i="3"/>
  <c r="CN255" i="3"/>
  <c r="CN252" i="3"/>
  <c r="CN251" i="3"/>
  <c r="CP248" i="3"/>
  <c r="CP237" i="3"/>
  <c r="CP236" i="3"/>
  <c r="CN232" i="3"/>
  <c r="CP219" i="3"/>
  <c r="CN202" i="3"/>
  <c r="CN188" i="3"/>
  <c r="CQ167" i="3"/>
  <c r="CP143" i="3"/>
  <c r="CP222" i="3"/>
  <c r="CN220" i="3"/>
  <c r="CP205" i="3"/>
  <c r="CP195" i="3"/>
  <c r="CP191" i="3"/>
  <c r="CQ190" i="3"/>
  <c r="CN186" i="3"/>
  <c r="CP183" i="3"/>
  <c r="CN178" i="3"/>
  <c r="CP175" i="3"/>
  <c r="CQ174" i="3"/>
  <c r="CN172" i="3"/>
  <c r="CP167" i="3"/>
  <c r="CN157" i="3"/>
  <c r="CN150" i="3"/>
  <c r="CN149" i="3"/>
  <c r="CN138" i="3"/>
  <c r="CP221" i="3"/>
  <c r="CN213" i="3"/>
  <c r="CP210" i="3"/>
  <c r="CP197" i="3"/>
  <c r="CN170" i="3"/>
  <c r="CP169" i="3"/>
  <c r="CP166" i="3"/>
  <c r="CP160" i="3"/>
  <c r="CN158" i="3"/>
  <c r="CN155" i="3"/>
  <c r="CP152" i="3"/>
  <c r="CN142" i="3"/>
  <c r="CN141" i="3"/>
  <c r="CN139" i="3"/>
  <c r="CN205" i="3"/>
  <c r="CN204" i="3"/>
  <c r="CN195" i="3"/>
  <c r="CN191" i="3"/>
  <c r="CN183" i="3"/>
  <c r="CN175" i="3"/>
  <c r="CN168" i="3"/>
  <c r="CN166" i="3"/>
  <c r="CP163" i="3"/>
  <c r="CN161" i="3"/>
  <c r="CN153" i="3"/>
  <c r="CN145" i="3"/>
  <c r="CN143" i="3"/>
  <c r="CP249" i="3"/>
  <c r="CQ248" i="3"/>
  <c r="CQ232" i="3"/>
  <c r="CP136" i="3"/>
  <c r="CQ279" i="3"/>
  <c r="CQ271" i="3"/>
  <c r="CQ267" i="3"/>
  <c r="CP266" i="3"/>
  <c r="CQ263" i="3"/>
  <c r="CP262" i="3"/>
  <c r="CQ259" i="3"/>
  <c r="CQ255" i="3"/>
  <c r="CQ250" i="3"/>
  <c r="CP247" i="3"/>
  <c r="CQ242" i="3"/>
  <c r="CQ234" i="3"/>
  <c r="CP231" i="3"/>
  <c r="CQ226" i="3"/>
  <c r="CQ209" i="3"/>
  <c r="CQ253" i="3"/>
  <c r="CQ240" i="3"/>
  <c r="CQ260" i="3"/>
  <c r="CQ256" i="3"/>
  <c r="CP255" i="3"/>
  <c r="CQ254" i="3"/>
  <c r="CP245" i="3"/>
  <c r="CQ244" i="3"/>
  <c r="CQ236" i="3"/>
  <c r="CP229" i="3"/>
  <c r="CQ228" i="3"/>
  <c r="CP202" i="3"/>
  <c r="CP225" i="3"/>
  <c r="CQ281" i="3"/>
  <c r="CQ277" i="3"/>
  <c r="CQ273" i="3"/>
  <c r="CQ269" i="3"/>
  <c r="CQ265" i="3"/>
  <c r="CQ261" i="3"/>
  <c r="CQ257" i="3"/>
  <c r="CP251" i="3"/>
  <c r="CQ246" i="3"/>
  <c r="CP243" i="3"/>
  <c r="CQ238" i="3"/>
  <c r="CN235" i="3"/>
  <c r="CP235" i="3"/>
  <c r="CQ230" i="3"/>
  <c r="CP227" i="3"/>
  <c r="CQ222" i="3"/>
  <c r="CQ201" i="3"/>
  <c r="CP186" i="3"/>
  <c r="CQ249" i="3"/>
  <c r="CQ245" i="3"/>
  <c r="CQ241" i="3"/>
  <c r="CQ237" i="3"/>
  <c r="CQ233" i="3"/>
  <c r="CQ229" i="3"/>
  <c r="CQ225" i="3"/>
  <c r="CP218" i="3"/>
  <c r="CP206" i="3"/>
  <c r="CN200" i="3"/>
  <c r="CP200" i="3"/>
  <c r="CQ215" i="3"/>
  <c r="CN212" i="3"/>
  <c r="CP212" i="3"/>
  <c r="CQ207" i="3"/>
  <c r="CP204" i="3"/>
  <c r="CP178" i="3"/>
  <c r="CP184" i="3"/>
  <c r="CP176" i="3"/>
  <c r="CQ161" i="3"/>
  <c r="CQ214" i="3"/>
  <c r="CP196" i="3"/>
  <c r="CQ193" i="3"/>
  <c r="CP190" i="3"/>
  <c r="CQ185" i="3"/>
  <c r="CP182" i="3"/>
  <c r="CP174" i="3"/>
  <c r="CQ199" i="3"/>
  <c r="CQ194" i="3"/>
  <c r="CP188" i="3"/>
  <c r="CQ187" i="3"/>
  <c r="CP180" i="3"/>
  <c r="CP162" i="3"/>
  <c r="CP138" i="3"/>
  <c r="CQ180" i="3"/>
  <c r="CP173" i="3"/>
  <c r="CN169" i="3"/>
  <c r="CP165" i="3"/>
  <c r="CQ164" i="3"/>
  <c r="CN173" i="3"/>
  <c r="CQ166" i="3"/>
  <c r="CN165" i="3"/>
  <c r="CP148" i="3"/>
  <c r="CP154" i="3"/>
  <c r="CQ157" i="3"/>
  <c r="CN154" i="3"/>
  <c r="CP150" i="3"/>
  <c r="CP144" i="3"/>
  <c r="CN151" i="3"/>
  <c r="CP140" i="3"/>
  <c r="CQ139" i="3"/>
  <c r="CQ59" i="3"/>
  <c r="CQ133" i="3"/>
  <c r="CQ128" i="3"/>
  <c r="CQ116" i="3"/>
  <c r="CQ108" i="3"/>
  <c r="CQ134" i="3"/>
  <c r="CQ130" i="3"/>
  <c r="CQ102" i="3"/>
  <c r="CQ75" i="3"/>
  <c r="CQ114" i="3"/>
  <c r="CQ131" i="3"/>
  <c r="CQ127" i="3"/>
  <c r="CN125" i="3"/>
  <c r="CP125" i="3"/>
  <c r="CN117" i="3"/>
  <c r="CP117" i="3"/>
  <c r="CN109" i="3"/>
  <c r="CP109" i="3"/>
  <c r="CQ104" i="3"/>
  <c r="CN101" i="3"/>
  <c r="CP101" i="3"/>
  <c r="CQ115" i="3"/>
  <c r="CQ107" i="3"/>
  <c r="CQ96" i="3"/>
  <c r="CP94" i="3"/>
  <c r="CN85" i="3"/>
  <c r="CP85" i="3"/>
  <c r="CQ80" i="3"/>
  <c r="CQ90" i="3"/>
  <c r="CQ25" i="3"/>
  <c r="CQ95" i="3"/>
  <c r="CN79" i="3"/>
  <c r="CN78" i="3"/>
  <c r="CN75" i="3"/>
  <c r="CN74" i="3"/>
  <c r="CN71" i="3"/>
  <c r="CN70" i="3"/>
  <c r="CN67" i="3"/>
  <c r="CN66" i="3"/>
  <c r="CN63" i="3"/>
  <c r="CN62" i="3"/>
  <c r="CN59" i="3"/>
  <c r="CP44" i="3"/>
  <c r="CQ77" i="3"/>
  <c r="CP71" i="3"/>
  <c r="CP67" i="3"/>
  <c r="CP63" i="3"/>
  <c r="CP59" i="3"/>
  <c r="CP50" i="3"/>
  <c r="CP38" i="3"/>
  <c r="CQ60" i="3"/>
  <c r="CQ56" i="3"/>
  <c r="CP52" i="3"/>
  <c r="CP46" i="3"/>
  <c r="CN30" i="3"/>
  <c r="CP48" i="3"/>
  <c r="CQ26" i="3"/>
  <c r="CQ51" i="3"/>
  <c r="CP41" i="3"/>
  <c r="CN40" i="3"/>
  <c r="CP36" i="3"/>
  <c r="CN35" i="3"/>
  <c r="CP31" i="3"/>
  <c r="CP32" i="3"/>
  <c r="CP27" i="3"/>
  <c r="CQ24" i="3"/>
  <c r="CQ39" i="3"/>
  <c r="CP28" i="3"/>
  <c r="CN27" i="3"/>
  <c r="CP26" i="3"/>
  <c r="CN20" i="3"/>
  <c r="CP20" i="3"/>
  <c r="CN23" i="3"/>
  <c r="CP11" i="3"/>
  <c r="CN15" i="3"/>
  <c r="CN11" i="3"/>
  <c r="CQ8" i="3"/>
  <c r="CQ17" i="3"/>
  <c r="CP18" i="3"/>
  <c r="CP19" i="3"/>
  <c r="CP7" i="3"/>
  <c r="CP12" i="3"/>
  <c r="CP14" i="3"/>
  <c r="CP8" i="3"/>
  <c r="CP10" i="3"/>
  <c r="CP15" i="3"/>
  <c r="CP6" i="3"/>
  <c r="CP13" i="3"/>
  <c r="CP17" i="3"/>
  <c r="CP21" i="3"/>
  <c r="CQ7" i="3"/>
  <c r="CQ9" i="3"/>
  <c r="CP9" i="3"/>
  <c r="CP23" i="3"/>
  <c r="CA282" i="3"/>
  <c r="CN9" i="3"/>
  <c r="CN10" i="3"/>
  <c r="CN13" i="3"/>
  <c r="CN14" i="3"/>
  <c r="CN17" i="3"/>
  <c r="CN18" i="3"/>
  <c r="CN21" i="3"/>
  <c r="CN22" i="3"/>
  <c r="CQ23" i="3"/>
  <c r="CS236" i="3" l="1"/>
  <c r="CX236" i="3" s="1"/>
  <c r="CZ236" i="3" s="1"/>
  <c r="DI236" i="3"/>
  <c r="CS253" i="3"/>
  <c r="DD253" i="3" s="1"/>
  <c r="DF253" i="3" s="1"/>
  <c r="DI253" i="3"/>
  <c r="CS234" i="3"/>
  <c r="DD234" i="3" s="1"/>
  <c r="DF234" i="3" s="1"/>
  <c r="DI234" i="3"/>
  <c r="DJ101" i="3"/>
  <c r="DK101" i="3"/>
  <c r="DJ136" i="3"/>
  <c r="DK136" i="3"/>
  <c r="CS6" i="3"/>
  <c r="CU6" i="3" s="1"/>
  <c r="CW6" i="3" s="1"/>
  <c r="DI6" i="3"/>
  <c r="DJ81" i="3"/>
  <c r="DK81" i="3"/>
  <c r="DJ150" i="3"/>
  <c r="DK150" i="3"/>
  <c r="CS17" i="3"/>
  <c r="DA17" i="3" s="1"/>
  <c r="DC17" i="3" s="1"/>
  <c r="DI17" i="3"/>
  <c r="CS24" i="3"/>
  <c r="CX24" i="3" s="1"/>
  <c r="DI24" i="3"/>
  <c r="CS51" i="3"/>
  <c r="DA51" i="3" s="1"/>
  <c r="DC51" i="3" s="1"/>
  <c r="DI51" i="3"/>
  <c r="CS134" i="3"/>
  <c r="CU134" i="3" s="1"/>
  <c r="CW134" i="3" s="1"/>
  <c r="DI134" i="3"/>
  <c r="CS166" i="3"/>
  <c r="DA166" i="3" s="1"/>
  <c r="DC166" i="3" s="1"/>
  <c r="DI166" i="3"/>
  <c r="CS194" i="3"/>
  <c r="CX194" i="3" s="1"/>
  <c r="CZ194" i="3" s="1"/>
  <c r="DI194" i="3"/>
  <c r="CS249" i="3"/>
  <c r="DD249" i="3" s="1"/>
  <c r="DF249" i="3" s="1"/>
  <c r="DI249" i="3"/>
  <c r="CS257" i="3"/>
  <c r="CX257" i="3" s="1"/>
  <c r="CZ257" i="3" s="1"/>
  <c r="DI257" i="3"/>
  <c r="CS256" i="3"/>
  <c r="DA256" i="3" s="1"/>
  <c r="DC256" i="3" s="1"/>
  <c r="DI256" i="3"/>
  <c r="CS242" i="3"/>
  <c r="CX242" i="3" s="1"/>
  <c r="CZ242" i="3" s="1"/>
  <c r="DI242" i="3"/>
  <c r="CS267" i="3"/>
  <c r="DA267" i="3" s="1"/>
  <c r="DC267" i="3" s="1"/>
  <c r="DI267" i="3"/>
  <c r="CS208" i="3"/>
  <c r="CU208" i="3" s="1"/>
  <c r="CW208" i="3" s="1"/>
  <c r="DI208" i="3"/>
  <c r="CS85" i="3"/>
  <c r="CU85" i="3" s="1"/>
  <c r="CW85" i="3" s="1"/>
  <c r="DI85" i="3"/>
  <c r="DJ62" i="3"/>
  <c r="DK62" i="3"/>
  <c r="DJ251" i="3"/>
  <c r="DK251" i="3"/>
  <c r="CS145" i="3"/>
  <c r="CX145" i="3" s="1"/>
  <c r="CZ145" i="3" s="1"/>
  <c r="DI145" i="3"/>
  <c r="DJ220" i="3"/>
  <c r="DK220" i="3"/>
  <c r="CS79" i="3"/>
  <c r="CU79" i="3" s="1"/>
  <c r="CW79" i="3" s="1"/>
  <c r="DI79" i="3"/>
  <c r="CS27" i="3"/>
  <c r="DD27" i="3" s="1"/>
  <c r="DF27" i="3" s="1"/>
  <c r="DI27" i="3"/>
  <c r="CS124" i="3"/>
  <c r="CX124" i="3" s="1"/>
  <c r="CZ124" i="3" s="1"/>
  <c r="DI124" i="3"/>
  <c r="CS75" i="3"/>
  <c r="DA75" i="3" s="1"/>
  <c r="DC75" i="3" s="1"/>
  <c r="DI75" i="3"/>
  <c r="CS230" i="3"/>
  <c r="CU230" i="3" s="1"/>
  <c r="CW230" i="3" s="1"/>
  <c r="DI230" i="3"/>
  <c r="CS277" i="3"/>
  <c r="DD277" i="3" s="1"/>
  <c r="DF277" i="3" s="1"/>
  <c r="DI277" i="3"/>
  <c r="CS226" i="3"/>
  <c r="CX226" i="3" s="1"/>
  <c r="CZ226" i="3" s="1"/>
  <c r="DI226" i="3"/>
  <c r="CS271" i="3"/>
  <c r="CX271" i="3" s="1"/>
  <c r="CZ271" i="3" s="1"/>
  <c r="DI271" i="3"/>
  <c r="CS190" i="3"/>
  <c r="CU190" i="3" s="1"/>
  <c r="CW190" i="3" s="1"/>
  <c r="DI190" i="3"/>
  <c r="DJ272" i="3"/>
  <c r="DK272" i="3"/>
  <c r="DJ142" i="3"/>
  <c r="DK142" i="3"/>
  <c r="CS258" i="3"/>
  <c r="DA258" i="3" s="1"/>
  <c r="DC258" i="3" s="1"/>
  <c r="DI258" i="3"/>
  <c r="DJ52" i="3"/>
  <c r="DK52" i="3"/>
  <c r="CS243" i="3"/>
  <c r="DA243" i="3" s="1"/>
  <c r="DC243" i="3" s="1"/>
  <c r="DI243" i="3"/>
  <c r="DJ54" i="3"/>
  <c r="DK54" i="3"/>
  <c r="CS212" i="3"/>
  <c r="CX212" i="3" s="1"/>
  <c r="CZ212" i="3" s="1"/>
  <c r="DI212" i="3"/>
  <c r="CS235" i="3"/>
  <c r="CX235" i="3" s="1"/>
  <c r="CZ235" i="3" s="1"/>
  <c r="DI235" i="3"/>
  <c r="CS280" i="3"/>
  <c r="CX280" i="3" s="1"/>
  <c r="CZ280" i="3" s="1"/>
  <c r="DI280" i="3"/>
  <c r="CS270" i="3"/>
  <c r="CU270" i="3" s="1"/>
  <c r="CW270" i="3" s="1"/>
  <c r="DI270" i="3"/>
  <c r="CS154" i="3"/>
  <c r="CX154" i="3" s="1"/>
  <c r="CZ154" i="3" s="1"/>
  <c r="DI154" i="3"/>
  <c r="DJ268" i="3"/>
  <c r="DK268" i="3"/>
  <c r="CS204" i="3"/>
  <c r="CU204" i="3" s="1"/>
  <c r="CW204" i="3" s="1"/>
  <c r="DI204" i="3"/>
  <c r="DJ158" i="3"/>
  <c r="DK158" i="3"/>
  <c r="DJ46" i="3"/>
  <c r="DK46" i="3"/>
  <c r="CS45" i="3"/>
  <c r="DA45" i="3" s="1"/>
  <c r="DC45" i="3" s="1"/>
  <c r="DI45" i="3"/>
  <c r="CS76" i="3"/>
  <c r="DA76" i="3" s="1"/>
  <c r="DC76" i="3" s="1"/>
  <c r="DI76" i="3"/>
  <c r="CS63" i="3"/>
  <c r="CX63" i="3" s="1"/>
  <c r="CZ63" i="3" s="1"/>
  <c r="DI63" i="3"/>
  <c r="CS125" i="3"/>
  <c r="DA125" i="3" s="1"/>
  <c r="DC125" i="3" s="1"/>
  <c r="DI125" i="3"/>
  <c r="CS7" i="3"/>
  <c r="DA7" i="3" s="1"/>
  <c r="DC7" i="3" s="1"/>
  <c r="DI7" i="3"/>
  <c r="CS39" i="3"/>
  <c r="CX39" i="3" s="1"/>
  <c r="CZ39" i="3" s="1"/>
  <c r="DI39" i="3"/>
  <c r="CS60" i="3"/>
  <c r="CX60" i="3" s="1"/>
  <c r="CZ60" i="3" s="1"/>
  <c r="DI60" i="3"/>
  <c r="CS95" i="3"/>
  <c r="CX95" i="3" s="1"/>
  <c r="CZ95" i="3" s="1"/>
  <c r="DI95" i="3"/>
  <c r="CS107" i="3"/>
  <c r="CU107" i="3" s="1"/>
  <c r="CW107" i="3" s="1"/>
  <c r="DI107" i="3"/>
  <c r="CS104" i="3"/>
  <c r="CU104" i="3" s="1"/>
  <c r="CW104" i="3" s="1"/>
  <c r="DI104" i="3"/>
  <c r="CS131" i="3"/>
  <c r="CX131" i="3" s="1"/>
  <c r="CZ131" i="3" s="1"/>
  <c r="DI131" i="3"/>
  <c r="CS130" i="3"/>
  <c r="CU130" i="3" s="1"/>
  <c r="CW130" i="3" s="1"/>
  <c r="DI130" i="3"/>
  <c r="CS128" i="3"/>
  <c r="CU128" i="3" s="1"/>
  <c r="CW128" i="3" s="1"/>
  <c r="DI128" i="3"/>
  <c r="CS229" i="3"/>
  <c r="CU229" i="3" s="1"/>
  <c r="CW229" i="3" s="1"/>
  <c r="DI229" i="3"/>
  <c r="CS245" i="3"/>
  <c r="CU245" i="3" s="1"/>
  <c r="CW245" i="3" s="1"/>
  <c r="DI245" i="3"/>
  <c r="CS222" i="3"/>
  <c r="CX222" i="3" s="1"/>
  <c r="CZ222" i="3" s="1"/>
  <c r="DI222" i="3"/>
  <c r="CS269" i="3"/>
  <c r="DD269" i="3" s="1"/>
  <c r="DF269" i="3" s="1"/>
  <c r="DI269" i="3"/>
  <c r="CS255" i="3"/>
  <c r="CX255" i="3" s="1"/>
  <c r="CZ255" i="3" s="1"/>
  <c r="DI255" i="3"/>
  <c r="CS264" i="3"/>
  <c r="DA264" i="3" s="1"/>
  <c r="DC264" i="3" s="1"/>
  <c r="DI264" i="3"/>
  <c r="CS200" i="3"/>
  <c r="CU200" i="3" s="1"/>
  <c r="CW200" i="3" s="1"/>
  <c r="DI200" i="3"/>
  <c r="CS227" i="3"/>
  <c r="CU227" i="3" s="1"/>
  <c r="CW227" i="3" s="1"/>
  <c r="DI227" i="3"/>
  <c r="CS274" i="3"/>
  <c r="CU274" i="3" s="1"/>
  <c r="CW274" i="3" s="1"/>
  <c r="DI274" i="3"/>
  <c r="CS48" i="3"/>
  <c r="DA48" i="3" s="1"/>
  <c r="DC48" i="3" s="1"/>
  <c r="DI48" i="3"/>
  <c r="CS132" i="3"/>
  <c r="CX132" i="3" s="1"/>
  <c r="CZ132" i="3" s="1"/>
  <c r="DI132" i="3"/>
  <c r="DJ78" i="3"/>
  <c r="DK78" i="3"/>
  <c r="CS205" i="3"/>
  <c r="CU205" i="3" s="1"/>
  <c r="CW205" i="3" s="1"/>
  <c r="DI205" i="3"/>
  <c r="DJ146" i="3"/>
  <c r="DK146" i="3"/>
  <c r="DJ223" i="3"/>
  <c r="DK223" i="3"/>
  <c r="DJ278" i="3"/>
  <c r="DK278" i="3"/>
  <c r="CS13" i="3"/>
  <c r="CU13" i="3" s="1"/>
  <c r="CW13" i="3" s="1"/>
  <c r="DI13" i="3"/>
  <c r="CS25" i="3"/>
  <c r="CX25" i="3" s="1"/>
  <c r="CZ25" i="3" s="1"/>
  <c r="DI25" i="3"/>
  <c r="CS115" i="3"/>
  <c r="DA115" i="3" s="1"/>
  <c r="DC115" i="3" s="1"/>
  <c r="DI115" i="3"/>
  <c r="CS114" i="3"/>
  <c r="CX114" i="3" s="1"/>
  <c r="CZ114" i="3" s="1"/>
  <c r="DI114" i="3"/>
  <c r="CS133" i="3"/>
  <c r="CX133" i="3" s="1"/>
  <c r="CZ133" i="3" s="1"/>
  <c r="DI133" i="3"/>
  <c r="CS157" i="3"/>
  <c r="CX157" i="3" s="1"/>
  <c r="CZ157" i="3" s="1"/>
  <c r="DI157" i="3"/>
  <c r="CS185" i="3"/>
  <c r="DA185" i="3" s="1"/>
  <c r="DC185" i="3" s="1"/>
  <c r="DI185" i="3"/>
  <c r="CS214" i="3"/>
  <c r="CU214" i="3" s="1"/>
  <c r="CW214" i="3" s="1"/>
  <c r="DI214" i="3"/>
  <c r="CS233" i="3"/>
  <c r="DD233" i="3" s="1"/>
  <c r="DF233" i="3" s="1"/>
  <c r="DI233" i="3"/>
  <c r="CS238" i="3"/>
  <c r="CU238" i="3" s="1"/>
  <c r="CW238" i="3" s="1"/>
  <c r="DI238" i="3"/>
  <c r="CS273" i="3"/>
  <c r="DD273" i="3" s="1"/>
  <c r="DF273" i="3" s="1"/>
  <c r="DI273" i="3"/>
  <c r="CS244" i="3"/>
  <c r="CX244" i="3" s="1"/>
  <c r="CZ244" i="3" s="1"/>
  <c r="DI244" i="3"/>
  <c r="CS209" i="3"/>
  <c r="DD209" i="3" s="1"/>
  <c r="DF209" i="3" s="1"/>
  <c r="DI209" i="3"/>
  <c r="CS259" i="3"/>
  <c r="CX259" i="3" s="1"/>
  <c r="CZ259" i="3" s="1"/>
  <c r="DI259" i="3"/>
  <c r="CS232" i="3"/>
  <c r="CX232" i="3" s="1"/>
  <c r="CZ232" i="3" s="1"/>
  <c r="DI232" i="3"/>
  <c r="CS174" i="3"/>
  <c r="CU174" i="3" s="1"/>
  <c r="CW174" i="3" s="1"/>
  <c r="DI174" i="3"/>
  <c r="CS167" i="3"/>
  <c r="CX167" i="3" s="1"/>
  <c r="CZ167" i="3" s="1"/>
  <c r="DI167" i="3"/>
  <c r="DJ266" i="3"/>
  <c r="DK266" i="3"/>
  <c r="CS21" i="3"/>
  <c r="CU21" i="3" s="1"/>
  <c r="CW21" i="3" s="1"/>
  <c r="DI21" i="3"/>
  <c r="CS173" i="3"/>
  <c r="CX173" i="3" s="1"/>
  <c r="CZ173" i="3" s="1"/>
  <c r="DI173" i="3"/>
  <c r="DJ276" i="3"/>
  <c r="DK276" i="3"/>
  <c r="CS252" i="3"/>
  <c r="CU252" i="3" s="1"/>
  <c r="CW252" i="3" s="1"/>
  <c r="DI252" i="3"/>
  <c r="CS69" i="3"/>
  <c r="CX69" i="3" s="1"/>
  <c r="CZ69" i="3" s="1"/>
  <c r="DI69" i="3"/>
  <c r="CS206" i="3"/>
  <c r="CU206" i="3" s="1"/>
  <c r="CW206" i="3" s="1"/>
  <c r="DI206" i="3"/>
  <c r="CS30" i="3"/>
  <c r="DA30" i="3" s="1"/>
  <c r="DC30" i="3" s="1"/>
  <c r="DI30" i="3"/>
  <c r="CS82" i="3"/>
  <c r="CX82" i="3" s="1"/>
  <c r="CZ82" i="3" s="1"/>
  <c r="DI82" i="3"/>
  <c r="CS8" i="3"/>
  <c r="CX8" i="3" s="1"/>
  <c r="CZ8" i="3" s="1"/>
  <c r="DI8" i="3"/>
  <c r="CS26" i="3"/>
  <c r="CU26" i="3" s="1"/>
  <c r="CW26" i="3" s="1"/>
  <c r="DI26" i="3"/>
  <c r="CS90" i="3"/>
  <c r="DA90" i="3" s="1"/>
  <c r="DC90" i="3" s="1"/>
  <c r="DI90" i="3"/>
  <c r="CS108" i="3"/>
  <c r="CX108" i="3" s="1"/>
  <c r="CZ108" i="3" s="1"/>
  <c r="DI108" i="3"/>
  <c r="CS59" i="3"/>
  <c r="DA59" i="3" s="1"/>
  <c r="DC59" i="3" s="1"/>
  <c r="DI59" i="3"/>
  <c r="CS199" i="3"/>
  <c r="CU199" i="3" s="1"/>
  <c r="CW199" i="3" s="1"/>
  <c r="DI199" i="3"/>
  <c r="CS161" i="3"/>
  <c r="CU161" i="3" s="1"/>
  <c r="CW161" i="3" s="1"/>
  <c r="DI161" i="3"/>
  <c r="CS215" i="3"/>
  <c r="CU215" i="3" s="1"/>
  <c r="CW215" i="3" s="1"/>
  <c r="DI215" i="3"/>
  <c r="CS237" i="3"/>
  <c r="CU237" i="3" s="1"/>
  <c r="CW237" i="3" s="1"/>
  <c r="DI237" i="3"/>
  <c r="CS261" i="3"/>
  <c r="DD261" i="3" s="1"/>
  <c r="DF261" i="3" s="1"/>
  <c r="DI261" i="3"/>
  <c r="CS228" i="3"/>
  <c r="CU228" i="3" s="1"/>
  <c r="CW228" i="3" s="1"/>
  <c r="DI228" i="3"/>
  <c r="CS260" i="3"/>
  <c r="CU260" i="3" s="1"/>
  <c r="CW260" i="3" s="1"/>
  <c r="DI260" i="3"/>
  <c r="CS248" i="3"/>
  <c r="CU248" i="3" s="1"/>
  <c r="CW248" i="3" s="1"/>
  <c r="DI248" i="3"/>
  <c r="CS23" i="3"/>
  <c r="DA23" i="3" s="1"/>
  <c r="DC23" i="3" s="1"/>
  <c r="DI23" i="3"/>
  <c r="CS9" i="3"/>
  <c r="CX9" i="3" s="1"/>
  <c r="CZ9" i="3" s="1"/>
  <c r="DI9" i="3"/>
  <c r="CS56" i="3"/>
  <c r="CX56" i="3" s="1"/>
  <c r="CZ56" i="3" s="1"/>
  <c r="DI56" i="3"/>
  <c r="CS77" i="3"/>
  <c r="DA77" i="3" s="1"/>
  <c r="DC77" i="3" s="1"/>
  <c r="DI77" i="3"/>
  <c r="CS80" i="3"/>
  <c r="CU80" i="3" s="1"/>
  <c r="CW80" i="3" s="1"/>
  <c r="DI80" i="3"/>
  <c r="CS96" i="3"/>
  <c r="CX96" i="3" s="1"/>
  <c r="CZ96" i="3" s="1"/>
  <c r="DI96" i="3"/>
  <c r="CS127" i="3"/>
  <c r="CU127" i="3" s="1"/>
  <c r="CW127" i="3" s="1"/>
  <c r="DI127" i="3"/>
  <c r="CS102" i="3"/>
  <c r="CX102" i="3" s="1"/>
  <c r="CZ102" i="3" s="1"/>
  <c r="DI102" i="3"/>
  <c r="CS116" i="3"/>
  <c r="CU116" i="3" s="1"/>
  <c r="CW116" i="3" s="1"/>
  <c r="DI116" i="3"/>
  <c r="CS139" i="3"/>
  <c r="DA139" i="3" s="1"/>
  <c r="DC139" i="3" s="1"/>
  <c r="DI139" i="3"/>
  <c r="CS164" i="3"/>
  <c r="CU164" i="3" s="1"/>
  <c r="CW164" i="3" s="1"/>
  <c r="DI164" i="3"/>
  <c r="CS180" i="3"/>
  <c r="CX180" i="3" s="1"/>
  <c r="CZ180" i="3" s="1"/>
  <c r="DI180" i="3"/>
  <c r="CS187" i="3"/>
  <c r="CU187" i="3" s="1"/>
  <c r="CW187" i="3" s="1"/>
  <c r="DI187" i="3"/>
  <c r="CS193" i="3"/>
  <c r="CU193" i="3" s="1"/>
  <c r="CW193" i="3" s="1"/>
  <c r="DI193" i="3"/>
  <c r="CS207" i="3"/>
  <c r="CU207" i="3" s="1"/>
  <c r="CW207" i="3" s="1"/>
  <c r="DI207" i="3"/>
  <c r="CS225" i="3"/>
  <c r="CU225" i="3" s="1"/>
  <c r="CW225" i="3" s="1"/>
  <c r="DI225" i="3"/>
  <c r="CS241" i="3"/>
  <c r="CX241" i="3" s="1"/>
  <c r="CZ241" i="3" s="1"/>
  <c r="DI241" i="3"/>
  <c r="CS201" i="3"/>
  <c r="DA201" i="3" s="1"/>
  <c r="DC201" i="3" s="1"/>
  <c r="DI201" i="3"/>
  <c r="CS246" i="3"/>
  <c r="CU246" i="3" s="1"/>
  <c r="CW246" i="3" s="1"/>
  <c r="DI246" i="3"/>
  <c r="CS265" i="3"/>
  <c r="CU265" i="3" s="1"/>
  <c r="CW265" i="3" s="1"/>
  <c r="DI265" i="3"/>
  <c r="CS281" i="3"/>
  <c r="CX281" i="3" s="1"/>
  <c r="CZ281" i="3" s="1"/>
  <c r="DI281" i="3"/>
  <c r="CS254" i="3"/>
  <c r="CX254" i="3" s="1"/>
  <c r="CZ254" i="3" s="1"/>
  <c r="DI254" i="3"/>
  <c r="CS240" i="3"/>
  <c r="CU240" i="3" s="1"/>
  <c r="CW240" i="3" s="1"/>
  <c r="DI240" i="3"/>
  <c r="CS250" i="3"/>
  <c r="DD250" i="3" s="1"/>
  <c r="DF250" i="3" s="1"/>
  <c r="DI250" i="3"/>
  <c r="CS263" i="3"/>
  <c r="CU263" i="3" s="1"/>
  <c r="CW263" i="3" s="1"/>
  <c r="DI263" i="3"/>
  <c r="CS279" i="3"/>
  <c r="DD279" i="3" s="1"/>
  <c r="DF279" i="3" s="1"/>
  <c r="DI279" i="3"/>
  <c r="CS262" i="3"/>
  <c r="CU262" i="3" s="1"/>
  <c r="CW262" i="3" s="1"/>
  <c r="DI262" i="3"/>
  <c r="CS239" i="3"/>
  <c r="CX239" i="3" s="1"/>
  <c r="CZ239" i="3" s="1"/>
  <c r="DI239" i="3"/>
  <c r="CS247" i="3"/>
  <c r="CU247" i="3" s="1"/>
  <c r="CW247" i="3" s="1"/>
  <c r="DI247" i="3"/>
  <c r="CS113" i="3"/>
  <c r="CU113" i="3" s="1"/>
  <c r="CW113" i="3" s="1"/>
  <c r="DI113" i="3"/>
  <c r="DJ38" i="3"/>
  <c r="DK38" i="3"/>
  <c r="CS89" i="3"/>
  <c r="CX89" i="3" s="1"/>
  <c r="CZ89" i="3" s="1"/>
  <c r="DI89" i="3"/>
  <c r="CS231" i="3"/>
  <c r="CU231" i="3" s="1"/>
  <c r="CW231" i="3" s="1"/>
  <c r="DI231" i="3"/>
  <c r="DJ216" i="3"/>
  <c r="DK216" i="3"/>
  <c r="CS171" i="3"/>
  <c r="CU171" i="3" s="1"/>
  <c r="CW171" i="3" s="1"/>
  <c r="DI171" i="3"/>
  <c r="CS31" i="3"/>
  <c r="CU31" i="3" s="1"/>
  <c r="CW31" i="3" s="1"/>
  <c r="DI31" i="3"/>
  <c r="CS202" i="3"/>
  <c r="CU202" i="3" s="1"/>
  <c r="CW202" i="3" s="1"/>
  <c r="DI202" i="3"/>
  <c r="CS57" i="3"/>
  <c r="CU57" i="3" s="1"/>
  <c r="CW57" i="3" s="1"/>
  <c r="DI57" i="3"/>
  <c r="CS126" i="3"/>
  <c r="CU126" i="3" s="1"/>
  <c r="CW126" i="3" s="1"/>
  <c r="DI126" i="3"/>
  <c r="CS137" i="3"/>
  <c r="CU137" i="3" s="1"/>
  <c r="CW137" i="3" s="1"/>
  <c r="DI137" i="3"/>
  <c r="CS217" i="3"/>
  <c r="CU217" i="3" s="1"/>
  <c r="CW217" i="3" s="1"/>
  <c r="DI217" i="3"/>
  <c r="CS49" i="3"/>
  <c r="CU49" i="3" s="1"/>
  <c r="CW49" i="3" s="1"/>
  <c r="DI49" i="3"/>
  <c r="DD204" i="3"/>
  <c r="DF204" i="3" s="1"/>
  <c r="DA204" i="3"/>
  <c r="DC204" i="3" s="1"/>
  <c r="CX204" i="3"/>
  <c r="CZ204" i="3" s="1"/>
  <c r="DD39" i="3"/>
  <c r="DF39" i="3" s="1"/>
  <c r="DA39" i="3"/>
  <c r="DC39" i="3" s="1"/>
  <c r="CU39" i="3"/>
  <c r="CW39" i="3" s="1"/>
  <c r="DD95" i="3"/>
  <c r="DF95" i="3" s="1"/>
  <c r="DA95" i="3"/>
  <c r="DC95" i="3" s="1"/>
  <c r="CU95" i="3"/>
  <c r="CW95" i="3" s="1"/>
  <c r="DD104" i="3"/>
  <c r="DF104" i="3" s="1"/>
  <c r="DA104" i="3"/>
  <c r="DC104" i="3" s="1"/>
  <c r="CX104" i="3"/>
  <c r="CZ104" i="3" s="1"/>
  <c r="DD130" i="3"/>
  <c r="DF130" i="3" s="1"/>
  <c r="DA130" i="3"/>
  <c r="DC130" i="3" s="1"/>
  <c r="CX130" i="3"/>
  <c r="CZ130" i="3" s="1"/>
  <c r="DA229" i="3"/>
  <c r="DC229" i="3" s="1"/>
  <c r="DD229" i="3"/>
  <c r="DF229" i="3" s="1"/>
  <c r="CX229" i="3"/>
  <c r="CZ229" i="3" s="1"/>
  <c r="DD222" i="3"/>
  <c r="DF222" i="3" s="1"/>
  <c r="DA222" i="3"/>
  <c r="DC222" i="3" s="1"/>
  <c r="CU222" i="3"/>
  <c r="CW222" i="3" s="1"/>
  <c r="DD236" i="3"/>
  <c r="DF236" i="3" s="1"/>
  <c r="DA236" i="3"/>
  <c r="DC236" i="3" s="1"/>
  <c r="CU236" i="3"/>
  <c r="CW236" i="3" s="1"/>
  <c r="DA234" i="3"/>
  <c r="DC234" i="3" s="1"/>
  <c r="CX234" i="3"/>
  <c r="CZ234" i="3" s="1"/>
  <c r="CU234" i="3"/>
  <c r="CW234" i="3" s="1"/>
  <c r="DA255" i="3"/>
  <c r="DC255" i="3" s="1"/>
  <c r="CU255" i="3"/>
  <c r="CW255" i="3" s="1"/>
  <c r="DD255" i="3"/>
  <c r="DF255" i="3" s="1"/>
  <c r="DD200" i="3"/>
  <c r="DF200" i="3" s="1"/>
  <c r="DA200" i="3"/>
  <c r="DC200" i="3" s="1"/>
  <c r="CX200" i="3"/>
  <c r="CZ200" i="3" s="1"/>
  <c r="CU139" i="3"/>
  <c r="CW139" i="3" s="1"/>
  <c r="DD243" i="3"/>
  <c r="DF243" i="3" s="1"/>
  <c r="CX243" i="3"/>
  <c r="CZ243" i="3" s="1"/>
  <c r="CU243" i="3"/>
  <c r="CW243" i="3" s="1"/>
  <c r="DD280" i="3"/>
  <c r="DF280" i="3" s="1"/>
  <c r="DA280" i="3"/>
  <c r="DC280" i="3" s="1"/>
  <c r="CU280" i="3"/>
  <c r="CW280" i="3" s="1"/>
  <c r="DD154" i="3"/>
  <c r="DF154" i="3" s="1"/>
  <c r="CU154" i="3"/>
  <c r="CW154" i="3" s="1"/>
  <c r="DA154" i="3"/>
  <c r="DC154" i="3" s="1"/>
  <c r="DD76" i="3"/>
  <c r="DF76" i="3" s="1"/>
  <c r="CU76" i="3"/>
  <c r="CW76" i="3" s="1"/>
  <c r="CX76" i="3"/>
  <c r="CZ76" i="3" s="1"/>
  <c r="DD125" i="3"/>
  <c r="DF125" i="3" s="1"/>
  <c r="CX125" i="3"/>
  <c r="CZ125" i="3" s="1"/>
  <c r="CU125" i="3"/>
  <c r="CW125" i="3" s="1"/>
  <c r="DD17" i="3"/>
  <c r="DF17" i="3" s="1"/>
  <c r="CX17" i="3"/>
  <c r="CZ17" i="3" s="1"/>
  <c r="CU17" i="3"/>
  <c r="CW17" i="3" s="1"/>
  <c r="DD51" i="3"/>
  <c r="DF51" i="3" s="1"/>
  <c r="CU51" i="3"/>
  <c r="CW51" i="3" s="1"/>
  <c r="CX51" i="3"/>
  <c r="CZ51" i="3" s="1"/>
  <c r="DD115" i="3"/>
  <c r="DF115" i="3" s="1"/>
  <c r="CX115" i="3"/>
  <c r="CZ115" i="3" s="1"/>
  <c r="CU115" i="3"/>
  <c r="CW115" i="3" s="1"/>
  <c r="DD133" i="3"/>
  <c r="DF133" i="3" s="1"/>
  <c r="DA133" i="3"/>
  <c r="DC133" i="3" s="1"/>
  <c r="CU133" i="3"/>
  <c r="CW133" i="3" s="1"/>
  <c r="DD166" i="3"/>
  <c r="DF166" i="3" s="1"/>
  <c r="CU166" i="3"/>
  <c r="CW166" i="3" s="1"/>
  <c r="CX166" i="3"/>
  <c r="CZ166" i="3" s="1"/>
  <c r="DD185" i="3"/>
  <c r="DF185" i="3" s="1"/>
  <c r="CU185" i="3"/>
  <c r="CW185" i="3" s="1"/>
  <c r="CX185" i="3"/>
  <c r="CZ185" i="3" s="1"/>
  <c r="DA233" i="3"/>
  <c r="DC233" i="3" s="1"/>
  <c r="CX233" i="3"/>
  <c r="CZ233" i="3" s="1"/>
  <c r="CU233" i="3"/>
  <c r="CW233" i="3" s="1"/>
  <c r="DA249" i="3"/>
  <c r="DC249" i="3" s="1"/>
  <c r="CU249" i="3"/>
  <c r="CW249" i="3" s="1"/>
  <c r="CX249" i="3"/>
  <c r="CZ249" i="3" s="1"/>
  <c r="DA273" i="3"/>
  <c r="DC273" i="3" s="1"/>
  <c r="CX273" i="3"/>
  <c r="CZ273" i="3" s="1"/>
  <c r="CU273" i="3"/>
  <c r="CW273" i="3" s="1"/>
  <c r="CX256" i="3"/>
  <c r="CZ256" i="3" s="1"/>
  <c r="CU256" i="3"/>
  <c r="CW256" i="3" s="1"/>
  <c r="DD256" i="3"/>
  <c r="DF256" i="3" s="1"/>
  <c r="DA209" i="3"/>
  <c r="DC209" i="3" s="1"/>
  <c r="CX209" i="3"/>
  <c r="CZ209" i="3" s="1"/>
  <c r="CU209" i="3"/>
  <c r="CW209" i="3" s="1"/>
  <c r="DD267" i="3"/>
  <c r="DF267" i="3" s="1"/>
  <c r="CX267" i="3"/>
  <c r="CZ267" i="3" s="1"/>
  <c r="CU267" i="3"/>
  <c r="CW267" i="3" s="1"/>
  <c r="DD232" i="3"/>
  <c r="DF232" i="3" s="1"/>
  <c r="DA232" i="3"/>
  <c r="DC232" i="3" s="1"/>
  <c r="CU232" i="3"/>
  <c r="CW232" i="3" s="1"/>
  <c r="DD167" i="3"/>
  <c r="DF167" i="3" s="1"/>
  <c r="DA167" i="3"/>
  <c r="DC167" i="3" s="1"/>
  <c r="CU167" i="3"/>
  <c r="CW167" i="3" s="1"/>
  <c r="DD85" i="3"/>
  <c r="DF85" i="3" s="1"/>
  <c r="CX85" i="3"/>
  <c r="CZ85" i="3" s="1"/>
  <c r="DA85" i="3"/>
  <c r="DC85" i="3" s="1"/>
  <c r="DD21" i="3"/>
  <c r="DF21" i="3" s="1"/>
  <c r="CX21" i="3"/>
  <c r="CZ21" i="3" s="1"/>
  <c r="DA21" i="3"/>
  <c r="DC21" i="3" s="1"/>
  <c r="DD274" i="3"/>
  <c r="DF274" i="3" s="1"/>
  <c r="DA274" i="3"/>
  <c r="DC274" i="3" s="1"/>
  <c r="CX274" i="3"/>
  <c r="CZ274" i="3" s="1"/>
  <c r="DD132" i="3"/>
  <c r="DF132" i="3" s="1"/>
  <c r="DA132" i="3"/>
  <c r="DC132" i="3" s="1"/>
  <c r="CU132" i="3"/>
  <c r="CW132" i="3" s="1"/>
  <c r="DD205" i="3"/>
  <c r="DF205" i="3" s="1"/>
  <c r="DA205" i="3"/>
  <c r="DC205" i="3" s="1"/>
  <c r="CX205" i="3"/>
  <c r="CZ205" i="3" s="1"/>
  <c r="DD13" i="3"/>
  <c r="DF13" i="3" s="1"/>
  <c r="CX13" i="3"/>
  <c r="CZ13" i="3" s="1"/>
  <c r="DA13" i="3"/>
  <c r="DC13" i="3" s="1"/>
  <c r="DA5" i="3"/>
  <c r="DC5" i="3" s="1"/>
  <c r="CU5" i="3"/>
  <c r="CW5" i="3" s="1"/>
  <c r="CX5" i="3"/>
  <c r="CZ5" i="3" s="1"/>
  <c r="DD5" i="3"/>
  <c r="DF5" i="3" s="1"/>
  <c r="DD9" i="3"/>
  <c r="DF9" i="3" s="1"/>
  <c r="DA9" i="3"/>
  <c r="DC9" i="3" s="1"/>
  <c r="CU9" i="3"/>
  <c r="CW9" i="3" s="1"/>
  <c r="DD102" i="3"/>
  <c r="DF102" i="3" s="1"/>
  <c r="DA102" i="3"/>
  <c r="DC102" i="3" s="1"/>
  <c r="CU102" i="3"/>
  <c r="CW102" i="3" s="1"/>
  <c r="DD180" i="3"/>
  <c r="DF180" i="3" s="1"/>
  <c r="DA180" i="3"/>
  <c r="DC180" i="3" s="1"/>
  <c r="CU180" i="3"/>
  <c r="CW180" i="3" s="1"/>
  <c r="DD193" i="3"/>
  <c r="DF193" i="3" s="1"/>
  <c r="DA193" i="3"/>
  <c r="DC193" i="3" s="1"/>
  <c r="CX193" i="3"/>
  <c r="CZ193" i="3" s="1"/>
  <c r="DD254" i="3"/>
  <c r="DF254" i="3" s="1"/>
  <c r="DA254" i="3"/>
  <c r="DC254" i="3" s="1"/>
  <c r="CU239" i="3"/>
  <c r="CW239" i="3" s="1"/>
  <c r="DD239" i="3"/>
  <c r="DF239" i="3" s="1"/>
  <c r="DD212" i="3"/>
  <c r="DF212" i="3" s="1"/>
  <c r="DA212" i="3"/>
  <c r="DC212" i="3" s="1"/>
  <c r="CU212" i="3"/>
  <c r="CW212" i="3" s="1"/>
  <c r="DD8" i="3"/>
  <c r="DF8" i="3" s="1"/>
  <c r="DA8" i="3"/>
  <c r="DC8" i="3" s="1"/>
  <c r="CU8" i="3"/>
  <c r="CW8" i="3" s="1"/>
  <c r="DD90" i="3"/>
  <c r="DF90" i="3" s="1"/>
  <c r="CX90" i="3"/>
  <c r="CZ90" i="3" s="1"/>
  <c r="CU90" i="3"/>
  <c r="CW90" i="3" s="1"/>
  <c r="DD75" i="3"/>
  <c r="DF75" i="3" s="1"/>
  <c r="CX75" i="3"/>
  <c r="CZ75" i="3" s="1"/>
  <c r="CU75" i="3"/>
  <c r="CW75" i="3" s="1"/>
  <c r="DD59" i="3"/>
  <c r="DF59" i="3" s="1"/>
  <c r="CX59" i="3"/>
  <c r="CZ59" i="3" s="1"/>
  <c r="CU59" i="3"/>
  <c r="CW59" i="3" s="1"/>
  <c r="DD161" i="3"/>
  <c r="DF161" i="3" s="1"/>
  <c r="DA161" i="3"/>
  <c r="DC161" i="3" s="1"/>
  <c r="CX161" i="3"/>
  <c r="CZ161" i="3" s="1"/>
  <c r="DA237" i="3"/>
  <c r="DC237" i="3" s="1"/>
  <c r="CX237" i="3"/>
  <c r="CZ237" i="3" s="1"/>
  <c r="DD237" i="3"/>
  <c r="DF237" i="3" s="1"/>
  <c r="DA277" i="3"/>
  <c r="DC277" i="3" s="1"/>
  <c r="CX277" i="3"/>
  <c r="CZ277" i="3" s="1"/>
  <c r="CU277" i="3"/>
  <c r="CW277" i="3" s="1"/>
  <c r="DD228" i="3"/>
  <c r="DF228" i="3" s="1"/>
  <c r="DA228" i="3"/>
  <c r="DC228" i="3" s="1"/>
  <c r="CX228" i="3"/>
  <c r="CZ228" i="3" s="1"/>
  <c r="DA271" i="3"/>
  <c r="DC271" i="3" s="1"/>
  <c r="CU271" i="3"/>
  <c r="CW271" i="3" s="1"/>
  <c r="DD271" i="3"/>
  <c r="DF271" i="3" s="1"/>
  <c r="DD248" i="3"/>
  <c r="DF248" i="3" s="1"/>
  <c r="CX248" i="3"/>
  <c r="CZ248" i="3" s="1"/>
  <c r="DA248" i="3"/>
  <c r="DC248" i="3" s="1"/>
  <c r="DD258" i="3"/>
  <c r="DF258" i="3" s="1"/>
  <c r="CX258" i="3"/>
  <c r="CZ258" i="3" s="1"/>
  <c r="CU258" i="3"/>
  <c r="CW258" i="3" s="1"/>
  <c r="DD69" i="3"/>
  <c r="DF69" i="3" s="1"/>
  <c r="DA69" i="3"/>
  <c r="DC69" i="3" s="1"/>
  <c r="CU69" i="3"/>
  <c r="CW69" i="3" s="1"/>
  <c r="DD30" i="3"/>
  <c r="DF30" i="3" s="1"/>
  <c r="CU30" i="3"/>
  <c r="CW30" i="3" s="1"/>
  <c r="CX30" i="3"/>
  <c r="CZ30" i="3" s="1"/>
  <c r="CX27" i="3"/>
  <c r="CZ27" i="3" s="1"/>
  <c r="CU27" i="3"/>
  <c r="CW27" i="3" s="1"/>
  <c r="DA27" i="3"/>
  <c r="DC27" i="3" s="1"/>
  <c r="CS266" i="3"/>
  <c r="CS101" i="3"/>
  <c r="CS136" i="3"/>
  <c r="CS78" i="3"/>
  <c r="CS146" i="3"/>
  <c r="CS223" i="3"/>
  <c r="CS278" i="3"/>
  <c r="CS81" i="3"/>
  <c r="CS150" i="3"/>
  <c r="CS54" i="3"/>
  <c r="CS268" i="3"/>
  <c r="CS158" i="3"/>
  <c r="CS46" i="3"/>
  <c r="CS38" i="3"/>
  <c r="CS216" i="3"/>
  <c r="CS272" i="3"/>
  <c r="CS142" i="3"/>
  <c r="CS52" i="3"/>
  <c r="CS62" i="3"/>
  <c r="CS276" i="3"/>
  <c r="CS251" i="3"/>
  <c r="CS220" i="3"/>
  <c r="CQ123" i="3"/>
  <c r="DI123" i="3" s="1"/>
  <c r="CP194" i="3"/>
  <c r="CR194" i="3" s="1"/>
  <c r="CQ10" i="3"/>
  <c r="CQ11" i="3"/>
  <c r="DI11" i="3" s="1"/>
  <c r="CQ29" i="3"/>
  <c r="DI29" i="3" s="1"/>
  <c r="CQ153" i="3"/>
  <c r="CP223" i="3"/>
  <c r="CR223" i="3" s="1"/>
  <c r="CQ183" i="3"/>
  <c r="DI183" i="3" s="1"/>
  <c r="CP127" i="3"/>
  <c r="CR127" i="3" s="1"/>
  <c r="BK282" i="3"/>
  <c r="CP126" i="3"/>
  <c r="CR126" i="3" s="1"/>
  <c r="BV282" i="3"/>
  <c r="CQ175" i="3"/>
  <c r="DI175" i="3" s="1"/>
  <c r="CQ160" i="3"/>
  <c r="DI160" i="3" s="1"/>
  <c r="CP137" i="3"/>
  <c r="CR137" i="3" s="1"/>
  <c r="CQ192" i="3"/>
  <c r="DI192" i="3" s="1"/>
  <c r="CQ178" i="3"/>
  <c r="DI178" i="3" s="1"/>
  <c r="CQ44" i="3"/>
  <c r="DI44" i="3" s="1"/>
  <c r="CQ168" i="3"/>
  <c r="DI168" i="3" s="1"/>
  <c r="CQ37" i="3"/>
  <c r="DI37" i="3" s="1"/>
  <c r="CQ47" i="3"/>
  <c r="CQ40" i="3"/>
  <c r="DI40" i="3" s="1"/>
  <c r="CQ64" i="3"/>
  <c r="DI64" i="3" s="1"/>
  <c r="CQ61" i="3"/>
  <c r="DI61" i="3" s="1"/>
  <c r="CQ163" i="3"/>
  <c r="DI163" i="3" s="1"/>
  <c r="CQ122" i="3"/>
  <c r="DI122" i="3" s="1"/>
  <c r="CQ121" i="3"/>
  <c r="DI121" i="3" s="1"/>
  <c r="CQ22" i="3"/>
  <c r="DI22" i="3" s="1"/>
  <c r="CQ165" i="3"/>
  <c r="DI165" i="3" s="1"/>
  <c r="CQ35" i="3"/>
  <c r="DI35" i="3" s="1"/>
  <c r="CQ16" i="3"/>
  <c r="DI16" i="3" s="1"/>
  <c r="CR8" i="3"/>
  <c r="CQ41" i="3"/>
  <c r="CQ143" i="3"/>
  <c r="DI143" i="3" s="1"/>
  <c r="CQ159" i="3"/>
  <c r="CQ34" i="3"/>
  <c r="DI34" i="3" s="1"/>
  <c r="CQ91" i="3"/>
  <c r="DI91" i="3" s="1"/>
  <c r="CQ110" i="3"/>
  <c r="CP209" i="3"/>
  <c r="CR209" i="3" s="1"/>
  <c r="CQ94" i="3"/>
  <c r="DI94" i="3" s="1"/>
  <c r="CQ32" i="3"/>
  <c r="CQ99" i="3"/>
  <c r="DI99" i="3" s="1"/>
  <c r="CQ176" i="3"/>
  <c r="CQ50" i="3"/>
  <c r="DI50" i="3" s="1"/>
  <c r="CP153" i="3"/>
  <c r="CQ19" i="3"/>
  <c r="DI19" i="3" s="1"/>
  <c r="CQ67" i="3"/>
  <c r="DI67" i="3" s="1"/>
  <c r="CQ74" i="3"/>
  <c r="DI74" i="3" s="1"/>
  <c r="BJ282" i="3"/>
  <c r="CQ182" i="3"/>
  <c r="DI182" i="3" s="1"/>
  <c r="CQ189" i="3"/>
  <c r="DI189" i="3" s="1"/>
  <c r="CQ87" i="3"/>
  <c r="DI87" i="3" s="1"/>
  <c r="CQ172" i="3"/>
  <c r="DI172" i="3" s="1"/>
  <c r="CQ149" i="3"/>
  <c r="CQ135" i="3"/>
  <c r="CQ33" i="3"/>
  <c r="DI33" i="3" s="1"/>
  <c r="CQ118" i="3"/>
  <c r="DI118" i="3" s="1"/>
  <c r="CQ117" i="3"/>
  <c r="DI117" i="3" s="1"/>
  <c r="CQ197" i="3"/>
  <c r="DI197" i="3" s="1"/>
  <c r="CQ53" i="3"/>
  <c r="DI53" i="3" s="1"/>
  <c r="CQ83" i="3"/>
  <c r="DI83" i="3" s="1"/>
  <c r="CQ111" i="3"/>
  <c r="CQ86" i="3"/>
  <c r="CQ58" i="3"/>
  <c r="DI58" i="3" s="1"/>
  <c r="CQ177" i="3"/>
  <c r="DI177" i="3" s="1"/>
  <c r="CQ98" i="3"/>
  <c r="DI98" i="3" s="1"/>
  <c r="CQ14" i="3"/>
  <c r="DI14" i="3" s="1"/>
  <c r="CQ275" i="3"/>
  <c r="DI275" i="3" s="1"/>
  <c r="CQ105" i="3"/>
  <c r="DI105" i="3" s="1"/>
  <c r="BW282" i="3"/>
  <c r="CQ191" i="3"/>
  <c r="CQ141" i="3"/>
  <c r="DI141" i="3" s="1"/>
  <c r="CQ112" i="3"/>
  <c r="DI112" i="3" s="1"/>
  <c r="CQ213" i="3"/>
  <c r="DI213" i="3" s="1"/>
  <c r="CQ144" i="3"/>
  <c r="DI144" i="3" s="1"/>
  <c r="CQ155" i="3"/>
  <c r="DI155" i="3" s="1"/>
  <c r="CQ198" i="3"/>
  <c r="DI198" i="3" s="1"/>
  <c r="CQ152" i="3"/>
  <c r="CQ15" i="3"/>
  <c r="CQ42" i="3"/>
  <c r="DI42" i="3" s="1"/>
  <c r="CQ65" i="3"/>
  <c r="DI65" i="3" s="1"/>
  <c r="CP98" i="3"/>
  <c r="CQ28" i="3"/>
  <c r="DI28" i="3" s="1"/>
  <c r="CQ72" i="3"/>
  <c r="DI72" i="3" s="1"/>
  <c r="CQ100" i="3"/>
  <c r="DI100" i="3" s="1"/>
  <c r="CQ140" i="3"/>
  <c r="DI140" i="3" s="1"/>
  <c r="CQ66" i="3"/>
  <c r="DI66" i="3" s="1"/>
  <c r="CQ84" i="3"/>
  <c r="DI84" i="3" s="1"/>
  <c r="CQ93" i="3"/>
  <c r="DI93" i="3" s="1"/>
  <c r="CQ109" i="3"/>
  <c r="DI109" i="3" s="1"/>
  <c r="CQ210" i="3"/>
  <c r="DI210" i="3" s="1"/>
  <c r="CQ221" i="3"/>
  <c r="DI221" i="3" s="1"/>
  <c r="CQ195" i="3"/>
  <c r="DI195" i="3" s="1"/>
  <c r="CQ73" i="3"/>
  <c r="DI73" i="3" s="1"/>
  <c r="CQ92" i="3"/>
  <c r="DI92" i="3" s="1"/>
  <c r="CQ97" i="3"/>
  <c r="DI97" i="3" s="1"/>
  <c r="CQ103" i="3"/>
  <c r="DI103" i="3" s="1"/>
  <c r="CQ119" i="3"/>
  <c r="DI119" i="3" s="1"/>
  <c r="CQ120" i="3"/>
  <c r="DI120" i="3" s="1"/>
  <c r="CQ106" i="3"/>
  <c r="DI106" i="3" s="1"/>
  <c r="CQ147" i="3"/>
  <c r="CQ156" i="3"/>
  <c r="DI156" i="3" s="1"/>
  <c r="CQ170" i="3"/>
  <c r="DI170" i="3" s="1"/>
  <c r="CQ184" i="3"/>
  <c r="CQ196" i="3"/>
  <c r="DI196" i="3" s="1"/>
  <c r="CQ203" i="3"/>
  <c r="DI203" i="3" s="1"/>
  <c r="CQ211" i="3"/>
  <c r="DI211" i="3" s="1"/>
  <c r="CQ224" i="3"/>
  <c r="DI224" i="3" s="1"/>
  <c r="CQ218" i="3"/>
  <c r="DI218" i="3" s="1"/>
  <c r="CQ181" i="3"/>
  <c r="CQ138" i="3"/>
  <c r="DI138" i="3" s="1"/>
  <c r="CQ151" i="3"/>
  <c r="DI151" i="3" s="1"/>
  <c r="CQ148" i="3"/>
  <c r="DI148" i="3" s="1"/>
  <c r="CQ12" i="3"/>
  <c r="DI12" i="3" s="1"/>
  <c r="CQ68" i="3"/>
  <c r="DI68" i="3" s="1"/>
  <c r="CQ162" i="3"/>
  <c r="DI162" i="3" s="1"/>
  <c r="CQ169" i="3"/>
  <c r="DI169" i="3" s="1"/>
  <c r="CQ36" i="3"/>
  <c r="DI36" i="3" s="1"/>
  <c r="CQ18" i="3"/>
  <c r="DI18" i="3" s="1"/>
  <c r="CQ20" i="3"/>
  <c r="CQ43" i="3"/>
  <c r="DI43" i="3" s="1"/>
  <c r="CQ129" i="3"/>
  <c r="DI129" i="3" s="1"/>
  <c r="CQ188" i="3"/>
  <c r="CQ70" i="3"/>
  <c r="DI70" i="3" s="1"/>
  <c r="CQ186" i="3"/>
  <c r="DI186" i="3" s="1"/>
  <c r="CQ219" i="3"/>
  <c r="CQ55" i="3"/>
  <c r="CQ71" i="3"/>
  <c r="DI71" i="3" s="1"/>
  <c r="CQ88" i="3"/>
  <c r="CQ179" i="3"/>
  <c r="DI179" i="3" s="1"/>
  <c r="CR154" i="3"/>
  <c r="CR227" i="3"/>
  <c r="CR150" i="3"/>
  <c r="CR173" i="3"/>
  <c r="CR247" i="3"/>
  <c r="CR125" i="3"/>
  <c r="CR174" i="3"/>
  <c r="CR52" i="3"/>
  <c r="CR101" i="3"/>
  <c r="CR136" i="3"/>
  <c r="CR132" i="3"/>
  <c r="CR46" i="3"/>
  <c r="CR270" i="3"/>
  <c r="CR158" i="3"/>
  <c r="CR274" i="3"/>
  <c r="CR89" i="3"/>
  <c r="CR276" i="3"/>
  <c r="CR146" i="3"/>
  <c r="CR113" i="3"/>
  <c r="CR78" i="3"/>
  <c r="CR251" i="3"/>
  <c r="CR266" i="3"/>
  <c r="CR252" i="3"/>
  <c r="CR216" i="3"/>
  <c r="CR54" i="3"/>
  <c r="CR235" i="3"/>
  <c r="CR231" i="3"/>
  <c r="CR262" i="3"/>
  <c r="CR142" i="3"/>
  <c r="CR27" i="3"/>
  <c r="CR212" i="3"/>
  <c r="CR217" i="3"/>
  <c r="CR208" i="3"/>
  <c r="CR220" i="3"/>
  <c r="CR239" i="3"/>
  <c r="CR81" i="3"/>
  <c r="CR278" i="3"/>
  <c r="CR38" i="3"/>
  <c r="CR48" i="3"/>
  <c r="CR204" i="3"/>
  <c r="CR190" i="3"/>
  <c r="CR258" i="3"/>
  <c r="CR268" i="3"/>
  <c r="CR243" i="3"/>
  <c r="CR21" i="3"/>
  <c r="CR62" i="3"/>
  <c r="CR167" i="3"/>
  <c r="CR200" i="3"/>
  <c r="CR264" i="3"/>
  <c r="CR85" i="3"/>
  <c r="CR272" i="3"/>
  <c r="CR280" i="3"/>
  <c r="CR157" i="3"/>
  <c r="CR185" i="3"/>
  <c r="CR206" i="3"/>
  <c r="CR233" i="3"/>
  <c r="CR265" i="3"/>
  <c r="CR254" i="3"/>
  <c r="CR253" i="3"/>
  <c r="CR166" i="3"/>
  <c r="CR199" i="3"/>
  <c r="CR193" i="3"/>
  <c r="CR237" i="3"/>
  <c r="CR201" i="3"/>
  <c r="CR230" i="3"/>
  <c r="CR257" i="3"/>
  <c r="CR244" i="3"/>
  <c r="CR240" i="3"/>
  <c r="CR255" i="3"/>
  <c r="CR271" i="3"/>
  <c r="CR180" i="3"/>
  <c r="CR187" i="3"/>
  <c r="CR161" i="3"/>
  <c r="CR249" i="3"/>
  <c r="CR222" i="3"/>
  <c r="CR281" i="3"/>
  <c r="CR226" i="3"/>
  <c r="CR214" i="3"/>
  <c r="CR215" i="3"/>
  <c r="CR205" i="3"/>
  <c r="CR225" i="3"/>
  <c r="CR241" i="3"/>
  <c r="CR246" i="3"/>
  <c r="CR261" i="3"/>
  <c r="CR269" i="3"/>
  <c r="CR277" i="3"/>
  <c r="CR236" i="3"/>
  <c r="CR234" i="3"/>
  <c r="CR242" i="3"/>
  <c r="CR263" i="3"/>
  <c r="CR139" i="3"/>
  <c r="CR238" i="3"/>
  <c r="CR273" i="3"/>
  <c r="CR228" i="3"/>
  <c r="CR267" i="3"/>
  <c r="CR279" i="3"/>
  <c r="CR248" i="3"/>
  <c r="CR145" i="3"/>
  <c r="CR171" i="3"/>
  <c r="CR164" i="3"/>
  <c r="CR202" i="3"/>
  <c r="CR207" i="3"/>
  <c r="CR229" i="3"/>
  <c r="CR245" i="3"/>
  <c r="CR256" i="3"/>
  <c r="CR260" i="3"/>
  <c r="CR250" i="3"/>
  <c r="CR259" i="3"/>
  <c r="CR232" i="3"/>
  <c r="CR80" i="3"/>
  <c r="CR96" i="3"/>
  <c r="CR75" i="3"/>
  <c r="CR134" i="3"/>
  <c r="CR108" i="3"/>
  <c r="CR124" i="3"/>
  <c r="CR51" i="3"/>
  <c r="CR49" i="3"/>
  <c r="CR45" i="3"/>
  <c r="CR69" i="3"/>
  <c r="CR25" i="3"/>
  <c r="CR57" i="3"/>
  <c r="CR115" i="3"/>
  <c r="CR63" i="3"/>
  <c r="CR79" i="3"/>
  <c r="CR104" i="3"/>
  <c r="CR131" i="3"/>
  <c r="CR130" i="3"/>
  <c r="CR116" i="3"/>
  <c r="CR30" i="3"/>
  <c r="CR56" i="3"/>
  <c r="CR60" i="3"/>
  <c r="CR76" i="3"/>
  <c r="CR77" i="3"/>
  <c r="CR90" i="3"/>
  <c r="CR114" i="3"/>
  <c r="CR128" i="3"/>
  <c r="CR133" i="3"/>
  <c r="CR24" i="3"/>
  <c r="CR31" i="3"/>
  <c r="CR39" i="3"/>
  <c r="CR26" i="3"/>
  <c r="CR95" i="3"/>
  <c r="CR82" i="3"/>
  <c r="CR107" i="3"/>
  <c r="CR102" i="3"/>
  <c r="CR59" i="3"/>
  <c r="CR17" i="3"/>
  <c r="CR6" i="3"/>
  <c r="CR9" i="3"/>
  <c r="CR7" i="3"/>
  <c r="CR13" i="3"/>
  <c r="CR23" i="3"/>
  <c r="DA239" i="3" l="1"/>
  <c r="DC239" i="3" s="1"/>
  <c r="CU254" i="3"/>
  <c r="CW254" i="3" s="1"/>
  <c r="DA250" i="3"/>
  <c r="DC250" i="3" s="1"/>
  <c r="DD139" i="3"/>
  <c r="DF139" i="3" s="1"/>
  <c r="CU77" i="3"/>
  <c r="CW77" i="3" s="1"/>
  <c r="DA31" i="3"/>
  <c r="DC31" i="3" s="1"/>
  <c r="CU89" i="3"/>
  <c r="CW89" i="3" s="1"/>
  <c r="DA49" i="3"/>
  <c r="DC49" i="3" s="1"/>
  <c r="DD113" i="3"/>
  <c r="DF113" i="3" s="1"/>
  <c r="DD77" i="3"/>
  <c r="DF77" i="3" s="1"/>
  <c r="DA279" i="3"/>
  <c r="DC279" i="3" s="1"/>
  <c r="CX57" i="3"/>
  <c r="CZ57" i="3" s="1"/>
  <c r="CX201" i="3"/>
  <c r="CZ201" i="3" s="1"/>
  <c r="DA137" i="3"/>
  <c r="DC137" i="3" s="1"/>
  <c r="DD89" i="3"/>
  <c r="DF89" i="3" s="1"/>
  <c r="DA265" i="3"/>
  <c r="DC265" i="3" s="1"/>
  <c r="DD116" i="3"/>
  <c r="DF116" i="3" s="1"/>
  <c r="CU201" i="3"/>
  <c r="CW201" i="3" s="1"/>
  <c r="CX139" i="3"/>
  <c r="CZ139" i="3" s="1"/>
  <c r="DD49" i="3"/>
  <c r="DF49" i="3" s="1"/>
  <c r="DD57" i="3"/>
  <c r="DF57" i="3" s="1"/>
  <c r="DA89" i="3"/>
  <c r="DC89" i="3" s="1"/>
  <c r="DD225" i="3"/>
  <c r="DF225" i="3" s="1"/>
  <c r="CX77" i="3"/>
  <c r="CZ77" i="3" s="1"/>
  <c r="CX279" i="3"/>
  <c r="CZ279" i="3" s="1"/>
  <c r="DD201" i="3"/>
  <c r="DF201" i="3" s="1"/>
  <c r="CX49" i="3"/>
  <c r="CZ49" i="3" s="1"/>
  <c r="DD137" i="3"/>
  <c r="DF137" i="3" s="1"/>
  <c r="CX31" i="3"/>
  <c r="CZ31" i="3" s="1"/>
  <c r="DA113" i="3"/>
  <c r="DC113" i="3" s="1"/>
  <c r="CX265" i="3"/>
  <c r="CZ265" i="3" s="1"/>
  <c r="DA96" i="3"/>
  <c r="DC96" i="3" s="1"/>
  <c r="DA190" i="3"/>
  <c r="DC190" i="3" s="1"/>
  <c r="DD174" i="3"/>
  <c r="DF174" i="3" s="1"/>
  <c r="CU279" i="3"/>
  <c r="CW279" i="3" s="1"/>
  <c r="CX137" i="3"/>
  <c r="CZ137" i="3" s="1"/>
  <c r="DA57" i="3"/>
  <c r="DC57" i="3" s="1"/>
  <c r="DD31" i="3"/>
  <c r="DF31" i="3" s="1"/>
  <c r="CX113" i="3"/>
  <c r="CZ113" i="3" s="1"/>
  <c r="CX250" i="3"/>
  <c r="CZ250" i="3" s="1"/>
  <c r="CX225" i="3"/>
  <c r="CZ225" i="3" s="1"/>
  <c r="CU96" i="3"/>
  <c r="CW96" i="3" s="1"/>
  <c r="DA164" i="3"/>
  <c r="DC164" i="3" s="1"/>
  <c r="CU250" i="3"/>
  <c r="CW250" i="3" s="1"/>
  <c r="DD265" i="3"/>
  <c r="DF265" i="3" s="1"/>
  <c r="DA225" i="3"/>
  <c r="DC225" i="3" s="1"/>
  <c r="DD96" i="3"/>
  <c r="DF96" i="3" s="1"/>
  <c r="DD190" i="3"/>
  <c r="DF190" i="3" s="1"/>
  <c r="DD164" i="3"/>
  <c r="DF164" i="3" s="1"/>
  <c r="DA174" i="3"/>
  <c r="DC174" i="3" s="1"/>
  <c r="DA116" i="3"/>
  <c r="DC116" i="3" s="1"/>
  <c r="CX26" i="3"/>
  <c r="CZ26" i="3" s="1"/>
  <c r="DA157" i="3"/>
  <c r="DC157" i="3" s="1"/>
  <c r="DA131" i="3"/>
  <c r="DC131" i="3" s="1"/>
  <c r="DD26" i="3"/>
  <c r="DF26" i="3" s="1"/>
  <c r="DD157" i="3"/>
  <c r="DF157" i="3" s="1"/>
  <c r="DD131" i="3"/>
  <c r="DF131" i="3" s="1"/>
  <c r="DA206" i="3"/>
  <c r="DC206" i="3" s="1"/>
  <c r="DA230" i="3"/>
  <c r="DC230" i="3" s="1"/>
  <c r="DA6" i="3"/>
  <c r="DC6" i="3" s="1"/>
  <c r="DD257" i="3"/>
  <c r="DF257" i="3" s="1"/>
  <c r="DA24" i="3"/>
  <c r="DC24" i="3" s="1"/>
  <c r="CX253" i="3"/>
  <c r="CZ253" i="3" s="1"/>
  <c r="CX45" i="3"/>
  <c r="CZ45" i="3" s="1"/>
  <c r="DD206" i="3"/>
  <c r="DF206" i="3" s="1"/>
  <c r="DD230" i="3"/>
  <c r="DF230" i="3" s="1"/>
  <c r="DD6" i="3"/>
  <c r="DF6" i="3" s="1"/>
  <c r="DA257" i="3"/>
  <c r="DC257" i="3" s="1"/>
  <c r="DD24" i="3"/>
  <c r="DF24" i="3" s="1"/>
  <c r="DA253" i="3"/>
  <c r="DC253" i="3" s="1"/>
  <c r="DD45" i="3"/>
  <c r="DF45" i="3" s="1"/>
  <c r="DA79" i="3"/>
  <c r="DC79" i="3" s="1"/>
  <c r="DA252" i="3"/>
  <c r="DC252" i="3" s="1"/>
  <c r="DA260" i="3"/>
  <c r="DC260" i="3" s="1"/>
  <c r="DA199" i="3"/>
  <c r="DC199" i="3" s="1"/>
  <c r="DA246" i="3"/>
  <c r="DC246" i="3" s="1"/>
  <c r="CX227" i="3"/>
  <c r="CZ227" i="3" s="1"/>
  <c r="DA242" i="3"/>
  <c r="DC242" i="3" s="1"/>
  <c r="DA214" i="3"/>
  <c r="DC214" i="3" s="1"/>
  <c r="DA114" i="3"/>
  <c r="DC114" i="3" s="1"/>
  <c r="DA262" i="3"/>
  <c r="DC262" i="3" s="1"/>
  <c r="CX80" i="3"/>
  <c r="CZ80" i="3" s="1"/>
  <c r="CX245" i="3"/>
  <c r="CZ245" i="3" s="1"/>
  <c r="DA60" i="3"/>
  <c r="DC60" i="3" s="1"/>
  <c r="DA235" i="3"/>
  <c r="DC235" i="3" s="1"/>
  <c r="DD79" i="3"/>
  <c r="DF79" i="3" s="1"/>
  <c r="DD252" i="3"/>
  <c r="DF252" i="3" s="1"/>
  <c r="DD260" i="3"/>
  <c r="DF260" i="3" s="1"/>
  <c r="DD199" i="3"/>
  <c r="DF199" i="3" s="1"/>
  <c r="DD246" i="3"/>
  <c r="DF246" i="3" s="1"/>
  <c r="DA227" i="3"/>
  <c r="DC227" i="3" s="1"/>
  <c r="DD242" i="3"/>
  <c r="DF242" i="3" s="1"/>
  <c r="DD214" i="3"/>
  <c r="DF214" i="3" s="1"/>
  <c r="DD114" i="3"/>
  <c r="DF114" i="3" s="1"/>
  <c r="DD262" i="3"/>
  <c r="DF262" i="3" s="1"/>
  <c r="DD80" i="3"/>
  <c r="DF80" i="3" s="1"/>
  <c r="DA245" i="3"/>
  <c r="DC245" i="3" s="1"/>
  <c r="DD60" i="3"/>
  <c r="DF60" i="3" s="1"/>
  <c r="DD235" i="3"/>
  <c r="DF235" i="3" s="1"/>
  <c r="DA126" i="3"/>
  <c r="DC126" i="3" s="1"/>
  <c r="DD126" i="3"/>
  <c r="DF126" i="3" s="1"/>
  <c r="DD247" i="3"/>
  <c r="DF247" i="3" s="1"/>
  <c r="DA247" i="3"/>
  <c r="DC247" i="3" s="1"/>
  <c r="DA124" i="3"/>
  <c r="DC124" i="3" s="1"/>
  <c r="DA82" i="3"/>
  <c r="DC82" i="3" s="1"/>
  <c r="DA145" i="3"/>
  <c r="DC145" i="3" s="1"/>
  <c r="DA173" i="3"/>
  <c r="DC173" i="3" s="1"/>
  <c r="DA226" i="3"/>
  <c r="DC226" i="3" s="1"/>
  <c r="CX261" i="3"/>
  <c r="CZ261" i="3" s="1"/>
  <c r="DD215" i="3"/>
  <c r="DF215" i="3" s="1"/>
  <c r="DA108" i="3"/>
  <c r="DC108" i="3" s="1"/>
  <c r="DD263" i="3"/>
  <c r="DF263" i="3" s="1"/>
  <c r="CX23" i="3"/>
  <c r="CZ23" i="3" s="1"/>
  <c r="CU48" i="3"/>
  <c r="CW48" i="3" s="1"/>
  <c r="CX208" i="3"/>
  <c r="CZ208" i="3" s="1"/>
  <c r="DA259" i="3"/>
  <c r="DC259" i="3" s="1"/>
  <c r="DA244" i="3"/>
  <c r="DC244" i="3" s="1"/>
  <c r="DA238" i="3"/>
  <c r="DC238" i="3" s="1"/>
  <c r="DA194" i="3"/>
  <c r="DC194" i="3" s="1"/>
  <c r="DA134" i="3"/>
  <c r="DC134" i="3" s="1"/>
  <c r="DA25" i="3"/>
  <c r="DC25" i="3" s="1"/>
  <c r="DA63" i="3"/>
  <c r="DC63" i="3" s="1"/>
  <c r="DD207" i="3"/>
  <c r="DF207" i="3" s="1"/>
  <c r="DA127" i="3"/>
  <c r="DC127" i="3" s="1"/>
  <c r="DA56" i="3"/>
  <c r="DC56" i="3" s="1"/>
  <c r="CX171" i="3"/>
  <c r="CZ171" i="3" s="1"/>
  <c r="CX264" i="3"/>
  <c r="CZ264" i="3" s="1"/>
  <c r="CX269" i="3"/>
  <c r="CZ269" i="3" s="1"/>
  <c r="CX128" i="3"/>
  <c r="CZ128" i="3" s="1"/>
  <c r="CX107" i="3"/>
  <c r="CZ107" i="3" s="1"/>
  <c r="CX7" i="3"/>
  <c r="CZ7" i="3" s="1"/>
  <c r="DA270" i="3"/>
  <c r="DC270" i="3" s="1"/>
  <c r="DD241" i="3"/>
  <c r="DF241" i="3" s="1"/>
  <c r="DD124" i="3"/>
  <c r="DF124" i="3" s="1"/>
  <c r="DD82" i="3"/>
  <c r="DF82" i="3" s="1"/>
  <c r="DD145" i="3"/>
  <c r="DF145" i="3" s="1"/>
  <c r="DD173" i="3"/>
  <c r="DF173" i="3" s="1"/>
  <c r="DD226" i="3"/>
  <c r="DF226" i="3" s="1"/>
  <c r="DA261" i="3"/>
  <c r="DC261" i="3" s="1"/>
  <c r="DA215" i="3"/>
  <c r="DC215" i="3" s="1"/>
  <c r="DD108" i="3"/>
  <c r="DF108" i="3" s="1"/>
  <c r="DA263" i="3"/>
  <c r="DC263" i="3" s="1"/>
  <c r="DD23" i="3"/>
  <c r="DF23" i="3" s="1"/>
  <c r="CX48" i="3"/>
  <c r="CZ48" i="3" s="1"/>
  <c r="DD208" i="3"/>
  <c r="DF208" i="3" s="1"/>
  <c r="DD259" i="3"/>
  <c r="DF259" i="3" s="1"/>
  <c r="DD244" i="3"/>
  <c r="DF244" i="3" s="1"/>
  <c r="DD238" i="3"/>
  <c r="DF238" i="3" s="1"/>
  <c r="DD194" i="3"/>
  <c r="DF194" i="3" s="1"/>
  <c r="DD134" i="3"/>
  <c r="DF134" i="3" s="1"/>
  <c r="DD25" i="3"/>
  <c r="DF25" i="3" s="1"/>
  <c r="DD63" i="3"/>
  <c r="DF63" i="3" s="1"/>
  <c r="DA207" i="3"/>
  <c r="DC207" i="3" s="1"/>
  <c r="DD127" i="3"/>
  <c r="DF127" i="3" s="1"/>
  <c r="DD56" i="3"/>
  <c r="DF56" i="3" s="1"/>
  <c r="DD171" i="3"/>
  <c r="DF171" i="3" s="1"/>
  <c r="DD264" i="3"/>
  <c r="DF264" i="3" s="1"/>
  <c r="DA269" i="3"/>
  <c r="DC269" i="3" s="1"/>
  <c r="DD128" i="3"/>
  <c r="DF128" i="3" s="1"/>
  <c r="DD107" i="3"/>
  <c r="DF107" i="3" s="1"/>
  <c r="DD7" i="3"/>
  <c r="DF7" i="3" s="1"/>
  <c r="DD270" i="3"/>
  <c r="DF270" i="3" s="1"/>
  <c r="DA241" i="3"/>
  <c r="DC241" i="3" s="1"/>
  <c r="DD281" i="3"/>
  <c r="DF281" i="3" s="1"/>
  <c r="DD217" i="3"/>
  <c r="DF217" i="3" s="1"/>
  <c r="CX202" i="3"/>
  <c r="CZ202" i="3" s="1"/>
  <c r="DD231" i="3"/>
  <c r="DF231" i="3" s="1"/>
  <c r="DA240" i="3"/>
  <c r="DC240" i="3" s="1"/>
  <c r="CX187" i="3"/>
  <c r="CZ187" i="3" s="1"/>
  <c r="DA281" i="3"/>
  <c r="DC281" i="3" s="1"/>
  <c r="DA217" i="3"/>
  <c r="DC217" i="3" s="1"/>
  <c r="DD202" i="3"/>
  <c r="DF202" i="3" s="1"/>
  <c r="DA231" i="3"/>
  <c r="DC231" i="3" s="1"/>
  <c r="CX240" i="3"/>
  <c r="CZ240" i="3" s="1"/>
  <c r="DD187" i="3"/>
  <c r="DF187" i="3" s="1"/>
  <c r="CZ24" i="3"/>
  <c r="DJ253" i="3"/>
  <c r="DK253" i="3"/>
  <c r="DJ71" i="3"/>
  <c r="DK71" i="3"/>
  <c r="DJ162" i="3"/>
  <c r="DK162" i="3"/>
  <c r="DJ224" i="3"/>
  <c r="DK224" i="3"/>
  <c r="CS184" i="3"/>
  <c r="CX184" i="3" s="1"/>
  <c r="CZ184" i="3" s="1"/>
  <c r="DI184" i="3"/>
  <c r="DJ97" i="3"/>
  <c r="DK97" i="3"/>
  <c r="DJ84" i="3"/>
  <c r="DK84" i="3"/>
  <c r="DJ42" i="3"/>
  <c r="DK42" i="3"/>
  <c r="DJ141" i="3"/>
  <c r="DK141" i="3"/>
  <c r="DJ53" i="3"/>
  <c r="DK53" i="3"/>
  <c r="DJ87" i="3"/>
  <c r="DK87" i="3"/>
  <c r="DJ50" i="3"/>
  <c r="DK50" i="3"/>
  <c r="DJ11" i="3"/>
  <c r="DK11" i="3"/>
  <c r="DJ217" i="3"/>
  <c r="DK217" i="3"/>
  <c r="DK202" i="3"/>
  <c r="DJ202" i="3"/>
  <c r="DJ231" i="3"/>
  <c r="DK231" i="3"/>
  <c r="DJ247" i="3"/>
  <c r="DK247" i="3"/>
  <c r="DJ263" i="3"/>
  <c r="DK263" i="3"/>
  <c r="DJ281" i="3"/>
  <c r="DK281" i="3"/>
  <c r="DJ241" i="3"/>
  <c r="DK241" i="3"/>
  <c r="DJ187" i="3"/>
  <c r="DK187" i="3"/>
  <c r="DJ116" i="3"/>
  <c r="DK116" i="3"/>
  <c r="DK80" i="3"/>
  <c r="DJ80" i="3"/>
  <c r="DJ260" i="3"/>
  <c r="DK260" i="3"/>
  <c r="DJ215" i="3"/>
  <c r="DK215" i="3"/>
  <c r="DK108" i="3"/>
  <c r="DJ108" i="3"/>
  <c r="DJ82" i="3"/>
  <c r="DK82" i="3"/>
  <c r="DJ252" i="3"/>
  <c r="DK252" i="3"/>
  <c r="DJ259" i="3"/>
  <c r="DK259" i="3"/>
  <c r="DJ238" i="3"/>
  <c r="DK238" i="3"/>
  <c r="DJ157" i="3"/>
  <c r="DK157" i="3"/>
  <c r="DJ25" i="3"/>
  <c r="DK25" i="3"/>
  <c r="DJ48" i="3"/>
  <c r="DK48" i="3"/>
  <c r="DJ264" i="3"/>
  <c r="DK264" i="3"/>
  <c r="DJ245" i="3"/>
  <c r="DK245" i="3"/>
  <c r="DJ131" i="3"/>
  <c r="DK131" i="3"/>
  <c r="DJ60" i="3"/>
  <c r="DK60" i="3"/>
  <c r="DJ63" i="3"/>
  <c r="DK63" i="3"/>
  <c r="DJ270" i="3"/>
  <c r="DK270" i="3"/>
  <c r="DJ226" i="3"/>
  <c r="DK226" i="3"/>
  <c r="DJ124" i="3"/>
  <c r="DK124" i="3"/>
  <c r="DJ145" i="3"/>
  <c r="DK145" i="3"/>
  <c r="DJ208" i="3"/>
  <c r="DK208" i="3"/>
  <c r="DJ257" i="3"/>
  <c r="DK257" i="3"/>
  <c r="DJ134" i="3"/>
  <c r="DK134" i="3"/>
  <c r="DJ6" i="3"/>
  <c r="DK6" i="3"/>
  <c r="DK179" i="3"/>
  <c r="DJ179" i="3"/>
  <c r="CS219" i="3"/>
  <c r="CU219" i="3" s="1"/>
  <c r="CW219" i="3" s="1"/>
  <c r="DI219" i="3"/>
  <c r="DJ129" i="3"/>
  <c r="DK129" i="3"/>
  <c r="DJ36" i="3"/>
  <c r="DK36" i="3"/>
  <c r="DJ12" i="3"/>
  <c r="DK12" i="3"/>
  <c r="CS181" i="3"/>
  <c r="CX181" i="3" s="1"/>
  <c r="CZ181" i="3" s="1"/>
  <c r="DI181" i="3"/>
  <c r="DJ203" i="3"/>
  <c r="DK203" i="3"/>
  <c r="DK156" i="3"/>
  <c r="DJ156" i="3"/>
  <c r="DK119" i="3"/>
  <c r="DJ119" i="3"/>
  <c r="DJ73" i="3"/>
  <c r="DK73" i="3"/>
  <c r="DJ109" i="3"/>
  <c r="DK109" i="3"/>
  <c r="DK140" i="3"/>
  <c r="DJ140" i="3"/>
  <c r="CS152" i="3"/>
  <c r="CU152" i="3" s="1"/>
  <c r="CW152" i="3" s="1"/>
  <c r="DI152" i="3"/>
  <c r="DK213" i="3"/>
  <c r="DJ213" i="3"/>
  <c r="DJ98" i="3"/>
  <c r="DK98" i="3"/>
  <c r="CS111" i="3"/>
  <c r="DA111" i="3" s="1"/>
  <c r="DC111" i="3" s="1"/>
  <c r="DI111" i="3"/>
  <c r="DJ117" i="3"/>
  <c r="DK117" i="3"/>
  <c r="CS149" i="3"/>
  <c r="CX149" i="3" s="1"/>
  <c r="CZ149" i="3" s="1"/>
  <c r="DI149" i="3"/>
  <c r="DK182" i="3"/>
  <c r="DJ182" i="3"/>
  <c r="DJ19" i="3"/>
  <c r="DK19" i="3"/>
  <c r="DK99" i="3"/>
  <c r="DJ99" i="3"/>
  <c r="CS110" i="3"/>
  <c r="DA110" i="3" s="1"/>
  <c r="DC110" i="3" s="1"/>
  <c r="DI110" i="3"/>
  <c r="DK143" i="3"/>
  <c r="DJ143" i="3"/>
  <c r="DJ35" i="3"/>
  <c r="DK35" i="3"/>
  <c r="DJ122" i="3"/>
  <c r="DK122" i="3"/>
  <c r="DJ40" i="3"/>
  <c r="DK40" i="3"/>
  <c r="DJ44" i="3"/>
  <c r="DK44" i="3"/>
  <c r="DK160" i="3"/>
  <c r="DJ160" i="3"/>
  <c r="CS153" i="3"/>
  <c r="CX153" i="3" s="1"/>
  <c r="CZ153" i="3" s="1"/>
  <c r="DI153" i="3"/>
  <c r="CU124" i="3"/>
  <c r="CW124" i="3" s="1"/>
  <c r="CX79" i="3"/>
  <c r="CZ79" i="3" s="1"/>
  <c r="CU82" i="3"/>
  <c r="CW82" i="3" s="1"/>
  <c r="CX206" i="3"/>
  <c r="CZ206" i="3" s="1"/>
  <c r="CU145" i="3"/>
  <c r="CW145" i="3" s="1"/>
  <c r="CX252" i="3"/>
  <c r="CZ252" i="3" s="1"/>
  <c r="CU173" i="3"/>
  <c r="CW173" i="3" s="1"/>
  <c r="CX190" i="3"/>
  <c r="CZ190" i="3" s="1"/>
  <c r="CU226" i="3"/>
  <c r="CW226" i="3" s="1"/>
  <c r="CX260" i="3"/>
  <c r="CZ260" i="3" s="1"/>
  <c r="CU261" i="3"/>
  <c r="CW261" i="3" s="1"/>
  <c r="CX230" i="3"/>
  <c r="CZ230" i="3" s="1"/>
  <c r="CX215" i="3"/>
  <c r="CZ215" i="3" s="1"/>
  <c r="CX199" i="3"/>
  <c r="CZ199" i="3" s="1"/>
  <c r="CU108" i="3"/>
  <c r="CW108" i="3" s="1"/>
  <c r="DA26" i="3"/>
  <c r="DC26" i="3" s="1"/>
  <c r="CX263" i="3"/>
  <c r="CZ263" i="3" s="1"/>
  <c r="CX246" i="3"/>
  <c r="CZ246" i="3" s="1"/>
  <c r="CU23" i="3"/>
  <c r="CW23" i="3" s="1"/>
  <c r="CX6" i="3"/>
  <c r="CZ6" i="3" s="1"/>
  <c r="DD48" i="3"/>
  <c r="DF48" i="3" s="1"/>
  <c r="DD227" i="3"/>
  <c r="DF227" i="3" s="1"/>
  <c r="DA208" i="3"/>
  <c r="DC208" i="3" s="1"/>
  <c r="CX174" i="3"/>
  <c r="CZ174" i="3" s="1"/>
  <c r="CU259" i="3"/>
  <c r="CW259" i="3" s="1"/>
  <c r="CU242" i="3"/>
  <c r="CW242" i="3" s="1"/>
  <c r="CU244" i="3"/>
  <c r="CW244" i="3" s="1"/>
  <c r="CU257" i="3"/>
  <c r="CW257" i="3" s="1"/>
  <c r="CX238" i="3"/>
  <c r="CZ238" i="3" s="1"/>
  <c r="CX214" i="3"/>
  <c r="CZ214" i="3" s="1"/>
  <c r="CU194" i="3"/>
  <c r="CW194" i="3" s="1"/>
  <c r="CU157" i="3"/>
  <c r="CW157" i="3" s="1"/>
  <c r="CX134" i="3"/>
  <c r="CZ134" i="3" s="1"/>
  <c r="CU114" i="3"/>
  <c r="CW114" i="3" s="1"/>
  <c r="CU25" i="3"/>
  <c r="CW25" i="3" s="1"/>
  <c r="CU24" i="3"/>
  <c r="CW24" i="3" s="1"/>
  <c r="CU63" i="3"/>
  <c r="CW63" i="3" s="1"/>
  <c r="CX262" i="3"/>
  <c r="CZ262" i="3" s="1"/>
  <c r="CU281" i="3"/>
  <c r="CW281" i="3" s="1"/>
  <c r="CX207" i="3"/>
  <c r="CZ207" i="3" s="1"/>
  <c r="CX164" i="3"/>
  <c r="CZ164" i="3" s="1"/>
  <c r="CX127" i="3"/>
  <c r="CZ127" i="3" s="1"/>
  <c r="DA80" i="3"/>
  <c r="DC80" i="3" s="1"/>
  <c r="CU56" i="3"/>
  <c r="CW56" i="3" s="1"/>
  <c r="CX217" i="3"/>
  <c r="CZ217" i="3" s="1"/>
  <c r="CX126" i="3"/>
  <c r="CZ126" i="3" s="1"/>
  <c r="DA202" i="3"/>
  <c r="DC202" i="3" s="1"/>
  <c r="DA171" i="3"/>
  <c r="DC171" i="3" s="1"/>
  <c r="CX231" i="3"/>
  <c r="CZ231" i="3" s="1"/>
  <c r="CX247" i="3"/>
  <c r="CZ247" i="3" s="1"/>
  <c r="CU264" i="3"/>
  <c r="CW264" i="3" s="1"/>
  <c r="CU253" i="3"/>
  <c r="CW253" i="3" s="1"/>
  <c r="CU269" i="3"/>
  <c r="CW269" i="3" s="1"/>
  <c r="DD245" i="3"/>
  <c r="DF245" i="3" s="1"/>
  <c r="DA128" i="3"/>
  <c r="DC128" i="3" s="1"/>
  <c r="CU131" i="3"/>
  <c r="CW131" i="3" s="1"/>
  <c r="DA107" i="3"/>
  <c r="DC107" i="3" s="1"/>
  <c r="CU60" i="3"/>
  <c r="CW60" i="3" s="1"/>
  <c r="CU7" i="3"/>
  <c r="CW7" i="3" s="1"/>
  <c r="CU45" i="3"/>
  <c r="CW45" i="3" s="1"/>
  <c r="CX270" i="3"/>
  <c r="CZ270" i="3" s="1"/>
  <c r="CU235" i="3"/>
  <c r="CW235" i="3" s="1"/>
  <c r="DD240" i="3"/>
  <c r="DF240" i="3" s="1"/>
  <c r="CU241" i="3"/>
  <c r="CW241" i="3" s="1"/>
  <c r="DA187" i="3"/>
  <c r="DC187" i="3" s="1"/>
  <c r="CX116" i="3"/>
  <c r="CZ116" i="3" s="1"/>
  <c r="DJ49" i="3"/>
  <c r="DK49" i="3"/>
  <c r="DJ137" i="3"/>
  <c r="DK137" i="3"/>
  <c r="DJ57" i="3"/>
  <c r="DK57" i="3"/>
  <c r="DJ31" i="3"/>
  <c r="DK31" i="3"/>
  <c r="DJ89" i="3"/>
  <c r="DK89" i="3"/>
  <c r="DJ113" i="3"/>
  <c r="DK113" i="3"/>
  <c r="DJ239" i="3"/>
  <c r="DK239" i="3"/>
  <c r="DJ279" i="3"/>
  <c r="DK279" i="3"/>
  <c r="DJ250" i="3"/>
  <c r="DK250" i="3"/>
  <c r="DJ254" i="3"/>
  <c r="DK254" i="3"/>
  <c r="DJ265" i="3"/>
  <c r="DK265" i="3"/>
  <c r="DJ201" i="3"/>
  <c r="DK201" i="3"/>
  <c r="DJ225" i="3"/>
  <c r="DK225" i="3"/>
  <c r="DJ193" i="3"/>
  <c r="DK193" i="3"/>
  <c r="DK180" i="3"/>
  <c r="DJ180" i="3"/>
  <c r="DK139" i="3"/>
  <c r="DJ139" i="3"/>
  <c r="DJ102" i="3"/>
  <c r="DK102" i="3"/>
  <c r="DJ96" i="3"/>
  <c r="DK96" i="3"/>
  <c r="DJ77" i="3"/>
  <c r="DK77" i="3"/>
  <c r="DJ9" i="3"/>
  <c r="DK9" i="3"/>
  <c r="DJ248" i="3"/>
  <c r="DK248" i="3"/>
  <c r="DJ228" i="3"/>
  <c r="DK228" i="3"/>
  <c r="DJ237" i="3"/>
  <c r="DK237" i="3"/>
  <c r="DJ161" i="3"/>
  <c r="DK161" i="3"/>
  <c r="DJ59" i="3"/>
  <c r="DK59" i="3"/>
  <c r="DJ90" i="3"/>
  <c r="DK90" i="3"/>
  <c r="DJ8" i="3"/>
  <c r="DK8" i="3"/>
  <c r="DJ30" i="3"/>
  <c r="DK30" i="3"/>
  <c r="DJ69" i="3"/>
  <c r="DK69" i="3"/>
  <c r="DJ21" i="3"/>
  <c r="DK21" i="3"/>
  <c r="DK167" i="3"/>
  <c r="DJ167" i="3"/>
  <c r="DJ232" i="3"/>
  <c r="DK232" i="3"/>
  <c r="DJ209" i="3"/>
  <c r="DK209" i="3"/>
  <c r="DJ273" i="3"/>
  <c r="DK273" i="3"/>
  <c r="DJ233" i="3"/>
  <c r="DK233" i="3"/>
  <c r="DJ185" i="3"/>
  <c r="DK185" i="3"/>
  <c r="DJ133" i="3"/>
  <c r="DK133" i="3"/>
  <c r="DK115" i="3"/>
  <c r="DJ115" i="3"/>
  <c r="DJ13" i="3"/>
  <c r="DK13" i="3"/>
  <c r="DJ205" i="3"/>
  <c r="DK205" i="3"/>
  <c r="DJ132" i="3"/>
  <c r="DK132" i="3"/>
  <c r="DJ274" i="3"/>
  <c r="DK274" i="3"/>
  <c r="DJ200" i="3"/>
  <c r="DK200" i="3"/>
  <c r="DJ255" i="3"/>
  <c r="DK255" i="3"/>
  <c r="DJ222" i="3"/>
  <c r="DK222" i="3"/>
  <c r="DJ229" i="3"/>
  <c r="DK229" i="3"/>
  <c r="DJ130" i="3"/>
  <c r="DK130" i="3"/>
  <c r="DJ104" i="3"/>
  <c r="DK104" i="3"/>
  <c r="DJ95" i="3"/>
  <c r="DK95" i="3"/>
  <c r="DJ39" i="3"/>
  <c r="DK39" i="3"/>
  <c r="DJ125" i="3"/>
  <c r="DK125" i="3"/>
  <c r="DJ76" i="3"/>
  <c r="DK76" i="3"/>
  <c r="DK204" i="3"/>
  <c r="DJ204" i="3"/>
  <c r="DJ154" i="3"/>
  <c r="DK154" i="3"/>
  <c r="DJ280" i="3"/>
  <c r="DK280" i="3"/>
  <c r="DJ212" i="3"/>
  <c r="DK212" i="3"/>
  <c r="DJ243" i="3"/>
  <c r="DK243" i="3"/>
  <c r="DJ258" i="3"/>
  <c r="DK258" i="3"/>
  <c r="DJ271" i="3"/>
  <c r="DK271" i="3"/>
  <c r="DJ277" i="3"/>
  <c r="DK277" i="3"/>
  <c r="DJ75" i="3"/>
  <c r="DK75" i="3"/>
  <c r="DJ27" i="3"/>
  <c r="DK27" i="3"/>
  <c r="DJ85" i="3"/>
  <c r="DK85" i="3"/>
  <c r="DJ267" i="3"/>
  <c r="DK267" i="3"/>
  <c r="DJ256" i="3"/>
  <c r="DK256" i="3"/>
  <c r="DJ249" i="3"/>
  <c r="DK249" i="3"/>
  <c r="DK166" i="3"/>
  <c r="DJ166" i="3"/>
  <c r="DJ51" i="3"/>
  <c r="DK51" i="3"/>
  <c r="DJ17" i="3"/>
  <c r="DK17" i="3"/>
  <c r="DJ234" i="3"/>
  <c r="DK234" i="3"/>
  <c r="DJ236" i="3"/>
  <c r="DK236" i="3"/>
  <c r="DJ70" i="3"/>
  <c r="DK70" i="3"/>
  <c r="CS20" i="3"/>
  <c r="DA20" i="3" s="1"/>
  <c r="DC20" i="3" s="1"/>
  <c r="DI20" i="3"/>
  <c r="DK151" i="3"/>
  <c r="DJ151" i="3"/>
  <c r="DJ106" i="3"/>
  <c r="DK106" i="3"/>
  <c r="DJ221" i="3"/>
  <c r="DK221" i="3"/>
  <c r="DK72" i="3"/>
  <c r="DJ72" i="3"/>
  <c r="DJ155" i="3"/>
  <c r="DK155" i="3"/>
  <c r="DJ275" i="3"/>
  <c r="DK275" i="3"/>
  <c r="DJ58" i="3"/>
  <c r="DK58" i="3"/>
  <c r="DJ33" i="3"/>
  <c r="DK33" i="3"/>
  <c r="DJ74" i="3"/>
  <c r="DK74" i="3"/>
  <c r="DJ94" i="3"/>
  <c r="DK94" i="3"/>
  <c r="DJ34" i="3"/>
  <c r="DK34" i="3"/>
  <c r="DJ22" i="3"/>
  <c r="DK22" i="3"/>
  <c r="DJ61" i="3"/>
  <c r="DK61" i="3"/>
  <c r="DJ37" i="3"/>
  <c r="DK37" i="3"/>
  <c r="DK192" i="3"/>
  <c r="DJ192" i="3"/>
  <c r="DK183" i="3"/>
  <c r="DJ183" i="3"/>
  <c r="DJ126" i="3"/>
  <c r="DK126" i="3"/>
  <c r="DK171" i="3"/>
  <c r="DJ171" i="3"/>
  <c r="DJ262" i="3"/>
  <c r="DK262" i="3"/>
  <c r="DJ240" i="3"/>
  <c r="DK240" i="3"/>
  <c r="DJ246" i="3"/>
  <c r="DK246" i="3"/>
  <c r="DK207" i="3"/>
  <c r="DJ207" i="3"/>
  <c r="DK164" i="3"/>
  <c r="DJ164" i="3"/>
  <c r="DK127" i="3"/>
  <c r="DJ127" i="3"/>
  <c r="DK56" i="3"/>
  <c r="DJ56" i="3"/>
  <c r="DJ23" i="3"/>
  <c r="DK23" i="3"/>
  <c r="DJ261" i="3"/>
  <c r="DK261" i="3"/>
  <c r="DK199" i="3"/>
  <c r="DJ199" i="3"/>
  <c r="DJ26" i="3"/>
  <c r="DK26" i="3"/>
  <c r="DK206" i="3"/>
  <c r="DJ206" i="3"/>
  <c r="DJ173" i="3"/>
  <c r="DK173" i="3"/>
  <c r="DK174" i="3"/>
  <c r="DJ174" i="3"/>
  <c r="DJ244" i="3"/>
  <c r="DK244" i="3"/>
  <c r="DJ214" i="3"/>
  <c r="DK214" i="3"/>
  <c r="DJ114" i="3"/>
  <c r="DK114" i="3"/>
  <c r="DJ227" i="3"/>
  <c r="DK227" i="3"/>
  <c r="DJ269" i="3"/>
  <c r="DK269" i="3"/>
  <c r="DK128" i="3"/>
  <c r="DJ128" i="3"/>
  <c r="DJ107" i="3"/>
  <c r="DK107" i="3"/>
  <c r="DJ7" i="3"/>
  <c r="DK7" i="3"/>
  <c r="DJ45" i="3"/>
  <c r="DK45" i="3"/>
  <c r="DJ235" i="3"/>
  <c r="DK235" i="3"/>
  <c r="DK190" i="3"/>
  <c r="DJ190" i="3"/>
  <c r="DJ230" i="3"/>
  <c r="DK230" i="3"/>
  <c r="DJ79" i="3"/>
  <c r="DK79" i="3"/>
  <c r="DJ242" i="3"/>
  <c r="DK242" i="3"/>
  <c r="DK194" i="3"/>
  <c r="DJ194" i="3"/>
  <c r="DJ24" i="3"/>
  <c r="DK24" i="3"/>
  <c r="CS55" i="3"/>
  <c r="DD55" i="3" s="1"/>
  <c r="DF55" i="3" s="1"/>
  <c r="DI55" i="3"/>
  <c r="CS188" i="3"/>
  <c r="DA188" i="3" s="1"/>
  <c r="DC188" i="3" s="1"/>
  <c r="DI188" i="3"/>
  <c r="DJ18" i="3"/>
  <c r="DK18" i="3"/>
  <c r="DJ68" i="3"/>
  <c r="DK68" i="3"/>
  <c r="DJ138" i="3"/>
  <c r="DK138" i="3"/>
  <c r="DK211" i="3"/>
  <c r="DJ211" i="3"/>
  <c r="DJ170" i="3"/>
  <c r="DK170" i="3"/>
  <c r="DJ120" i="3"/>
  <c r="DK120" i="3"/>
  <c r="DJ92" i="3"/>
  <c r="DK92" i="3"/>
  <c r="DK210" i="3"/>
  <c r="DJ210" i="3"/>
  <c r="DJ66" i="3"/>
  <c r="DK66" i="3"/>
  <c r="DJ28" i="3"/>
  <c r="DK28" i="3"/>
  <c r="CS15" i="3"/>
  <c r="CU15" i="3" s="1"/>
  <c r="CW15" i="3" s="1"/>
  <c r="DI15" i="3"/>
  <c r="DK144" i="3"/>
  <c r="DJ144" i="3"/>
  <c r="CS191" i="3"/>
  <c r="DD191" i="3" s="1"/>
  <c r="DF191" i="3" s="1"/>
  <c r="DI191" i="3"/>
  <c r="DJ14" i="3"/>
  <c r="DK14" i="3"/>
  <c r="CS86" i="3"/>
  <c r="DD86" i="3" s="1"/>
  <c r="DF86" i="3" s="1"/>
  <c r="DI86" i="3"/>
  <c r="DK197" i="3"/>
  <c r="DJ197" i="3"/>
  <c r="CS135" i="3"/>
  <c r="CU135" i="3" s="1"/>
  <c r="CW135" i="3" s="1"/>
  <c r="DI135" i="3"/>
  <c r="DJ189" i="3"/>
  <c r="DK189" i="3"/>
  <c r="DJ67" i="3"/>
  <c r="DK67" i="3"/>
  <c r="CS176" i="3"/>
  <c r="CX176" i="3" s="1"/>
  <c r="CZ176" i="3" s="1"/>
  <c r="DI176" i="3"/>
  <c r="CS159" i="3"/>
  <c r="DD159" i="3" s="1"/>
  <c r="DF159" i="3" s="1"/>
  <c r="DI159" i="3"/>
  <c r="DJ16" i="3"/>
  <c r="DK16" i="3"/>
  <c r="DJ121" i="3"/>
  <c r="DK121" i="3"/>
  <c r="DJ64" i="3"/>
  <c r="DK64" i="3"/>
  <c r="DJ168" i="3"/>
  <c r="DK168" i="3"/>
  <c r="CS10" i="3"/>
  <c r="DA10" i="3" s="1"/>
  <c r="DC10" i="3" s="1"/>
  <c r="DI10" i="3"/>
  <c r="CS88" i="3"/>
  <c r="CU88" i="3" s="1"/>
  <c r="CW88" i="3" s="1"/>
  <c r="DI88" i="3"/>
  <c r="DJ186" i="3"/>
  <c r="DK186" i="3"/>
  <c r="DJ43" i="3"/>
  <c r="DK43" i="3"/>
  <c r="DJ169" i="3"/>
  <c r="DK169" i="3"/>
  <c r="DJ148" i="3"/>
  <c r="DK148" i="3"/>
  <c r="DJ218" i="3"/>
  <c r="DK218" i="3"/>
  <c r="DK196" i="3"/>
  <c r="DJ196" i="3"/>
  <c r="CS147" i="3"/>
  <c r="CX147" i="3" s="1"/>
  <c r="CZ147" i="3" s="1"/>
  <c r="DI147" i="3"/>
  <c r="DK103" i="3"/>
  <c r="DJ103" i="3"/>
  <c r="DK195" i="3"/>
  <c r="DJ195" i="3"/>
  <c r="DJ93" i="3"/>
  <c r="DK93" i="3"/>
  <c r="DJ100" i="3"/>
  <c r="DK100" i="3"/>
  <c r="DJ65" i="3"/>
  <c r="DK65" i="3"/>
  <c r="DK198" i="3"/>
  <c r="DJ198" i="3"/>
  <c r="DJ112" i="3"/>
  <c r="DK112" i="3"/>
  <c r="DJ105" i="3"/>
  <c r="DK105" i="3"/>
  <c r="DJ177" i="3"/>
  <c r="DK177" i="3"/>
  <c r="DJ83" i="3"/>
  <c r="DK83" i="3"/>
  <c r="DJ118" i="3"/>
  <c r="DK118" i="3"/>
  <c r="DJ172" i="3"/>
  <c r="DK172" i="3"/>
  <c r="CS32" i="3"/>
  <c r="CX32" i="3" s="1"/>
  <c r="CZ32" i="3" s="1"/>
  <c r="DI32" i="3"/>
  <c r="DJ91" i="3"/>
  <c r="DK91" i="3"/>
  <c r="CS41" i="3"/>
  <c r="DA41" i="3" s="1"/>
  <c r="DC41" i="3" s="1"/>
  <c r="DI41" i="3"/>
  <c r="DK165" i="3"/>
  <c r="DJ165" i="3"/>
  <c r="DJ163" i="3"/>
  <c r="DK163" i="3"/>
  <c r="CS47" i="3"/>
  <c r="CU47" i="3" s="1"/>
  <c r="CW47" i="3" s="1"/>
  <c r="DI47" i="3"/>
  <c r="DK178" i="3"/>
  <c r="DJ178" i="3"/>
  <c r="DK175" i="3"/>
  <c r="DJ175" i="3"/>
  <c r="DJ29" i="3"/>
  <c r="DK29" i="3"/>
  <c r="DJ123" i="3"/>
  <c r="DK123" i="3"/>
  <c r="CU191" i="3"/>
  <c r="CW191" i="3" s="1"/>
  <c r="DD62" i="3"/>
  <c r="DF62" i="3" s="1"/>
  <c r="DA62" i="3"/>
  <c r="DC62" i="3" s="1"/>
  <c r="CX62" i="3"/>
  <c r="CZ62" i="3" s="1"/>
  <c r="CU62" i="3"/>
  <c r="CW62" i="3" s="1"/>
  <c r="DD101" i="3"/>
  <c r="DF101" i="3" s="1"/>
  <c r="CX101" i="3"/>
  <c r="CZ101" i="3" s="1"/>
  <c r="DA101" i="3"/>
  <c r="DC101" i="3" s="1"/>
  <c r="CU101" i="3"/>
  <c r="CW101" i="3" s="1"/>
  <c r="DD251" i="3"/>
  <c r="DF251" i="3" s="1"/>
  <c r="DA251" i="3"/>
  <c r="DC251" i="3" s="1"/>
  <c r="CX251" i="3"/>
  <c r="CZ251" i="3" s="1"/>
  <c r="CU251" i="3"/>
  <c r="CW251" i="3" s="1"/>
  <c r="CX272" i="3"/>
  <c r="CZ272" i="3" s="1"/>
  <c r="DA272" i="3"/>
  <c r="DC272" i="3" s="1"/>
  <c r="CU272" i="3"/>
  <c r="CW272" i="3" s="1"/>
  <c r="DD272" i="3"/>
  <c r="DF272" i="3" s="1"/>
  <c r="DD38" i="3"/>
  <c r="DF38" i="3" s="1"/>
  <c r="DA38" i="3"/>
  <c r="DC38" i="3" s="1"/>
  <c r="CU38" i="3"/>
  <c r="CW38" i="3" s="1"/>
  <c r="CX38" i="3"/>
  <c r="CZ38" i="3" s="1"/>
  <c r="DD158" i="3"/>
  <c r="DF158" i="3" s="1"/>
  <c r="DA158" i="3"/>
  <c r="DC158" i="3" s="1"/>
  <c r="CU158" i="3"/>
  <c r="CW158" i="3" s="1"/>
  <c r="CX158" i="3"/>
  <c r="CZ158" i="3" s="1"/>
  <c r="DD54" i="3"/>
  <c r="DF54" i="3" s="1"/>
  <c r="DA54" i="3"/>
  <c r="DC54" i="3" s="1"/>
  <c r="CU54" i="3"/>
  <c r="CW54" i="3" s="1"/>
  <c r="CX54" i="3"/>
  <c r="CZ54" i="3" s="1"/>
  <c r="DD81" i="3"/>
  <c r="DF81" i="3" s="1"/>
  <c r="DA81" i="3"/>
  <c r="DC81" i="3" s="1"/>
  <c r="CX81" i="3"/>
  <c r="CZ81" i="3" s="1"/>
  <c r="CU81" i="3"/>
  <c r="CW81" i="3" s="1"/>
  <c r="DA223" i="3"/>
  <c r="DC223" i="3" s="1"/>
  <c r="DD223" i="3"/>
  <c r="DF223" i="3" s="1"/>
  <c r="CU223" i="3"/>
  <c r="CW223" i="3" s="1"/>
  <c r="CX223" i="3"/>
  <c r="CZ223" i="3" s="1"/>
  <c r="DD78" i="3"/>
  <c r="DF78" i="3" s="1"/>
  <c r="DA78" i="3"/>
  <c r="DC78" i="3" s="1"/>
  <c r="CU78" i="3"/>
  <c r="CW78" i="3" s="1"/>
  <c r="CX78" i="3"/>
  <c r="CZ78" i="3" s="1"/>
  <c r="CR10" i="3"/>
  <c r="DD52" i="3"/>
  <c r="DF52" i="3" s="1"/>
  <c r="DA52" i="3"/>
  <c r="DC52" i="3" s="1"/>
  <c r="CX52" i="3"/>
  <c r="CZ52" i="3" s="1"/>
  <c r="CU52" i="3"/>
  <c r="CW52" i="3" s="1"/>
  <c r="DA266" i="3"/>
  <c r="DC266" i="3" s="1"/>
  <c r="CX266" i="3"/>
  <c r="CZ266" i="3" s="1"/>
  <c r="CU266" i="3"/>
  <c r="CW266" i="3" s="1"/>
  <c r="DD266" i="3"/>
  <c r="DF266" i="3" s="1"/>
  <c r="DD220" i="3"/>
  <c r="DF220" i="3" s="1"/>
  <c r="DA220" i="3"/>
  <c r="DC220" i="3" s="1"/>
  <c r="CU220" i="3"/>
  <c r="CW220" i="3" s="1"/>
  <c r="CX220" i="3"/>
  <c r="CZ220" i="3" s="1"/>
  <c r="DD276" i="3"/>
  <c r="DF276" i="3" s="1"/>
  <c r="DA276" i="3"/>
  <c r="DC276" i="3" s="1"/>
  <c r="CX276" i="3"/>
  <c r="CZ276" i="3" s="1"/>
  <c r="CU276" i="3"/>
  <c r="CW276" i="3" s="1"/>
  <c r="DD142" i="3"/>
  <c r="DF142" i="3" s="1"/>
  <c r="DA142" i="3"/>
  <c r="DC142" i="3" s="1"/>
  <c r="CU142" i="3"/>
  <c r="CW142" i="3" s="1"/>
  <c r="CX142" i="3"/>
  <c r="CZ142" i="3" s="1"/>
  <c r="DD216" i="3"/>
  <c r="DF216" i="3" s="1"/>
  <c r="DA216" i="3"/>
  <c r="DC216" i="3" s="1"/>
  <c r="CX216" i="3"/>
  <c r="CZ216" i="3" s="1"/>
  <c r="CU216" i="3"/>
  <c r="CW216" i="3" s="1"/>
  <c r="DD46" i="3"/>
  <c r="DF46" i="3" s="1"/>
  <c r="DA46" i="3"/>
  <c r="DC46" i="3" s="1"/>
  <c r="CU46" i="3"/>
  <c r="CW46" i="3" s="1"/>
  <c r="CX46" i="3"/>
  <c r="CZ46" i="3" s="1"/>
  <c r="DD268" i="3"/>
  <c r="DF268" i="3" s="1"/>
  <c r="CU268" i="3"/>
  <c r="CW268" i="3" s="1"/>
  <c r="CX268" i="3"/>
  <c r="CZ268" i="3" s="1"/>
  <c r="DA268" i="3"/>
  <c r="DC268" i="3" s="1"/>
  <c r="DD150" i="3"/>
  <c r="DF150" i="3" s="1"/>
  <c r="DA150" i="3"/>
  <c r="DC150" i="3" s="1"/>
  <c r="CU150" i="3"/>
  <c r="CW150" i="3" s="1"/>
  <c r="CX150" i="3"/>
  <c r="CZ150" i="3" s="1"/>
  <c r="DD278" i="3"/>
  <c r="DF278" i="3" s="1"/>
  <c r="DA278" i="3"/>
  <c r="DC278" i="3" s="1"/>
  <c r="CU278" i="3"/>
  <c r="CW278" i="3" s="1"/>
  <c r="CX278" i="3"/>
  <c r="CZ278" i="3" s="1"/>
  <c r="DD146" i="3"/>
  <c r="DF146" i="3" s="1"/>
  <c r="DA146" i="3"/>
  <c r="DC146" i="3" s="1"/>
  <c r="CX146" i="3"/>
  <c r="CZ146" i="3" s="1"/>
  <c r="CU146" i="3"/>
  <c r="CW146" i="3" s="1"/>
  <c r="DD136" i="3"/>
  <c r="DF136" i="3" s="1"/>
  <c r="DA136" i="3"/>
  <c r="DC136" i="3" s="1"/>
  <c r="CX136" i="3"/>
  <c r="CZ136" i="3" s="1"/>
  <c r="CU136" i="3"/>
  <c r="CW136" i="3" s="1"/>
  <c r="CR11" i="3"/>
  <c r="CS11" i="3"/>
  <c r="CR68" i="3"/>
  <c r="CS68" i="3"/>
  <c r="CS138" i="3"/>
  <c r="CS170" i="3"/>
  <c r="CS210" i="3"/>
  <c r="CR28" i="3"/>
  <c r="CS28" i="3"/>
  <c r="CS189" i="3"/>
  <c r="CR67" i="3"/>
  <c r="CS67" i="3"/>
  <c r="CS16" i="3"/>
  <c r="CS121" i="3"/>
  <c r="CS64" i="3"/>
  <c r="CS168" i="3"/>
  <c r="CS179" i="3"/>
  <c r="CS129" i="3"/>
  <c r="CS36" i="3"/>
  <c r="CR12" i="3"/>
  <c r="CS12" i="3"/>
  <c r="CS203" i="3"/>
  <c r="CS156" i="3"/>
  <c r="CR119" i="3"/>
  <c r="CS119" i="3"/>
  <c r="CR73" i="3"/>
  <c r="CS73" i="3"/>
  <c r="CS109" i="3"/>
  <c r="CS140" i="3"/>
  <c r="CS213" i="3"/>
  <c r="CS98" i="3"/>
  <c r="CS117" i="3"/>
  <c r="CS182" i="3"/>
  <c r="CS19" i="3"/>
  <c r="CS99" i="3"/>
  <c r="CS143" i="3"/>
  <c r="CS35" i="3"/>
  <c r="CS122" i="3"/>
  <c r="CR40" i="3"/>
  <c r="CS40" i="3"/>
  <c r="CS44" i="3"/>
  <c r="CS160" i="3"/>
  <c r="CR71" i="3"/>
  <c r="CS71" i="3"/>
  <c r="CS70" i="3"/>
  <c r="CS162" i="3"/>
  <c r="CS151" i="3"/>
  <c r="CS224" i="3"/>
  <c r="CR106" i="3"/>
  <c r="CS106" i="3"/>
  <c r="CS97" i="3"/>
  <c r="CS221" i="3"/>
  <c r="CR84" i="3"/>
  <c r="CS84" i="3"/>
  <c r="CS72" i="3"/>
  <c r="CR42" i="3"/>
  <c r="CS42" i="3"/>
  <c r="CR155" i="3"/>
  <c r="CS155" i="3"/>
  <c r="CR141" i="3"/>
  <c r="CS141" i="3"/>
  <c r="CR275" i="3"/>
  <c r="CS275" i="3"/>
  <c r="CS58" i="3"/>
  <c r="CR53" i="3"/>
  <c r="CS53" i="3"/>
  <c r="CS33" i="3"/>
  <c r="CS87" i="3"/>
  <c r="CS74" i="3"/>
  <c r="CS50" i="3"/>
  <c r="CS94" i="3"/>
  <c r="CR34" i="3"/>
  <c r="CS34" i="3"/>
  <c r="CR22" i="3"/>
  <c r="CS22" i="3"/>
  <c r="CR61" i="3"/>
  <c r="CS61" i="3"/>
  <c r="CR37" i="3"/>
  <c r="CS37" i="3"/>
  <c r="CS192" i="3"/>
  <c r="CR183" i="3"/>
  <c r="CS183" i="3"/>
  <c r="CS18" i="3"/>
  <c r="CR211" i="3"/>
  <c r="CS211" i="3"/>
  <c r="CS120" i="3"/>
  <c r="CS92" i="3"/>
  <c r="CS66" i="3"/>
  <c r="CS144" i="3"/>
  <c r="CS14" i="3"/>
  <c r="CR197" i="3"/>
  <c r="CS197" i="3"/>
  <c r="CS186" i="3"/>
  <c r="CS43" i="3"/>
  <c r="CS169" i="3"/>
  <c r="CS148" i="3"/>
  <c r="CS218" i="3"/>
  <c r="CR196" i="3"/>
  <c r="CS196" i="3"/>
  <c r="CS103" i="3"/>
  <c r="CS195" i="3"/>
  <c r="CR93" i="3"/>
  <c r="CS93" i="3"/>
  <c r="CS100" i="3"/>
  <c r="CS65" i="3"/>
  <c r="CR198" i="3"/>
  <c r="CS198" i="3"/>
  <c r="CS112" i="3"/>
  <c r="CS105" i="3"/>
  <c r="CR177" i="3"/>
  <c r="CS177" i="3"/>
  <c r="CS83" i="3"/>
  <c r="CS118" i="3"/>
  <c r="CR172" i="3"/>
  <c r="CS172" i="3"/>
  <c r="CS91" i="3"/>
  <c r="CS165" i="3"/>
  <c r="CS163" i="3"/>
  <c r="CS178" i="3"/>
  <c r="CR175" i="3"/>
  <c r="CS175" i="3"/>
  <c r="CR29" i="3"/>
  <c r="CS29" i="3"/>
  <c r="CR123" i="3"/>
  <c r="CS123" i="3"/>
  <c r="CR168" i="3"/>
  <c r="CR47" i="3"/>
  <c r="CR121" i="3"/>
  <c r="CR153" i="3"/>
  <c r="CR100" i="3"/>
  <c r="CR176" i="3"/>
  <c r="CP282" i="3"/>
  <c r="CR55" i="3"/>
  <c r="CR64" i="3"/>
  <c r="CR165" i="3"/>
  <c r="CR16" i="3"/>
  <c r="CR43" i="3"/>
  <c r="CR192" i="3"/>
  <c r="CR163" i="3"/>
  <c r="CR18" i="3"/>
  <c r="CR122" i="3"/>
  <c r="CR159" i="3"/>
  <c r="CR160" i="3"/>
  <c r="CR19" i="3"/>
  <c r="CR135" i="3"/>
  <c r="CR143" i="3"/>
  <c r="CR178" i="3"/>
  <c r="CR58" i="3"/>
  <c r="CR50" i="3"/>
  <c r="CR14" i="3"/>
  <c r="CR120" i="3"/>
  <c r="CR44" i="3"/>
  <c r="CR35" i="3"/>
  <c r="CR91" i="3"/>
  <c r="CR149" i="3"/>
  <c r="CR86" i="3"/>
  <c r="CR32" i="3"/>
  <c r="CR111" i="3"/>
  <c r="CR87" i="3"/>
  <c r="CR181" i="3"/>
  <c r="CR188" i="3"/>
  <c r="CR156" i="3"/>
  <c r="CR144" i="3"/>
  <c r="CR66" i="3"/>
  <c r="CR33" i="3"/>
  <c r="CR72" i="3"/>
  <c r="CR98" i="3"/>
  <c r="CR169" i="3"/>
  <c r="CR15" i="3"/>
  <c r="CR99" i="3"/>
  <c r="CR184" i="3"/>
  <c r="CR74" i="3"/>
  <c r="CR195" i="3"/>
  <c r="CR152" i="3"/>
  <c r="CR110" i="3"/>
  <c r="CR92" i="3"/>
  <c r="CR218" i="3"/>
  <c r="CR191" i="3"/>
  <c r="CR140" i="3"/>
  <c r="CR118" i="3"/>
  <c r="CR88" i="3"/>
  <c r="CR41" i="3"/>
  <c r="CR224" i="3"/>
  <c r="CR210" i="3"/>
  <c r="CR94" i="3"/>
  <c r="CR65" i="3"/>
  <c r="CR36" i="3"/>
  <c r="CR189" i="3"/>
  <c r="CR147" i="3"/>
  <c r="CQ282" i="3"/>
  <c r="CR186" i="3"/>
  <c r="CR129" i="3"/>
  <c r="CR213" i="3"/>
  <c r="CR182" i="3"/>
  <c r="CR117" i="3"/>
  <c r="CR151" i="3"/>
  <c r="CR105" i="3"/>
  <c r="CR112" i="3"/>
  <c r="CR162" i="3"/>
  <c r="CR83" i="3"/>
  <c r="CR170" i="3"/>
  <c r="CR221" i="3"/>
  <c r="CR109" i="3"/>
  <c r="CR103" i="3"/>
  <c r="CR138" i="3"/>
  <c r="CR20" i="3"/>
  <c r="CR203" i="3"/>
  <c r="CR70" i="3"/>
  <c r="CR179" i="3"/>
  <c r="CR148" i="3"/>
  <c r="CR97" i="3"/>
  <c r="CR219" i="3"/>
  <c r="DD188" i="3" l="1"/>
  <c r="DF188" i="3" s="1"/>
  <c r="DD135" i="3"/>
  <c r="DF135" i="3" s="1"/>
  <c r="DD176" i="3"/>
  <c r="DF176" i="3" s="1"/>
  <c r="CX159" i="3"/>
  <c r="CZ159" i="3" s="1"/>
  <c r="CU32" i="3"/>
  <c r="CW32" i="3" s="1"/>
  <c r="DD10" i="3"/>
  <c r="DF10" i="3" s="1"/>
  <c r="CX20" i="3"/>
  <c r="CZ20" i="3" s="1"/>
  <c r="DD32" i="3"/>
  <c r="DF32" i="3" s="1"/>
  <c r="CX41" i="3"/>
  <c r="CZ41" i="3" s="1"/>
  <c r="DD88" i="3"/>
  <c r="DF88" i="3" s="1"/>
  <c r="CU153" i="3"/>
  <c r="CW153" i="3" s="1"/>
  <c r="DD41" i="3"/>
  <c r="DF41" i="3" s="1"/>
  <c r="CX88" i="3"/>
  <c r="CZ88" i="3" s="1"/>
  <c r="DA153" i="3"/>
  <c r="DC153" i="3" s="1"/>
  <c r="CX191" i="3"/>
  <c r="CZ191" i="3" s="1"/>
  <c r="DD111" i="3"/>
  <c r="DF111" i="3" s="1"/>
  <c r="CX219" i="3"/>
  <c r="CZ219" i="3" s="1"/>
  <c r="CU188" i="3"/>
  <c r="CW188" i="3" s="1"/>
  <c r="CU10" i="3"/>
  <c r="CW10" i="3" s="1"/>
  <c r="DA176" i="3"/>
  <c r="DC176" i="3" s="1"/>
  <c r="CX188" i="3"/>
  <c r="CZ188" i="3" s="1"/>
  <c r="DD110" i="3"/>
  <c r="DF110" i="3" s="1"/>
  <c r="CX10" i="3"/>
  <c r="CZ10" i="3" s="1"/>
  <c r="CU176" i="3"/>
  <c r="CW176" i="3" s="1"/>
  <c r="DA149" i="3"/>
  <c r="DC149" i="3" s="1"/>
  <c r="DA181" i="3"/>
  <c r="DC181" i="3" s="1"/>
  <c r="CU159" i="3"/>
  <c r="CW159" i="3" s="1"/>
  <c r="DA47" i="3"/>
  <c r="DC47" i="3" s="1"/>
  <c r="DD149" i="3"/>
  <c r="DF149" i="3" s="1"/>
  <c r="DD181" i="3"/>
  <c r="DF181" i="3" s="1"/>
  <c r="CU110" i="3"/>
  <c r="CW110" i="3" s="1"/>
  <c r="CU111" i="3"/>
  <c r="CW111" i="3" s="1"/>
  <c r="DD219" i="3"/>
  <c r="DF219" i="3" s="1"/>
  <c r="DD184" i="3"/>
  <c r="DF184" i="3" s="1"/>
  <c r="CU41" i="3"/>
  <c r="CW41" i="3" s="1"/>
  <c r="DA32" i="3"/>
  <c r="DC32" i="3" s="1"/>
  <c r="DD147" i="3"/>
  <c r="DF147" i="3" s="1"/>
  <c r="DA88" i="3"/>
  <c r="DC88" i="3" s="1"/>
  <c r="CX110" i="3"/>
  <c r="CZ110" i="3" s="1"/>
  <c r="CU149" i="3"/>
  <c r="CW149" i="3" s="1"/>
  <c r="CX111" i="3"/>
  <c r="CZ111" i="3" s="1"/>
  <c r="CU181" i="3"/>
  <c r="CW181" i="3" s="1"/>
  <c r="DA219" i="3"/>
  <c r="DC219" i="3" s="1"/>
  <c r="DD20" i="3"/>
  <c r="DF20" i="3" s="1"/>
  <c r="DD47" i="3"/>
  <c r="DF47" i="3" s="1"/>
  <c r="DA15" i="3"/>
  <c r="DC15" i="3" s="1"/>
  <c r="CX152" i="3"/>
  <c r="CZ152" i="3" s="1"/>
  <c r="CX86" i="3"/>
  <c r="CZ86" i="3" s="1"/>
  <c r="CU55" i="3"/>
  <c r="CW55" i="3" s="1"/>
  <c r="DA184" i="3"/>
  <c r="DC184" i="3" s="1"/>
  <c r="DA135" i="3"/>
  <c r="DC135" i="3" s="1"/>
  <c r="DA147" i="3"/>
  <c r="DC147" i="3" s="1"/>
  <c r="CX15" i="3"/>
  <c r="CZ15" i="3" s="1"/>
  <c r="DA152" i="3"/>
  <c r="DC152" i="3" s="1"/>
  <c r="CU86" i="3"/>
  <c r="CW86" i="3" s="1"/>
  <c r="CX55" i="3"/>
  <c r="CZ55" i="3" s="1"/>
  <c r="DJ47" i="3"/>
  <c r="DK47" i="3"/>
  <c r="DK147" i="3"/>
  <c r="DJ147" i="3"/>
  <c r="DK159" i="3"/>
  <c r="DJ159" i="3"/>
  <c r="DK135" i="3"/>
  <c r="DJ135" i="3"/>
  <c r="DK191" i="3"/>
  <c r="DJ191" i="3"/>
  <c r="DK152" i="3"/>
  <c r="DJ152" i="3"/>
  <c r="CX47" i="3"/>
  <c r="CZ47" i="3" s="1"/>
  <c r="CU147" i="3"/>
  <c r="CW147" i="3" s="1"/>
  <c r="DD15" i="3"/>
  <c r="DF15" i="3" s="1"/>
  <c r="DD153" i="3"/>
  <c r="DF153" i="3" s="1"/>
  <c r="DD152" i="3"/>
  <c r="DF152" i="3" s="1"/>
  <c r="DA159" i="3"/>
  <c r="DC159" i="3" s="1"/>
  <c r="DA86" i="3"/>
  <c r="DC86" i="3" s="1"/>
  <c r="DA191" i="3"/>
  <c r="DC191" i="3" s="1"/>
  <c r="DA55" i="3"/>
  <c r="DC55" i="3" s="1"/>
  <c r="DJ41" i="3"/>
  <c r="DK41" i="3"/>
  <c r="DJ32" i="3"/>
  <c r="DK32" i="3"/>
  <c r="DK88" i="3"/>
  <c r="DJ88" i="3"/>
  <c r="DJ10" i="3"/>
  <c r="DK10" i="3"/>
  <c r="DJ176" i="3"/>
  <c r="DK176" i="3"/>
  <c r="DJ188" i="3"/>
  <c r="DK188" i="3"/>
  <c r="DJ110" i="3"/>
  <c r="DK110" i="3"/>
  <c r="DJ149" i="3"/>
  <c r="DK149" i="3"/>
  <c r="DK111" i="3"/>
  <c r="DJ111" i="3"/>
  <c r="DK181" i="3"/>
  <c r="DJ181" i="3"/>
  <c r="DJ219" i="3"/>
  <c r="DK219" i="3"/>
  <c r="DJ86" i="3"/>
  <c r="DK86" i="3"/>
  <c r="DJ15" i="3"/>
  <c r="DK15" i="3"/>
  <c r="DJ55" i="3"/>
  <c r="DK55" i="3"/>
  <c r="DJ20" i="3"/>
  <c r="DK20" i="3"/>
  <c r="DJ153" i="3"/>
  <c r="DK153" i="3"/>
  <c r="DJ184" i="3"/>
  <c r="DK184" i="3"/>
  <c r="CU184" i="3"/>
  <c r="CW184" i="3" s="1"/>
  <c r="CU20" i="3"/>
  <c r="CW20" i="3" s="1"/>
  <c r="CX135" i="3"/>
  <c r="CZ135" i="3" s="1"/>
  <c r="CX91" i="3"/>
  <c r="CZ91" i="3" s="1"/>
  <c r="CU91" i="3"/>
  <c r="CW91" i="3" s="1"/>
  <c r="DA91" i="3"/>
  <c r="DC91" i="3" s="1"/>
  <c r="DD91" i="3"/>
  <c r="DF91" i="3" s="1"/>
  <c r="DD177" i="3"/>
  <c r="DF177" i="3" s="1"/>
  <c r="DA177" i="3"/>
  <c r="DC177" i="3" s="1"/>
  <c r="CX177" i="3"/>
  <c r="CZ177" i="3" s="1"/>
  <c r="CU177" i="3"/>
  <c r="CW177" i="3" s="1"/>
  <c r="DD65" i="3"/>
  <c r="DF65" i="3" s="1"/>
  <c r="DA65" i="3"/>
  <c r="DC65" i="3" s="1"/>
  <c r="CX65" i="3"/>
  <c r="CZ65" i="3" s="1"/>
  <c r="CU65" i="3"/>
  <c r="CW65" i="3" s="1"/>
  <c r="DD103" i="3"/>
  <c r="DF103" i="3" s="1"/>
  <c r="DA103" i="3"/>
  <c r="DC103" i="3" s="1"/>
  <c r="CU103" i="3"/>
  <c r="CW103" i="3" s="1"/>
  <c r="CX103" i="3"/>
  <c r="CZ103" i="3" s="1"/>
  <c r="DD66" i="3"/>
  <c r="DF66" i="3" s="1"/>
  <c r="CX66" i="3"/>
  <c r="CZ66" i="3" s="1"/>
  <c r="DA66" i="3"/>
  <c r="DC66" i="3" s="1"/>
  <c r="CU66" i="3"/>
  <c r="CW66" i="3" s="1"/>
  <c r="DD18" i="3"/>
  <c r="DF18" i="3" s="1"/>
  <c r="CX18" i="3"/>
  <c r="CZ18" i="3" s="1"/>
  <c r="DA18" i="3"/>
  <c r="DC18" i="3" s="1"/>
  <c r="CU18" i="3"/>
  <c r="CW18" i="3" s="1"/>
  <c r="DD224" i="3"/>
  <c r="DF224" i="3" s="1"/>
  <c r="CX224" i="3"/>
  <c r="CZ224" i="3" s="1"/>
  <c r="CU224" i="3"/>
  <c r="CW224" i="3" s="1"/>
  <c r="DA224" i="3"/>
  <c r="DC224" i="3" s="1"/>
  <c r="DD162" i="3"/>
  <c r="DF162" i="3" s="1"/>
  <c r="DA162" i="3"/>
  <c r="DC162" i="3" s="1"/>
  <c r="CX162" i="3"/>
  <c r="CZ162" i="3" s="1"/>
  <c r="CU162" i="3"/>
  <c r="CW162" i="3" s="1"/>
  <c r="DD40" i="3"/>
  <c r="DF40" i="3" s="1"/>
  <c r="DA40" i="3"/>
  <c r="DC40" i="3" s="1"/>
  <c r="CU40" i="3"/>
  <c r="CW40" i="3" s="1"/>
  <c r="CX40" i="3"/>
  <c r="CZ40" i="3" s="1"/>
  <c r="DD109" i="3"/>
  <c r="DF109" i="3" s="1"/>
  <c r="DA109" i="3"/>
  <c r="DC109" i="3" s="1"/>
  <c r="CX109" i="3"/>
  <c r="CZ109" i="3" s="1"/>
  <c r="CU109" i="3"/>
  <c r="CW109" i="3" s="1"/>
  <c r="DD168" i="3"/>
  <c r="DF168" i="3" s="1"/>
  <c r="DA168" i="3"/>
  <c r="DC168" i="3" s="1"/>
  <c r="CX168" i="3"/>
  <c r="CZ168" i="3" s="1"/>
  <c r="CU168" i="3"/>
  <c r="CW168" i="3" s="1"/>
  <c r="DD123" i="3"/>
  <c r="DF123" i="3" s="1"/>
  <c r="CX123" i="3"/>
  <c r="CZ123" i="3" s="1"/>
  <c r="CU123" i="3"/>
  <c r="CW123" i="3" s="1"/>
  <c r="DA123" i="3"/>
  <c r="DC123" i="3" s="1"/>
  <c r="DD175" i="3"/>
  <c r="DF175" i="3" s="1"/>
  <c r="DA175" i="3"/>
  <c r="DC175" i="3" s="1"/>
  <c r="CU175" i="3"/>
  <c r="CW175" i="3" s="1"/>
  <c r="CX175" i="3"/>
  <c r="CZ175" i="3" s="1"/>
  <c r="DD163" i="3"/>
  <c r="DF163" i="3" s="1"/>
  <c r="DA163" i="3"/>
  <c r="DC163" i="3" s="1"/>
  <c r="CX163" i="3"/>
  <c r="CZ163" i="3" s="1"/>
  <c r="CU163" i="3"/>
  <c r="CW163" i="3" s="1"/>
  <c r="DD43" i="3"/>
  <c r="DF43" i="3" s="1"/>
  <c r="CU43" i="3"/>
  <c r="CW43" i="3" s="1"/>
  <c r="CX43" i="3"/>
  <c r="CZ43" i="3" s="1"/>
  <c r="DA43" i="3"/>
  <c r="DC43" i="3" s="1"/>
  <c r="DD192" i="3"/>
  <c r="DF192" i="3" s="1"/>
  <c r="CX192" i="3"/>
  <c r="CZ192" i="3" s="1"/>
  <c r="CU192" i="3"/>
  <c r="CW192" i="3" s="1"/>
  <c r="DA192" i="3"/>
  <c r="DC192" i="3" s="1"/>
  <c r="DD61" i="3"/>
  <c r="DF61" i="3" s="1"/>
  <c r="CX61" i="3"/>
  <c r="CZ61" i="3" s="1"/>
  <c r="DA61" i="3"/>
  <c r="DC61" i="3" s="1"/>
  <c r="CU61" i="3"/>
  <c r="CW61" i="3" s="1"/>
  <c r="DD34" i="3"/>
  <c r="DF34" i="3" s="1"/>
  <c r="CX34" i="3"/>
  <c r="CZ34" i="3" s="1"/>
  <c r="DA34" i="3"/>
  <c r="DC34" i="3" s="1"/>
  <c r="CU34" i="3"/>
  <c r="CW34" i="3" s="1"/>
  <c r="DD74" i="3"/>
  <c r="DF74" i="3" s="1"/>
  <c r="CX74" i="3"/>
  <c r="CZ74" i="3" s="1"/>
  <c r="CU74" i="3"/>
  <c r="CW74" i="3" s="1"/>
  <c r="DA74" i="3"/>
  <c r="DC74" i="3" s="1"/>
  <c r="DD33" i="3"/>
  <c r="DA33" i="3"/>
  <c r="CX33" i="3"/>
  <c r="CU33" i="3"/>
  <c r="CW33" i="3" s="1"/>
  <c r="DD58" i="3"/>
  <c r="DF58" i="3" s="1"/>
  <c r="CX58" i="3"/>
  <c r="CZ58" i="3" s="1"/>
  <c r="CU58" i="3"/>
  <c r="CW58" i="3" s="1"/>
  <c r="DA58" i="3"/>
  <c r="DC58" i="3" s="1"/>
  <c r="DD141" i="3"/>
  <c r="DF141" i="3" s="1"/>
  <c r="DA141" i="3"/>
  <c r="DC141" i="3" s="1"/>
  <c r="CX141" i="3"/>
  <c r="CZ141" i="3" s="1"/>
  <c r="CU141" i="3"/>
  <c r="CW141" i="3" s="1"/>
  <c r="DD42" i="3"/>
  <c r="DF42" i="3" s="1"/>
  <c r="CX42" i="3"/>
  <c r="CZ42" i="3" s="1"/>
  <c r="CU42" i="3"/>
  <c r="CW42" i="3" s="1"/>
  <c r="DA42" i="3"/>
  <c r="DC42" i="3" s="1"/>
  <c r="DD84" i="3"/>
  <c r="DF84" i="3" s="1"/>
  <c r="DA84" i="3"/>
  <c r="DC84" i="3" s="1"/>
  <c r="CU84" i="3"/>
  <c r="CW84" i="3" s="1"/>
  <c r="CX84" i="3"/>
  <c r="CZ84" i="3" s="1"/>
  <c r="DD143" i="3"/>
  <c r="DF143" i="3" s="1"/>
  <c r="DA143" i="3"/>
  <c r="DC143" i="3" s="1"/>
  <c r="CU143" i="3"/>
  <c r="CW143" i="3" s="1"/>
  <c r="CX143" i="3"/>
  <c r="CZ143" i="3" s="1"/>
  <c r="DD19" i="3"/>
  <c r="DF19" i="3" s="1"/>
  <c r="DA19" i="3"/>
  <c r="DC19" i="3" s="1"/>
  <c r="CU19" i="3"/>
  <c r="CW19" i="3" s="1"/>
  <c r="CX19" i="3"/>
  <c r="CZ19" i="3" s="1"/>
  <c r="DD117" i="3"/>
  <c r="DF117" i="3" s="1"/>
  <c r="CX117" i="3"/>
  <c r="CZ117" i="3" s="1"/>
  <c r="DA117" i="3"/>
  <c r="DC117" i="3" s="1"/>
  <c r="CU117" i="3"/>
  <c r="CW117" i="3" s="1"/>
  <c r="DD73" i="3"/>
  <c r="DF73" i="3" s="1"/>
  <c r="DA73" i="3"/>
  <c r="DC73" i="3" s="1"/>
  <c r="CX73" i="3"/>
  <c r="CZ73" i="3" s="1"/>
  <c r="CU73" i="3"/>
  <c r="CW73" i="3" s="1"/>
  <c r="DD156" i="3"/>
  <c r="DF156" i="3" s="1"/>
  <c r="DA156" i="3"/>
  <c r="DC156" i="3" s="1"/>
  <c r="CX156" i="3"/>
  <c r="CZ156" i="3" s="1"/>
  <c r="CU156" i="3"/>
  <c r="CW156" i="3" s="1"/>
  <c r="DD12" i="3"/>
  <c r="DF12" i="3" s="1"/>
  <c r="CX12" i="3"/>
  <c r="CZ12" i="3" s="1"/>
  <c r="DA12" i="3"/>
  <c r="DC12" i="3" s="1"/>
  <c r="CU12" i="3"/>
  <c r="CW12" i="3" s="1"/>
  <c r="DD129" i="3"/>
  <c r="DF129" i="3" s="1"/>
  <c r="DA129" i="3"/>
  <c r="DC129" i="3" s="1"/>
  <c r="CX129" i="3"/>
  <c r="CZ129" i="3" s="1"/>
  <c r="CU129" i="3"/>
  <c r="CW129" i="3" s="1"/>
  <c r="DD16" i="3"/>
  <c r="DF16" i="3" s="1"/>
  <c r="CX16" i="3"/>
  <c r="CZ16" i="3" s="1"/>
  <c r="CU16" i="3"/>
  <c r="CW16" i="3" s="1"/>
  <c r="DA16" i="3"/>
  <c r="DC16" i="3" s="1"/>
  <c r="DD189" i="3"/>
  <c r="DF189" i="3" s="1"/>
  <c r="DA189" i="3"/>
  <c r="DC189" i="3" s="1"/>
  <c r="CX189" i="3"/>
  <c r="CZ189" i="3" s="1"/>
  <c r="CU189" i="3"/>
  <c r="CW189" i="3" s="1"/>
  <c r="DD210" i="3"/>
  <c r="DF210" i="3" s="1"/>
  <c r="DA210" i="3"/>
  <c r="DC210" i="3" s="1"/>
  <c r="CX210" i="3"/>
  <c r="CZ210" i="3" s="1"/>
  <c r="CU210" i="3"/>
  <c r="CW210" i="3" s="1"/>
  <c r="DD138" i="3"/>
  <c r="DF138" i="3" s="1"/>
  <c r="CX138" i="3"/>
  <c r="CZ138" i="3" s="1"/>
  <c r="CU138" i="3"/>
  <c r="CW138" i="3" s="1"/>
  <c r="DA138" i="3"/>
  <c r="DC138" i="3" s="1"/>
  <c r="DD118" i="3"/>
  <c r="DF118" i="3" s="1"/>
  <c r="DA118" i="3"/>
  <c r="DC118" i="3" s="1"/>
  <c r="CU118" i="3"/>
  <c r="CW118" i="3" s="1"/>
  <c r="CX118" i="3"/>
  <c r="CZ118" i="3" s="1"/>
  <c r="DD112" i="3"/>
  <c r="DF112" i="3" s="1"/>
  <c r="CX112" i="3"/>
  <c r="CZ112" i="3" s="1"/>
  <c r="CU112" i="3"/>
  <c r="CW112" i="3" s="1"/>
  <c r="DA112" i="3"/>
  <c r="DC112" i="3" s="1"/>
  <c r="DD93" i="3"/>
  <c r="DF93" i="3" s="1"/>
  <c r="DA93" i="3"/>
  <c r="DC93" i="3" s="1"/>
  <c r="CX93" i="3"/>
  <c r="CZ93" i="3" s="1"/>
  <c r="CU93" i="3"/>
  <c r="CW93" i="3" s="1"/>
  <c r="DD218" i="3"/>
  <c r="DF218" i="3" s="1"/>
  <c r="CX218" i="3"/>
  <c r="CZ218" i="3" s="1"/>
  <c r="CU218" i="3"/>
  <c r="CW218" i="3" s="1"/>
  <c r="DA218" i="3"/>
  <c r="DC218" i="3" s="1"/>
  <c r="DD169" i="3"/>
  <c r="DF169" i="3" s="1"/>
  <c r="DA169" i="3"/>
  <c r="DC169" i="3" s="1"/>
  <c r="CU169" i="3"/>
  <c r="CW169" i="3" s="1"/>
  <c r="CX169" i="3"/>
  <c r="CZ169" i="3" s="1"/>
  <c r="DD14" i="3"/>
  <c r="DF14" i="3" s="1"/>
  <c r="DA14" i="3"/>
  <c r="DC14" i="3" s="1"/>
  <c r="CU14" i="3"/>
  <c r="CW14" i="3" s="1"/>
  <c r="CX14" i="3"/>
  <c r="CZ14" i="3" s="1"/>
  <c r="DD120" i="3"/>
  <c r="DF120" i="3" s="1"/>
  <c r="DA120" i="3"/>
  <c r="DC120" i="3" s="1"/>
  <c r="CX120" i="3"/>
  <c r="CZ120" i="3" s="1"/>
  <c r="CU120" i="3"/>
  <c r="CW120" i="3" s="1"/>
  <c r="DD50" i="3"/>
  <c r="DF50" i="3" s="1"/>
  <c r="CX50" i="3"/>
  <c r="CZ50" i="3" s="1"/>
  <c r="DA50" i="3"/>
  <c r="DC50" i="3" s="1"/>
  <c r="CU50" i="3"/>
  <c r="CW50" i="3" s="1"/>
  <c r="DD97" i="3"/>
  <c r="DF97" i="3" s="1"/>
  <c r="DA97" i="3"/>
  <c r="DC97" i="3" s="1"/>
  <c r="CX97" i="3"/>
  <c r="CZ97" i="3" s="1"/>
  <c r="CU97" i="3"/>
  <c r="CW97" i="3" s="1"/>
  <c r="DD71" i="3"/>
  <c r="DF71" i="3" s="1"/>
  <c r="DA71" i="3"/>
  <c r="DC71" i="3" s="1"/>
  <c r="CU71" i="3"/>
  <c r="CW71" i="3" s="1"/>
  <c r="CX71" i="3"/>
  <c r="CZ71" i="3" s="1"/>
  <c r="DD35" i="3"/>
  <c r="DF35" i="3" s="1"/>
  <c r="DA35" i="3"/>
  <c r="DC35" i="3" s="1"/>
  <c r="CU35" i="3"/>
  <c r="CW35" i="3" s="1"/>
  <c r="CX35" i="3"/>
  <c r="CZ35" i="3" s="1"/>
  <c r="DD213" i="3"/>
  <c r="DF213" i="3" s="1"/>
  <c r="CX213" i="3"/>
  <c r="CZ213" i="3" s="1"/>
  <c r="DA213" i="3"/>
  <c r="DC213" i="3" s="1"/>
  <c r="CU213" i="3"/>
  <c r="CW213" i="3" s="1"/>
  <c r="DD121" i="3"/>
  <c r="DF121" i="3" s="1"/>
  <c r="DA121" i="3"/>
  <c r="DC121" i="3" s="1"/>
  <c r="CU121" i="3"/>
  <c r="CW121" i="3" s="1"/>
  <c r="CX121" i="3"/>
  <c r="CZ121" i="3" s="1"/>
  <c r="DD165" i="3"/>
  <c r="DF165" i="3" s="1"/>
  <c r="CX165" i="3"/>
  <c r="CZ165" i="3" s="1"/>
  <c r="DA165" i="3"/>
  <c r="DC165" i="3" s="1"/>
  <c r="CU165" i="3"/>
  <c r="CW165" i="3" s="1"/>
  <c r="DD172" i="3"/>
  <c r="DF172" i="3" s="1"/>
  <c r="DA172" i="3"/>
  <c r="DC172" i="3" s="1"/>
  <c r="CX172" i="3"/>
  <c r="CZ172" i="3" s="1"/>
  <c r="CU172" i="3"/>
  <c r="CW172" i="3" s="1"/>
  <c r="DD83" i="3"/>
  <c r="DF83" i="3" s="1"/>
  <c r="DA83" i="3"/>
  <c r="DC83" i="3" s="1"/>
  <c r="CX83" i="3"/>
  <c r="CZ83" i="3" s="1"/>
  <c r="CU83" i="3"/>
  <c r="CW83" i="3" s="1"/>
  <c r="DD105" i="3"/>
  <c r="DF105" i="3" s="1"/>
  <c r="DA105" i="3"/>
  <c r="DC105" i="3" s="1"/>
  <c r="CX105" i="3"/>
  <c r="CZ105" i="3" s="1"/>
  <c r="CU105" i="3"/>
  <c r="CW105" i="3" s="1"/>
  <c r="DD198" i="3"/>
  <c r="DF198" i="3" s="1"/>
  <c r="DA198" i="3"/>
  <c r="DC198" i="3" s="1"/>
  <c r="CU198" i="3"/>
  <c r="CW198" i="3" s="1"/>
  <c r="CX198" i="3"/>
  <c r="CZ198" i="3" s="1"/>
  <c r="DD100" i="3"/>
  <c r="DF100" i="3" s="1"/>
  <c r="DA100" i="3"/>
  <c r="DC100" i="3" s="1"/>
  <c r="CU100" i="3"/>
  <c r="CW100" i="3" s="1"/>
  <c r="CX100" i="3"/>
  <c r="CZ100" i="3" s="1"/>
  <c r="DD195" i="3"/>
  <c r="DF195" i="3" s="1"/>
  <c r="DA195" i="3"/>
  <c r="DC195" i="3" s="1"/>
  <c r="CX195" i="3"/>
  <c r="CZ195" i="3" s="1"/>
  <c r="CU195" i="3"/>
  <c r="CW195" i="3" s="1"/>
  <c r="DD196" i="3"/>
  <c r="DF196" i="3" s="1"/>
  <c r="DA196" i="3"/>
  <c r="DC196" i="3" s="1"/>
  <c r="CU196" i="3"/>
  <c r="CW196" i="3" s="1"/>
  <c r="CX196" i="3"/>
  <c r="CZ196" i="3" s="1"/>
  <c r="DD148" i="3"/>
  <c r="DF148" i="3" s="1"/>
  <c r="DA148" i="3"/>
  <c r="DC148" i="3" s="1"/>
  <c r="CU148" i="3"/>
  <c r="CW148" i="3" s="1"/>
  <c r="CX148" i="3"/>
  <c r="CZ148" i="3" s="1"/>
  <c r="DD197" i="3"/>
  <c r="DF197" i="3" s="1"/>
  <c r="CX197" i="3"/>
  <c r="CZ197" i="3" s="1"/>
  <c r="DA197" i="3"/>
  <c r="DC197" i="3" s="1"/>
  <c r="CU197" i="3"/>
  <c r="CW197" i="3" s="1"/>
  <c r="DD144" i="3"/>
  <c r="DF144" i="3" s="1"/>
  <c r="CX144" i="3"/>
  <c r="CZ144" i="3" s="1"/>
  <c r="CU144" i="3"/>
  <c r="CW144" i="3" s="1"/>
  <c r="DA144" i="3"/>
  <c r="DC144" i="3" s="1"/>
  <c r="DD92" i="3"/>
  <c r="DF92" i="3" s="1"/>
  <c r="DA92" i="3"/>
  <c r="DC92" i="3" s="1"/>
  <c r="CX92" i="3"/>
  <c r="CZ92" i="3" s="1"/>
  <c r="CU92" i="3"/>
  <c r="CW92" i="3" s="1"/>
  <c r="DA211" i="3"/>
  <c r="DC211" i="3" s="1"/>
  <c r="CX211" i="3"/>
  <c r="CZ211" i="3" s="1"/>
  <c r="CU211" i="3"/>
  <c r="CW211" i="3" s="1"/>
  <c r="DD211" i="3"/>
  <c r="DF211" i="3" s="1"/>
  <c r="DD106" i="3"/>
  <c r="DF106" i="3" s="1"/>
  <c r="CX106" i="3"/>
  <c r="CZ106" i="3" s="1"/>
  <c r="CU106" i="3"/>
  <c r="CW106" i="3" s="1"/>
  <c r="DA106" i="3"/>
  <c r="DC106" i="3" s="1"/>
  <c r="DD151" i="3"/>
  <c r="DF151" i="3" s="1"/>
  <c r="DA151" i="3"/>
  <c r="DC151" i="3" s="1"/>
  <c r="CU151" i="3"/>
  <c r="CW151" i="3" s="1"/>
  <c r="CX151" i="3"/>
  <c r="CZ151" i="3" s="1"/>
  <c r="DD70" i="3"/>
  <c r="DF70" i="3" s="1"/>
  <c r="DA70" i="3"/>
  <c r="DC70" i="3" s="1"/>
  <c r="CU70" i="3"/>
  <c r="CW70" i="3" s="1"/>
  <c r="CX70" i="3"/>
  <c r="CZ70" i="3" s="1"/>
  <c r="DD160" i="3"/>
  <c r="DF160" i="3" s="1"/>
  <c r="CX160" i="3"/>
  <c r="CZ160" i="3" s="1"/>
  <c r="CU160" i="3"/>
  <c r="CW160" i="3" s="1"/>
  <c r="DA160" i="3"/>
  <c r="DC160" i="3" s="1"/>
  <c r="DD122" i="3"/>
  <c r="DF122" i="3" s="1"/>
  <c r="CX122" i="3"/>
  <c r="CZ122" i="3" s="1"/>
  <c r="CU122" i="3"/>
  <c r="CW122" i="3" s="1"/>
  <c r="DA122" i="3"/>
  <c r="DC122" i="3" s="1"/>
  <c r="DD98" i="3"/>
  <c r="DF98" i="3" s="1"/>
  <c r="DA98" i="3"/>
  <c r="DC98" i="3" s="1"/>
  <c r="CX98" i="3"/>
  <c r="CZ98" i="3" s="1"/>
  <c r="CU98" i="3"/>
  <c r="CW98" i="3" s="1"/>
  <c r="DD140" i="3"/>
  <c r="DF140" i="3" s="1"/>
  <c r="DA140" i="3"/>
  <c r="DC140" i="3" s="1"/>
  <c r="CX140" i="3"/>
  <c r="CZ140" i="3" s="1"/>
  <c r="CU140" i="3"/>
  <c r="CW140" i="3" s="1"/>
  <c r="DD64" i="3"/>
  <c r="DF64" i="3" s="1"/>
  <c r="CX64" i="3"/>
  <c r="CZ64" i="3" s="1"/>
  <c r="CU64" i="3"/>
  <c r="CW64" i="3" s="1"/>
  <c r="DA64" i="3"/>
  <c r="DC64" i="3" s="1"/>
  <c r="DD11" i="3"/>
  <c r="DF11" i="3" s="1"/>
  <c r="CX11" i="3"/>
  <c r="CZ11" i="3" s="1"/>
  <c r="CU11" i="3"/>
  <c r="DA11" i="3"/>
  <c r="DC11" i="3" s="1"/>
  <c r="DD29" i="3"/>
  <c r="DF29" i="3" s="1"/>
  <c r="CX29" i="3"/>
  <c r="CZ29" i="3" s="1"/>
  <c r="DA29" i="3"/>
  <c r="DC29" i="3" s="1"/>
  <c r="CU29" i="3"/>
  <c r="CW29" i="3" s="1"/>
  <c r="DD178" i="3"/>
  <c r="DF178" i="3" s="1"/>
  <c r="DA178" i="3"/>
  <c r="DC178" i="3" s="1"/>
  <c r="CX178" i="3"/>
  <c r="CZ178" i="3" s="1"/>
  <c r="CU178" i="3"/>
  <c r="CW178" i="3" s="1"/>
  <c r="DD186" i="3"/>
  <c r="DF186" i="3" s="1"/>
  <c r="CX186" i="3"/>
  <c r="CZ186" i="3" s="1"/>
  <c r="CU186" i="3"/>
  <c r="CW186" i="3" s="1"/>
  <c r="DA186" i="3"/>
  <c r="DC186" i="3" s="1"/>
  <c r="DD183" i="3"/>
  <c r="DF183" i="3" s="1"/>
  <c r="DA183" i="3"/>
  <c r="DC183" i="3" s="1"/>
  <c r="CU183" i="3"/>
  <c r="CW183" i="3" s="1"/>
  <c r="CX183" i="3"/>
  <c r="CZ183" i="3" s="1"/>
  <c r="DD37" i="3"/>
  <c r="DF37" i="3" s="1"/>
  <c r="CX37" i="3"/>
  <c r="CZ37" i="3" s="1"/>
  <c r="DA37" i="3"/>
  <c r="DC37" i="3" s="1"/>
  <c r="CU37" i="3"/>
  <c r="CW37" i="3" s="1"/>
  <c r="DD22" i="3"/>
  <c r="DF22" i="3" s="1"/>
  <c r="DA22" i="3"/>
  <c r="DC22" i="3" s="1"/>
  <c r="CU22" i="3"/>
  <c r="CW22" i="3" s="1"/>
  <c r="CX22" i="3"/>
  <c r="CZ22" i="3" s="1"/>
  <c r="DD94" i="3"/>
  <c r="DF94" i="3" s="1"/>
  <c r="DA94" i="3"/>
  <c r="DC94" i="3" s="1"/>
  <c r="CU94" i="3"/>
  <c r="CW94" i="3" s="1"/>
  <c r="CX94" i="3"/>
  <c r="CZ94" i="3" s="1"/>
  <c r="DD87" i="3"/>
  <c r="DF87" i="3" s="1"/>
  <c r="DA87" i="3"/>
  <c r="DC87" i="3" s="1"/>
  <c r="CU87" i="3"/>
  <c r="CW87" i="3" s="1"/>
  <c r="CX87" i="3"/>
  <c r="CZ87" i="3" s="1"/>
  <c r="DD53" i="3"/>
  <c r="DF53" i="3" s="1"/>
  <c r="CX53" i="3"/>
  <c r="CZ53" i="3" s="1"/>
  <c r="DA53" i="3"/>
  <c r="DC53" i="3" s="1"/>
  <c r="CU53" i="3"/>
  <c r="CW53" i="3" s="1"/>
  <c r="DD275" i="3"/>
  <c r="DF275" i="3" s="1"/>
  <c r="DA275" i="3"/>
  <c r="DC275" i="3" s="1"/>
  <c r="CX275" i="3"/>
  <c r="CZ275" i="3" s="1"/>
  <c r="CU275" i="3"/>
  <c r="CW275" i="3" s="1"/>
  <c r="DD155" i="3"/>
  <c r="DF155" i="3" s="1"/>
  <c r="CX155" i="3"/>
  <c r="CZ155" i="3" s="1"/>
  <c r="CU155" i="3"/>
  <c r="CW155" i="3" s="1"/>
  <c r="DA155" i="3"/>
  <c r="DC155" i="3" s="1"/>
  <c r="DD72" i="3"/>
  <c r="DF72" i="3" s="1"/>
  <c r="DA72" i="3"/>
  <c r="DC72" i="3" s="1"/>
  <c r="CX72" i="3"/>
  <c r="CZ72" i="3" s="1"/>
  <c r="CU72" i="3"/>
  <c r="CW72" i="3" s="1"/>
  <c r="DD221" i="3"/>
  <c r="DF221" i="3" s="1"/>
  <c r="DA221" i="3"/>
  <c r="DC221" i="3" s="1"/>
  <c r="CX221" i="3"/>
  <c r="CZ221" i="3" s="1"/>
  <c r="CU221" i="3"/>
  <c r="CW221" i="3" s="1"/>
  <c r="DD44" i="3"/>
  <c r="DF44" i="3" s="1"/>
  <c r="DA44" i="3"/>
  <c r="DC44" i="3" s="1"/>
  <c r="CX44" i="3"/>
  <c r="CZ44" i="3" s="1"/>
  <c r="CU44" i="3"/>
  <c r="CW44" i="3" s="1"/>
  <c r="DD99" i="3"/>
  <c r="DF99" i="3" s="1"/>
  <c r="DA99" i="3"/>
  <c r="DC99" i="3" s="1"/>
  <c r="CX99" i="3"/>
  <c r="CZ99" i="3" s="1"/>
  <c r="CU99" i="3"/>
  <c r="CW99" i="3" s="1"/>
  <c r="DD182" i="3"/>
  <c r="DF182" i="3" s="1"/>
  <c r="DA182" i="3"/>
  <c r="DC182" i="3" s="1"/>
  <c r="CU182" i="3"/>
  <c r="CW182" i="3" s="1"/>
  <c r="CX182" i="3"/>
  <c r="CZ182" i="3" s="1"/>
  <c r="DD119" i="3"/>
  <c r="DF119" i="3" s="1"/>
  <c r="DA119" i="3"/>
  <c r="DC119" i="3" s="1"/>
  <c r="CU119" i="3"/>
  <c r="CW119" i="3" s="1"/>
  <c r="CX119" i="3"/>
  <c r="CZ119" i="3" s="1"/>
  <c r="DD203" i="3"/>
  <c r="DF203" i="3" s="1"/>
  <c r="CX203" i="3"/>
  <c r="CZ203" i="3" s="1"/>
  <c r="CU203" i="3"/>
  <c r="CW203" i="3" s="1"/>
  <c r="DA203" i="3"/>
  <c r="DC203" i="3" s="1"/>
  <c r="DD36" i="3"/>
  <c r="DF36" i="3" s="1"/>
  <c r="CX36" i="3"/>
  <c r="CZ36" i="3" s="1"/>
  <c r="DA36" i="3"/>
  <c r="DC36" i="3" s="1"/>
  <c r="CU36" i="3"/>
  <c r="CW36" i="3" s="1"/>
  <c r="DD179" i="3"/>
  <c r="DF179" i="3" s="1"/>
  <c r="DA179" i="3"/>
  <c r="DC179" i="3" s="1"/>
  <c r="CX179" i="3"/>
  <c r="CZ179" i="3" s="1"/>
  <c r="CU179" i="3"/>
  <c r="CW179" i="3" s="1"/>
  <c r="DD67" i="3"/>
  <c r="DF67" i="3" s="1"/>
  <c r="DA67" i="3"/>
  <c r="DC67" i="3" s="1"/>
  <c r="CX67" i="3"/>
  <c r="CZ67" i="3" s="1"/>
  <c r="CU67" i="3"/>
  <c r="CW67" i="3" s="1"/>
  <c r="DD28" i="3"/>
  <c r="DF28" i="3" s="1"/>
  <c r="CX28" i="3"/>
  <c r="CZ28" i="3" s="1"/>
  <c r="DA28" i="3"/>
  <c r="DC28" i="3" s="1"/>
  <c r="CU28" i="3"/>
  <c r="CW28" i="3" s="1"/>
  <c r="DD170" i="3"/>
  <c r="DF170" i="3" s="1"/>
  <c r="CX170" i="3"/>
  <c r="CZ170" i="3" s="1"/>
  <c r="CU170" i="3"/>
  <c r="CW170" i="3" s="1"/>
  <c r="DA170" i="3"/>
  <c r="DC170" i="3" s="1"/>
  <c r="DD68" i="3"/>
  <c r="DF68" i="3" s="1"/>
  <c r="DA68" i="3"/>
  <c r="DC68" i="3" s="1"/>
  <c r="CX68" i="3"/>
  <c r="CZ68" i="3" s="1"/>
  <c r="CU68" i="3"/>
  <c r="CW68" i="3" s="1"/>
  <c r="DI282" i="3"/>
  <c r="CS282" i="3"/>
  <c r="DF33" i="3" l="1"/>
  <c r="DD282" i="3"/>
  <c r="CZ33" i="3"/>
  <c r="CX282" i="3"/>
  <c r="DC33" i="3"/>
  <c r="DA282" i="3"/>
  <c r="CW11" i="3"/>
  <c r="CU282" i="3"/>
  <c r="DK282" i="3"/>
  <c r="AF24" i="3" l="1"/>
  <c r="AG24" i="3"/>
  <c r="AF25" i="3"/>
  <c r="AG25" i="3"/>
  <c r="AF26" i="3"/>
  <c r="AG26" i="3"/>
  <c r="AF27" i="3"/>
  <c r="AG27" i="3"/>
  <c r="AF28" i="3"/>
  <c r="AG28" i="3"/>
  <c r="AF29" i="3"/>
  <c r="AG29" i="3"/>
  <c r="AF30" i="3"/>
  <c r="AG30" i="3"/>
  <c r="AF31" i="3"/>
  <c r="AG31" i="3"/>
  <c r="AF32" i="3"/>
  <c r="AG32" i="3"/>
  <c r="AF33" i="3"/>
  <c r="AG33" i="3"/>
  <c r="AF34" i="3"/>
  <c r="AG34" i="3"/>
  <c r="AF35" i="3"/>
  <c r="AG35" i="3"/>
  <c r="AF36" i="3"/>
  <c r="AG36" i="3"/>
  <c r="AF37" i="3"/>
  <c r="AG37" i="3"/>
  <c r="AF38" i="3"/>
  <c r="AG38" i="3"/>
  <c r="AF39" i="3"/>
  <c r="AG39" i="3"/>
  <c r="AF40" i="3"/>
  <c r="AG40" i="3"/>
  <c r="AF41" i="3"/>
  <c r="AG41" i="3"/>
  <c r="AF42" i="3"/>
  <c r="AG42" i="3"/>
  <c r="AF43" i="3"/>
  <c r="AG43" i="3"/>
  <c r="AF44" i="3"/>
  <c r="AG44" i="3"/>
  <c r="AF45" i="3"/>
  <c r="AG45" i="3"/>
  <c r="AF46" i="3"/>
  <c r="AG46" i="3"/>
  <c r="AF47" i="3"/>
  <c r="AG47" i="3"/>
  <c r="AF48" i="3"/>
  <c r="AG48" i="3"/>
  <c r="AF49" i="3"/>
  <c r="AG49" i="3"/>
  <c r="AF50" i="3"/>
  <c r="AG50" i="3"/>
  <c r="AF51" i="3"/>
  <c r="AG51" i="3"/>
  <c r="AF52" i="3"/>
  <c r="AG52" i="3"/>
  <c r="AF53" i="3"/>
  <c r="AG53" i="3"/>
  <c r="AF54" i="3"/>
  <c r="AG54" i="3"/>
  <c r="AF55" i="3"/>
  <c r="AG55" i="3"/>
  <c r="AF56" i="3"/>
  <c r="AG56" i="3"/>
  <c r="AF57" i="3"/>
  <c r="AG57" i="3"/>
  <c r="AF58" i="3"/>
  <c r="AG58" i="3"/>
  <c r="AF59" i="3"/>
  <c r="AG59" i="3"/>
  <c r="AF60" i="3"/>
  <c r="AG60" i="3"/>
  <c r="AF61" i="3"/>
  <c r="AG61" i="3"/>
  <c r="AF62" i="3"/>
  <c r="AG62" i="3"/>
  <c r="AF63" i="3"/>
  <c r="AG63" i="3"/>
  <c r="AF64" i="3"/>
  <c r="AG64" i="3"/>
  <c r="AF65" i="3"/>
  <c r="AG65" i="3"/>
  <c r="AF66" i="3"/>
  <c r="AG66" i="3"/>
  <c r="AF67" i="3"/>
  <c r="AG67" i="3"/>
  <c r="AF68" i="3"/>
  <c r="AG68" i="3"/>
  <c r="AF69" i="3"/>
  <c r="AG69" i="3"/>
  <c r="AF70" i="3"/>
  <c r="AG70" i="3"/>
  <c r="AF71" i="3"/>
  <c r="AG71" i="3"/>
  <c r="AF72" i="3"/>
  <c r="AG72" i="3"/>
  <c r="AF73" i="3"/>
  <c r="AG73" i="3"/>
  <c r="AF74" i="3"/>
  <c r="AG74" i="3"/>
  <c r="AF75" i="3"/>
  <c r="AG75" i="3"/>
  <c r="AF76" i="3"/>
  <c r="AG76" i="3"/>
  <c r="AF77" i="3"/>
  <c r="AG77" i="3"/>
  <c r="AF78" i="3"/>
  <c r="AG78" i="3"/>
  <c r="AF79" i="3"/>
  <c r="AG79" i="3"/>
  <c r="AF80" i="3"/>
  <c r="AG80" i="3"/>
  <c r="AF81" i="3"/>
  <c r="AG81" i="3"/>
  <c r="AF82" i="3"/>
  <c r="AG82" i="3"/>
  <c r="AF83" i="3"/>
  <c r="AG83" i="3"/>
  <c r="AF84" i="3"/>
  <c r="AG84" i="3"/>
  <c r="AF85" i="3"/>
  <c r="AG85" i="3"/>
  <c r="AF86" i="3"/>
  <c r="AG86" i="3"/>
  <c r="AF87" i="3"/>
  <c r="AG87" i="3"/>
  <c r="AF88" i="3"/>
  <c r="AG88" i="3"/>
  <c r="AF89" i="3"/>
  <c r="AG89" i="3"/>
  <c r="AF90" i="3"/>
  <c r="AG90" i="3"/>
  <c r="AF91" i="3"/>
  <c r="AG91" i="3"/>
  <c r="AF92" i="3"/>
  <c r="AG92" i="3"/>
  <c r="AF93" i="3"/>
  <c r="AG93" i="3"/>
  <c r="AF94" i="3"/>
  <c r="AG94" i="3"/>
  <c r="AF95" i="3"/>
  <c r="AG95" i="3"/>
  <c r="AF96" i="3"/>
  <c r="AG96" i="3"/>
  <c r="AF97" i="3"/>
  <c r="AG97" i="3"/>
  <c r="AF98" i="3"/>
  <c r="AG98" i="3"/>
  <c r="AF99" i="3"/>
  <c r="AG99" i="3"/>
  <c r="AF100" i="3"/>
  <c r="AG100" i="3"/>
  <c r="AF101" i="3"/>
  <c r="AG101" i="3"/>
  <c r="AF102" i="3"/>
  <c r="AG102" i="3"/>
  <c r="AF103" i="3"/>
  <c r="AG103" i="3"/>
  <c r="AF104" i="3"/>
  <c r="AG104" i="3"/>
  <c r="AF105" i="3"/>
  <c r="AG105" i="3"/>
  <c r="AF106" i="3"/>
  <c r="AG106" i="3"/>
  <c r="AF107" i="3"/>
  <c r="AG107" i="3"/>
  <c r="AF108" i="3"/>
  <c r="AG108" i="3"/>
  <c r="AF109" i="3"/>
  <c r="AG109" i="3"/>
  <c r="AF110" i="3"/>
  <c r="AG110" i="3"/>
  <c r="AF111" i="3"/>
  <c r="AG111" i="3"/>
  <c r="AF112" i="3"/>
  <c r="AG112" i="3"/>
  <c r="AF113" i="3"/>
  <c r="AG113" i="3"/>
  <c r="AF114" i="3"/>
  <c r="AG114" i="3"/>
  <c r="AF115" i="3"/>
  <c r="AG115" i="3"/>
  <c r="AF116" i="3"/>
  <c r="AG116" i="3"/>
  <c r="AF117" i="3"/>
  <c r="AG117" i="3"/>
  <c r="AF118" i="3"/>
  <c r="AG118" i="3"/>
  <c r="AF119" i="3"/>
  <c r="AG119" i="3"/>
  <c r="AF120" i="3"/>
  <c r="AG120" i="3"/>
  <c r="AF121" i="3"/>
  <c r="AG121" i="3"/>
  <c r="AF122" i="3"/>
  <c r="AG122" i="3"/>
  <c r="AF123" i="3"/>
  <c r="AG123" i="3"/>
  <c r="AF124" i="3"/>
  <c r="AG124" i="3"/>
  <c r="AF125" i="3"/>
  <c r="AG125" i="3"/>
  <c r="AF126" i="3"/>
  <c r="AG126" i="3"/>
  <c r="AF127" i="3"/>
  <c r="AG127" i="3"/>
  <c r="AF128" i="3"/>
  <c r="AG128" i="3"/>
  <c r="AF129" i="3"/>
  <c r="AG129" i="3"/>
  <c r="AF130" i="3"/>
  <c r="AG130" i="3"/>
  <c r="AF131" i="3"/>
  <c r="AG131" i="3"/>
  <c r="AF132" i="3"/>
  <c r="AG132" i="3"/>
  <c r="AF133" i="3"/>
  <c r="AG133" i="3"/>
  <c r="AF134" i="3"/>
  <c r="AG134" i="3"/>
  <c r="AF135" i="3"/>
  <c r="AG135" i="3"/>
  <c r="AF136" i="3"/>
  <c r="AG136" i="3"/>
  <c r="AF137" i="3"/>
  <c r="AG137" i="3"/>
  <c r="AF138" i="3"/>
  <c r="AG138" i="3"/>
  <c r="AF139" i="3"/>
  <c r="AG139" i="3"/>
  <c r="AF140" i="3"/>
  <c r="AG140" i="3"/>
  <c r="AF141" i="3"/>
  <c r="AG141" i="3"/>
  <c r="AF142" i="3"/>
  <c r="AG142" i="3"/>
  <c r="AF143" i="3"/>
  <c r="AG143" i="3"/>
  <c r="AF144" i="3"/>
  <c r="AG144" i="3"/>
  <c r="AF145" i="3"/>
  <c r="AG145" i="3"/>
  <c r="AF146" i="3"/>
  <c r="AG146" i="3"/>
  <c r="AF147" i="3"/>
  <c r="AG147" i="3"/>
  <c r="AF148" i="3"/>
  <c r="AG148" i="3"/>
  <c r="AF149" i="3"/>
  <c r="AG149" i="3"/>
  <c r="AF150" i="3"/>
  <c r="AG150" i="3"/>
  <c r="AF151" i="3"/>
  <c r="AG151" i="3"/>
  <c r="AF152" i="3"/>
  <c r="AG152" i="3"/>
  <c r="AF153" i="3"/>
  <c r="AG153" i="3"/>
  <c r="AF154" i="3"/>
  <c r="AG154" i="3"/>
  <c r="AF155" i="3"/>
  <c r="AG155" i="3"/>
  <c r="AF156" i="3"/>
  <c r="AG156" i="3"/>
  <c r="AF157" i="3"/>
  <c r="AG157" i="3"/>
  <c r="AF158" i="3"/>
  <c r="AG158" i="3"/>
  <c r="AF159" i="3"/>
  <c r="AG159" i="3"/>
  <c r="AF160" i="3"/>
  <c r="AG160" i="3"/>
  <c r="AF161" i="3"/>
  <c r="AG161" i="3"/>
  <c r="AF162" i="3"/>
  <c r="AG162" i="3"/>
  <c r="AF163" i="3"/>
  <c r="AG163" i="3"/>
  <c r="AF164" i="3"/>
  <c r="AG164" i="3"/>
  <c r="AF165" i="3"/>
  <c r="AG165" i="3"/>
  <c r="AF166" i="3"/>
  <c r="AG166" i="3"/>
  <c r="AF167" i="3"/>
  <c r="AG167" i="3"/>
  <c r="AF168" i="3"/>
  <c r="AG168" i="3"/>
  <c r="AF169" i="3"/>
  <c r="AG169" i="3"/>
  <c r="AF170" i="3"/>
  <c r="AG170" i="3"/>
  <c r="AF171" i="3"/>
  <c r="AG171" i="3"/>
  <c r="AF172" i="3"/>
  <c r="AG172" i="3"/>
  <c r="AF173" i="3"/>
  <c r="AG173" i="3"/>
  <c r="AF174" i="3"/>
  <c r="AG174" i="3"/>
  <c r="AF175" i="3"/>
  <c r="AG175" i="3"/>
  <c r="AF176" i="3"/>
  <c r="AG176" i="3"/>
  <c r="AF177" i="3"/>
  <c r="AG177" i="3"/>
  <c r="AF178" i="3"/>
  <c r="AG178" i="3"/>
  <c r="AF179" i="3"/>
  <c r="AG179" i="3"/>
  <c r="AF180" i="3"/>
  <c r="AG180" i="3"/>
  <c r="AF181" i="3"/>
  <c r="AG181" i="3"/>
  <c r="AF182" i="3"/>
  <c r="AG182" i="3"/>
  <c r="AF183" i="3"/>
  <c r="AG183" i="3"/>
  <c r="AF184" i="3"/>
  <c r="AG184" i="3"/>
  <c r="AF185" i="3"/>
  <c r="AG185" i="3"/>
  <c r="AF186" i="3"/>
  <c r="AG186" i="3"/>
  <c r="AF187" i="3"/>
  <c r="AG187" i="3"/>
  <c r="AF188" i="3"/>
  <c r="AG188" i="3"/>
  <c r="AF189" i="3"/>
  <c r="AG189" i="3"/>
  <c r="AF190" i="3"/>
  <c r="AG190" i="3"/>
  <c r="AF191" i="3"/>
  <c r="AG191" i="3"/>
  <c r="AF192" i="3"/>
  <c r="AG192" i="3"/>
  <c r="AF193" i="3"/>
  <c r="AG193" i="3"/>
  <c r="AF194" i="3"/>
  <c r="AG194" i="3"/>
  <c r="AF195" i="3"/>
  <c r="AG195" i="3"/>
  <c r="AF196" i="3"/>
  <c r="AG196" i="3"/>
  <c r="AF197" i="3"/>
  <c r="AG197" i="3"/>
  <c r="AF198" i="3"/>
  <c r="AG198" i="3"/>
  <c r="AF199" i="3"/>
  <c r="AG199" i="3"/>
  <c r="AF200" i="3"/>
  <c r="AG200" i="3"/>
  <c r="AF201" i="3"/>
  <c r="AG201" i="3"/>
  <c r="AF202" i="3"/>
  <c r="AG202" i="3"/>
  <c r="AF203" i="3"/>
  <c r="AG203" i="3"/>
  <c r="AF204" i="3"/>
  <c r="AG204" i="3"/>
  <c r="AF205" i="3"/>
  <c r="AG205" i="3"/>
  <c r="AF206" i="3"/>
  <c r="AG206" i="3"/>
  <c r="AF207" i="3"/>
  <c r="AG207" i="3"/>
  <c r="AF208" i="3"/>
  <c r="AG208" i="3"/>
  <c r="AF209" i="3"/>
  <c r="AG209" i="3"/>
  <c r="AF210" i="3"/>
  <c r="AG210" i="3"/>
  <c r="AF211" i="3"/>
  <c r="AG211" i="3"/>
  <c r="AF212" i="3"/>
  <c r="AG212" i="3"/>
  <c r="AF213" i="3"/>
  <c r="AG213" i="3"/>
  <c r="AF214" i="3"/>
  <c r="AG214" i="3"/>
  <c r="AF215" i="3"/>
  <c r="AG215" i="3"/>
  <c r="AF216" i="3"/>
  <c r="AG216" i="3"/>
  <c r="AF217" i="3"/>
  <c r="AG217" i="3"/>
  <c r="AF218" i="3"/>
  <c r="AG218" i="3"/>
  <c r="AF219" i="3"/>
  <c r="AG219" i="3"/>
  <c r="AF220" i="3"/>
  <c r="AG220" i="3"/>
  <c r="AF221" i="3"/>
  <c r="AG221" i="3"/>
  <c r="AF222" i="3"/>
  <c r="AG222" i="3"/>
  <c r="AF223" i="3"/>
  <c r="AG223" i="3"/>
  <c r="AF224" i="3"/>
  <c r="AG224" i="3"/>
  <c r="AF225" i="3"/>
  <c r="AG225" i="3"/>
  <c r="AF226" i="3"/>
  <c r="AG226" i="3"/>
  <c r="AF227" i="3"/>
  <c r="AG227" i="3"/>
  <c r="AF228" i="3"/>
  <c r="AG228" i="3"/>
  <c r="AF229" i="3"/>
  <c r="AG229" i="3"/>
  <c r="AF230" i="3"/>
  <c r="AG230" i="3"/>
  <c r="AF231" i="3"/>
  <c r="AG231" i="3"/>
  <c r="AF232" i="3"/>
  <c r="AG232" i="3"/>
  <c r="AF233" i="3"/>
  <c r="AG233" i="3"/>
  <c r="AF234" i="3"/>
  <c r="AG234" i="3"/>
  <c r="AF235" i="3"/>
  <c r="AG235" i="3"/>
  <c r="AF236" i="3"/>
  <c r="AG236" i="3"/>
  <c r="AF237" i="3"/>
  <c r="AG237" i="3"/>
  <c r="AF238" i="3"/>
  <c r="AG238" i="3"/>
  <c r="AF239" i="3"/>
  <c r="AG239" i="3"/>
  <c r="AF240" i="3"/>
  <c r="AG240" i="3"/>
  <c r="AF241" i="3"/>
  <c r="AG241" i="3"/>
  <c r="AF242" i="3"/>
  <c r="AG242" i="3"/>
  <c r="AF243" i="3"/>
  <c r="AG243" i="3"/>
  <c r="AF244" i="3"/>
  <c r="AG244" i="3"/>
  <c r="AF245" i="3"/>
  <c r="AG245" i="3"/>
  <c r="AF246" i="3"/>
  <c r="AG246" i="3"/>
  <c r="AF247" i="3"/>
  <c r="AG247" i="3"/>
  <c r="AF248" i="3"/>
  <c r="AG248" i="3"/>
  <c r="AF249" i="3"/>
  <c r="AG249" i="3"/>
  <c r="AF250" i="3"/>
  <c r="AG250" i="3"/>
  <c r="AF251" i="3"/>
  <c r="AG251" i="3"/>
  <c r="AF252" i="3"/>
  <c r="AG252" i="3"/>
  <c r="AF253" i="3"/>
  <c r="AG253" i="3"/>
  <c r="AF254" i="3"/>
  <c r="AG254" i="3"/>
  <c r="AF255" i="3"/>
  <c r="AG255" i="3"/>
  <c r="AF256" i="3"/>
  <c r="AG256" i="3"/>
  <c r="AF257" i="3"/>
  <c r="AG257" i="3"/>
  <c r="AF258" i="3"/>
  <c r="AG258" i="3"/>
  <c r="AF259" i="3"/>
  <c r="AG259" i="3"/>
  <c r="AF260" i="3"/>
  <c r="AG260" i="3"/>
  <c r="AF261" i="3"/>
  <c r="AG261" i="3"/>
  <c r="AF262" i="3"/>
  <c r="AG262" i="3"/>
  <c r="AF263" i="3"/>
  <c r="AG263" i="3"/>
  <c r="AF264" i="3"/>
  <c r="AG264" i="3"/>
  <c r="AF265" i="3"/>
  <c r="AG265" i="3"/>
  <c r="AF266" i="3"/>
  <c r="AG266" i="3"/>
  <c r="AF267" i="3"/>
  <c r="AG267" i="3"/>
  <c r="AF268" i="3"/>
  <c r="AG268" i="3"/>
  <c r="AF269" i="3"/>
  <c r="AG269" i="3"/>
  <c r="AF270" i="3"/>
  <c r="AG270" i="3"/>
  <c r="AF271" i="3"/>
  <c r="AG271" i="3"/>
  <c r="AF272" i="3"/>
  <c r="AG272" i="3"/>
  <c r="AF273" i="3"/>
  <c r="AG273" i="3"/>
  <c r="AF274" i="3"/>
  <c r="AG274" i="3"/>
  <c r="AF275" i="3"/>
  <c r="AG275" i="3"/>
  <c r="AF276" i="3"/>
  <c r="AG276" i="3"/>
  <c r="AF277" i="3"/>
  <c r="AG277" i="3"/>
  <c r="AF278" i="3"/>
  <c r="AG278" i="3"/>
  <c r="AF279" i="3"/>
  <c r="AG279" i="3"/>
  <c r="AF280" i="3"/>
  <c r="AG280" i="3"/>
  <c r="AG6" i="3"/>
  <c r="AG7" i="3"/>
  <c r="AG8" i="3"/>
  <c r="AG9" i="3"/>
  <c r="AG10" i="3"/>
  <c r="AG11" i="3"/>
  <c r="AG12" i="3"/>
  <c r="AG13" i="3"/>
  <c r="AG14" i="3"/>
  <c r="AG15" i="3"/>
  <c r="AG16" i="3"/>
  <c r="AG17" i="3"/>
  <c r="AG18" i="3"/>
  <c r="AG19" i="3"/>
  <c r="AG20" i="3"/>
  <c r="AG21" i="3"/>
  <c r="AG22" i="3"/>
  <c r="AG23" i="3"/>
  <c r="AF6" i="3"/>
  <c r="AF7" i="3"/>
  <c r="AF8" i="3"/>
  <c r="AF9" i="3"/>
  <c r="AF10" i="3"/>
  <c r="AF11" i="3"/>
  <c r="AF12" i="3"/>
  <c r="AF13" i="3"/>
  <c r="AF14" i="3"/>
  <c r="AF15" i="3"/>
  <c r="AF16" i="3"/>
  <c r="AF17" i="3"/>
  <c r="AF18" i="3"/>
  <c r="AF19" i="3"/>
  <c r="AF20" i="3"/>
  <c r="AF21" i="3"/>
  <c r="AF22" i="3"/>
  <c r="AF23" i="3"/>
  <c r="AF5" i="3"/>
  <c r="AH6" i="3"/>
  <c r="AH8" i="3"/>
  <c r="AH9" i="3"/>
  <c r="AH10" i="3"/>
  <c r="AH11" i="3"/>
  <c r="AH12" i="3"/>
  <c r="AH13" i="3"/>
  <c r="AH14" i="3"/>
  <c r="AG5" i="3"/>
  <c r="V229" i="3"/>
  <c r="AQ277" i="3"/>
  <c r="AQ276" i="3"/>
  <c r="AQ188" i="3"/>
  <c r="AQ181" i="3"/>
  <c r="AQ178" i="3"/>
  <c r="AQ138" i="3"/>
  <c r="AQ102" i="3"/>
  <c r="AQ99" i="3"/>
  <c r="AQ81" i="3"/>
  <c r="AQ80" i="3"/>
  <c r="AQ61" i="3"/>
  <c r="AQ57" i="3"/>
  <c r="AQ55" i="3"/>
  <c r="AQ40" i="3"/>
  <c r="AQ34" i="3"/>
  <c r="AQ21" i="3"/>
  <c r="AQ13" i="3"/>
  <c r="AQ9" i="3"/>
  <c r="AQ8" i="3"/>
  <c r="AQ7" i="3"/>
  <c r="AB34" i="3"/>
  <c r="Y138" i="3"/>
  <c r="V137" i="3"/>
  <c r="V135" i="3"/>
  <c r="V138" i="3" s="1"/>
  <c r="F43" i="4"/>
  <c r="E43" i="4"/>
  <c r="D43" i="4"/>
  <c r="C43" i="4"/>
  <c r="B43" i="4"/>
  <c r="AD4" i="4"/>
  <c r="AC4" i="4"/>
  <c r="AB4" i="4"/>
  <c r="AA4" i="4"/>
  <c r="Z4" i="4"/>
  <c r="Y4" i="4"/>
  <c r="X4" i="4"/>
  <c r="AG281" i="3"/>
  <c r="AF281" i="3"/>
  <c r="AE281" i="3"/>
  <c r="AB281" i="3"/>
  <c r="Y281" i="3"/>
  <c r="V281" i="3"/>
  <c r="AH280" i="3"/>
  <c r="AE280" i="3"/>
  <c r="AB280" i="3"/>
  <c r="Y280" i="3"/>
  <c r="V280" i="3"/>
  <c r="AH279" i="3"/>
  <c r="AE279" i="3"/>
  <c r="AB279" i="3"/>
  <c r="Y279" i="3"/>
  <c r="V279" i="3"/>
  <c r="AE278" i="3"/>
  <c r="AB278" i="3"/>
  <c r="Y278" i="3"/>
  <c r="V278" i="3"/>
  <c r="AH277" i="3"/>
  <c r="AE277" i="3"/>
  <c r="AB277" i="3"/>
  <c r="Y277" i="3"/>
  <c r="V277" i="3"/>
  <c r="AH276" i="3"/>
  <c r="AE276" i="3"/>
  <c r="AB276" i="3"/>
  <c r="Y276" i="3"/>
  <c r="V276" i="3"/>
  <c r="AH275" i="3"/>
  <c r="AE275" i="3"/>
  <c r="AB275" i="3"/>
  <c r="Y275" i="3"/>
  <c r="V275" i="3"/>
  <c r="AE274" i="3"/>
  <c r="AB274" i="3"/>
  <c r="Y274" i="3"/>
  <c r="V274" i="3"/>
  <c r="AE273" i="3"/>
  <c r="AB273" i="3"/>
  <c r="Y273" i="3"/>
  <c r="V273" i="3"/>
  <c r="AE272" i="3"/>
  <c r="AB272" i="3"/>
  <c r="Y272" i="3"/>
  <c r="V272" i="3"/>
  <c r="AE271" i="3"/>
  <c r="AB271" i="3"/>
  <c r="Y271" i="3"/>
  <c r="V271" i="3"/>
  <c r="AE270" i="3"/>
  <c r="AB270" i="3"/>
  <c r="Y270" i="3"/>
  <c r="V270" i="3"/>
  <c r="AE269" i="3"/>
  <c r="AB269" i="3"/>
  <c r="Y269" i="3"/>
  <c r="V269" i="3"/>
  <c r="AE268" i="3"/>
  <c r="AB268" i="3"/>
  <c r="Y268" i="3"/>
  <c r="V268" i="3"/>
  <c r="AE267" i="3"/>
  <c r="AB267" i="3"/>
  <c r="Y267" i="3"/>
  <c r="V267" i="3"/>
  <c r="AE266" i="3"/>
  <c r="AB266" i="3"/>
  <c r="Y266" i="3"/>
  <c r="V266" i="3"/>
  <c r="AE265" i="3"/>
  <c r="AB265" i="3"/>
  <c r="Y265" i="3"/>
  <c r="V265" i="3"/>
  <c r="AE264" i="3"/>
  <c r="AB264" i="3"/>
  <c r="Y264" i="3"/>
  <c r="V264" i="3"/>
  <c r="AE263" i="3"/>
  <c r="AB263" i="3"/>
  <c r="Y263" i="3"/>
  <c r="V263" i="3"/>
  <c r="AE262" i="3"/>
  <c r="AB262" i="3"/>
  <c r="Y262" i="3"/>
  <c r="V262" i="3"/>
  <c r="AE261" i="3"/>
  <c r="AB261" i="3"/>
  <c r="Y261" i="3"/>
  <c r="V261" i="3"/>
  <c r="AE260" i="3"/>
  <c r="AB260" i="3"/>
  <c r="Y260" i="3"/>
  <c r="V260" i="3"/>
  <c r="AE259" i="3"/>
  <c r="AB259" i="3"/>
  <c r="Y259" i="3"/>
  <c r="V259" i="3"/>
  <c r="AE258" i="3"/>
  <c r="AB258" i="3"/>
  <c r="Y258" i="3"/>
  <c r="V258" i="3"/>
  <c r="AE257" i="3"/>
  <c r="AB257" i="3"/>
  <c r="Y257" i="3"/>
  <c r="V257" i="3"/>
  <c r="AH256" i="3"/>
  <c r="AE256" i="3"/>
  <c r="AB256" i="3"/>
  <c r="Y256" i="3"/>
  <c r="V256" i="3"/>
  <c r="AH255" i="3"/>
  <c r="AE255" i="3"/>
  <c r="AB255" i="3"/>
  <c r="Y255" i="3"/>
  <c r="V255" i="3"/>
  <c r="AH254" i="3"/>
  <c r="AE254" i="3"/>
  <c r="AB254" i="3"/>
  <c r="Y254" i="3"/>
  <c r="V254" i="3"/>
  <c r="AE253" i="3"/>
  <c r="AB253" i="3"/>
  <c r="Y253" i="3"/>
  <c r="V253" i="3"/>
  <c r="AE252" i="3"/>
  <c r="AB252" i="3"/>
  <c r="Y252" i="3"/>
  <c r="V252" i="3"/>
  <c r="AE251" i="3"/>
  <c r="AB251" i="3"/>
  <c r="Y251" i="3"/>
  <c r="V251" i="3"/>
  <c r="AE250" i="3"/>
  <c r="AB250" i="3"/>
  <c r="Y250" i="3"/>
  <c r="V250" i="3"/>
  <c r="AE249" i="3"/>
  <c r="AB249" i="3"/>
  <c r="Y249" i="3"/>
  <c r="V249" i="3"/>
  <c r="AE248" i="3"/>
  <c r="AB248" i="3"/>
  <c r="Y248" i="3"/>
  <c r="V248" i="3"/>
  <c r="AE247" i="3"/>
  <c r="AB247" i="3"/>
  <c r="Y247" i="3"/>
  <c r="V247" i="3"/>
  <c r="AE246" i="3"/>
  <c r="AB246" i="3"/>
  <c r="Y246" i="3"/>
  <c r="V246" i="3"/>
  <c r="AE245" i="3"/>
  <c r="AB245" i="3"/>
  <c r="Y245" i="3"/>
  <c r="V245" i="3"/>
  <c r="AE244" i="3"/>
  <c r="AB244" i="3"/>
  <c r="Y244" i="3"/>
  <c r="V244" i="3"/>
  <c r="AE243" i="3"/>
  <c r="AB243" i="3"/>
  <c r="Y243" i="3"/>
  <c r="V243" i="3"/>
  <c r="AE242" i="3"/>
  <c r="AB242" i="3"/>
  <c r="Y242" i="3"/>
  <c r="V242" i="3"/>
  <c r="AE241" i="3"/>
  <c r="AB241" i="3"/>
  <c r="Y241" i="3"/>
  <c r="V241" i="3"/>
  <c r="AE240" i="3"/>
  <c r="AB240" i="3"/>
  <c r="Y240" i="3"/>
  <c r="V240" i="3"/>
  <c r="AE239" i="3"/>
  <c r="AB239" i="3"/>
  <c r="Y239" i="3"/>
  <c r="V239" i="3"/>
  <c r="AE238" i="3"/>
  <c r="AB238" i="3"/>
  <c r="Y238" i="3"/>
  <c r="V238" i="3"/>
  <c r="AE237" i="3"/>
  <c r="AB237" i="3"/>
  <c r="Y237" i="3"/>
  <c r="V237" i="3"/>
  <c r="AE236" i="3"/>
  <c r="AB236" i="3"/>
  <c r="Y236" i="3"/>
  <c r="V236" i="3"/>
  <c r="AE235" i="3"/>
  <c r="AB235" i="3"/>
  <c r="Y235" i="3"/>
  <c r="V235" i="3"/>
  <c r="AE234" i="3"/>
  <c r="AB234" i="3"/>
  <c r="Y234" i="3"/>
  <c r="V234" i="3"/>
  <c r="AE233" i="3"/>
  <c r="AB233" i="3"/>
  <c r="Y233" i="3"/>
  <c r="V233" i="3"/>
  <c r="AE232" i="3"/>
  <c r="AB232" i="3"/>
  <c r="Y232" i="3"/>
  <c r="V232" i="3"/>
  <c r="AE231" i="3"/>
  <c r="AB231" i="3"/>
  <c r="Y231" i="3"/>
  <c r="V231" i="3"/>
  <c r="AE230" i="3"/>
  <c r="AB230" i="3"/>
  <c r="Y230" i="3"/>
  <c r="V230" i="3"/>
  <c r="AH229" i="3"/>
  <c r="AE229" i="3"/>
  <c r="AB229" i="3"/>
  <c r="Y229" i="3"/>
  <c r="AH228" i="3"/>
  <c r="AE228" i="3"/>
  <c r="AB228" i="3"/>
  <c r="Y228" i="3"/>
  <c r="V228" i="3"/>
  <c r="AH227" i="3"/>
  <c r="AE227" i="3"/>
  <c r="AB227" i="3"/>
  <c r="Y227" i="3"/>
  <c r="V227" i="3"/>
  <c r="AH226" i="3"/>
  <c r="AE226" i="3"/>
  <c r="AB226" i="3"/>
  <c r="Y226" i="3"/>
  <c r="V226" i="3"/>
  <c r="AH225" i="3"/>
  <c r="AE225" i="3"/>
  <c r="AB225" i="3"/>
  <c r="Y225" i="3"/>
  <c r="V225" i="3"/>
  <c r="AH224" i="3"/>
  <c r="AE224" i="3"/>
  <c r="AB224" i="3"/>
  <c r="Y224" i="3"/>
  <c r="V224" i="3"/>
  <c r="AH223" i="3"/>
  <c r="AE223" i="3"/>
  <c r="AB223" i="3"/>
  <c r="Y223" i="3"/>
  <c r="V223" i="3"/>
  <c r="AE222" i="3"/>
  <c r="AB222" i="3"/>
  <c r="Y222" i="3"/>
  <c r="V222" i="3"/>
  <c r="AE221" i="3"/>
  <c r="AB221" i="3"/>
  <c r="Y221" i="3"/>
  <c r="V221" i="3"/>
  <c r="AH220" i="3"/>
  <c r="AE220" i="3"/>
  <c r="AB220" i="3"/>
  <c r="Y220" i="3"/>
  <c r="V220" i="3"/>
  <c r="AE219" i="3"/>
  <c r="AB219" i="3"/>
  <c r="Y219" i="3"/>
  <c r="V219" i="3"/>
  <c r="AE218" i="3"/>
  <c r="AB218" i="3"/>
  <c r="Y218" i="3"/>
  <c r="V218" i="3"/>
  <c r="AE217" i="3"/>
  <c r="AB217" i="3"/>
  <c r="Y217" i="3"/>
  <c r="V217" i="3"/>
  <c r="AE216" i="3"/>
  <c r="AB216" i="3"/>
  <c r="Y216" i="3"/>
  <c r="V216" i="3"/>
  <c r="AE215" i="3"/>
  <c r="AB215" i="3"/>
  <c r="Y215" i="3"/>
  <c r="V215" i="3"/>
  <c r="AE214" i="3"/>
  <c r="AB214" i="3"/>
  <c r="Y214" i="3"/>
  <c r="V214" i="3"/>
  <c r="AE213" i="3"/>
  <c r="AB213" i="3"/>
  <c r="Y213" i="3"/>
  <c r="V213" i="3"/>
  <c r="AE212" i="3"/>
  <c r="AB212" i="3"/>
  <c r="Y212" i="3"/>
  <c r="V212" i="3"/>
  <c r="AE211" i="3"/>
  <c r="AB211" i="3"/>
  <c r="Y211" i="3"/>
  <c r="V211" i="3"/>
  <c r="AE210" i="3"/>
  <c r="AB210" i="3"/>
  <c r="Y210" i="3"/>
  <c r="V210" i="3"/>
  <c r="AE209" i="3"/>
  <c r="AB209" i="3"/>
  <c r="Y209" i="3"/>
  <c r="V209" i="3"/>
  <c r="AE208" i="3"/>
  <c r="AB208" i="3"/>
  <c r="Y208" i="3"/>
  <c r="V208" i="3"/>
  <c r="AE207" i="3"/>
  <c r="AB207" i="3"/>
  <c r="Y207" i="3"/>
  <c r="V207" i="3"/>
  <c r="AE206" i="3"/>
  <c r="AB206" i="3"/>
  <c r="Y206" i="3"/>
  <c r="V206" i="3"/>
  <c r="AE205" i="3"/>
  <c r="AB205" i="3"/>
  <c r="Y205" i="3"/>
  <c r="V205" i="3"/>
  <c r="AE204" i="3"/>
  <c r="AB204" i="3"/>
  <c r="Y204" i="3"/>
  <c r="V204" i="3"/>
  <c r="AE203" i="3"/>
  <c r="AB203" i="3"/>
  <c r="Y203" i="3"/>
  <c r="V203" i="3"/>
  <c r="AE202" i="3"/>
  <c r="AB202" i="3"/>
  <c r="Y202" i="3"/>
  <c r="V202" i="3"/>
  <c r="AE201" i="3"/>
  <c r="AB201" i="3"/>
  <c r="Y201" i="3"/>
  <c r="V201" i="3"/>
  <c r="AE200" i="3"/>
  <c r="AB200" i="3"/>
  <c r="Y200" i="3"/>
  <c r="V200" i="3"/>
  <c r="AE199" i="3"/>
  <c r="AB199" i="3"/>
  <c r="Y199" i="3"/>
  <c r="V199" i="3"/>
  <c r="AE198" i="3"/>
  <c r="AB198" i="3"/>
  <c r="Y198" i="3"/>
  <c r="V198" i="3"/>
  <c r="AE197" i="3"/>
  <c r="AB197" i="3"/>
  <c r="Y197" i="3"/>
  <c r="V197" i="3"/>
  <c r="AE196" i="3"/>
  <c r="AB196" i="3"/>
  <c r="Y196" i="3"/>
  <c r="V196" i="3"/>
  <c r="AE195" i="3"/>
  <c r="AB195" i="3"/>
  <c r="Y195" i="3"/>
  <c r="V195" i="3"/>
  <c r="AE194" i="3"/>
  <c r="AB194" i="3"/>
  <c r="Y194" i="3"/>
  <c r="V194" i="3"/>
  <c r="AE193" i="3"/>
  <c r="AB193" i="3"/>
  <c r="Y193" i="3"/>
  <c r="V193" i="3"/>
  <c r="AE192" i="3"/>
  <c r="AB192" i="3"/>
  <c r="Y192" i="3"/>
  <c r="V192" i="3"/>
  <c r="AE191" i="3"/>
  <c r="AB191" i="3"/>
  <c r="Y191" i="3"/>
  <c r="V191" i="3"/>
  <c r="AH190" i="3"/>
  <c r="AE190" i="3"/>
  <c r="AB190" i="3"/>
  <c r="Y190" i="3"/>
  <c r="V190" i="3"/>
  <c r="AH189" i="3"/>
  <c r="AE189" i="3"/>
  <c r="AB189" i="3"/>
  <c r="Y189" i="3"/>
  <c r="V189" i="3"/>
  <c r="AH188" i="3"/>
  <c r="AE188" i="3"/>
  <c r="AB188" i="3"/>
  <c r="Y188" i="3"/>
  <c r="V188" i="3"/>
  <c r="AH187" i="3"/>
  <c r="AE187" i="3"/>
  <c r="AB187" i="3"/>
  <c r="Y187" i="3"/>
  <c r="V187" i="3"/>
  <c r="AH186" i="3"/>
  <c r="AE186" i="3"/>
  <c r="AB186" i="3"/>
  <c r="Y186" i="3"/>
  <c r="V186" i="3"/>
  <c r="AH185" i="3"/>
  <c r="AE185" i="3"/>
  <c r="AB185" i="3"/>
  <c r="Y185" i="3"/>
  <c r="V185" i="3"/>
  <c r="AH184" i="3"/>
  <c r="AE184" i="3"/>
  <c r="AB184" i="3"/>
  <c r="Y184" i="3"/>
  <c r="V184" i="3"/>
  <c r="AH183" i="3"/>
  <c r="AE183" i="3"/>
  <c r="AB183" i="3"/>
  <c r="Y183" i="3"/>
  <c r="V183" i="3"/>
  <c r="AH182" i="3"/>
  <c r="AE182" i="3"/>
  <c r="AB182" i="3"/>
  <c r="Y182" i="3"/>
  <c r="V182" i="3"/>
  <c r="AH181" i="3"/>
  <c r="AE181" i="3"/>
  <c r="AB181" i="3"/>
  <c r="Y181" i="3"/>
  <c r="V181" i="3"/>
  <c r="AH180" i="3"/>
  <c r="AE180" i="3"/>
  <c r="AB180" i="3"/>
  <c r="Y180" i="3"/>
  <c r="V180" i="3"/>
  <c r="AH179" i="3"/>
  <c r="AE179" i="3"/>
  <c r="AB179" i="3"/>
  <c r="Y179" i="3"/>
  <c r="V179" i="3"/>
  <c r="AH178" i="3"/>
  <c r="AE178" i="3"/>
  <c r="AB178" i="3"/>
  <c r="Y178" i="3"/>
  <c r="V178" i="3"/>
  <c r="AH177" i="3"/>
  <c r="AE177" i="3"/>
  <c r="AB177" i="3"/>
  <c r="Y177" i="3"/>
  <c r="V177" i="3"/>
  <c r="AH176" i="3"/>
  <c r="AE176" i="3"/>
  <c r="AB176" i="3"/>
  <c r="Y176" i="3"/>
  <c r="V176" i="3"/>
  <c r="AE175" i="3"/>
  <c r="AB175" i="3"/>
  <c r="Y175" i="3"/>
  <c r="V175" i="3"/>
  <c r="AH174" i="3"/>
  <c r="AE174" i="3"/>
  <c r="AB174" i="3"/>
  <c r="Y174" i="3"/>
  <c r="AH173" i="3"/>
  <c r="AE173" i="3"/>
  <c r="AB173" i="3"/>
  <c r="Y173" i="3"/>
  <c r="AH172" i="3"/>
  <c r="AE172" i="3"/>
  <c r="AB172" i="3"/>
  <c r="Y172" i="3"/>
  <c r="AH171" i="3"/>
  <c r="AE171" i="3"/>
  <c r="AB171" i="3"/>
  <c r="Y171" i="3"/>
  <c r="AH170" i="3"/>
  <c r="AE170" i="3"/>
  <c r="AB170" i="3"/>
  <c r="Y170" i="3"/>
  <c r="AH169" i="3"/>
  <c r="AE169" i="3"/>
  <c r="AB169" i="3"/>
  <c r="Y169" i="3"/>
  <c r="AH168" i="3"/>
  <c r="AE168" i="3"/>
  <c r="AB168" i="3"/>
  <c r="Y168" i="3"/>
  <c r="AH167" i="3"/>
  <c r="AE167" i="3"/>
  <c r="AB167" i="3"/>
  <c r="Y167" i="3"/>
  <c r="V167" i="3"/>
  <c r="AH166" i="3"/>
  <c r="AE166" i="3"/>
  <c r="AB166" i="3"/>
  <c r="Y166" i="3"/>
  <c r="V166" i="3"/>
  <c r="AH165" i="3"/>
  <c r="AE165" i="3"/>
  <c r="AB165" i="3"/>
  <c r="Y165" i="3"/>
  <c r="AH164" i="3"/>
  <c r="AE164" i="3"/>
  <c r="AB164" i="3"/>
  <c r="Y164" i="3"/>
  <c r="AH163" i="3"/>
  <c r="AE163" i="3"/>
  <c r="AB163" i="3"/>
  <c r="Y163" i="3"/>
  <c r="V163" i="3"/>
  <c r="AH162" i="3"/>
  <c r="AE162" i="3"/>
  <c r="AB162" i="3"/>
  <c r="Y162" i="3"/>
  <c r="V162" i="3"/>
  <c r="AH161" i="3"/>
  <c r="AE161" i="3"/>
  <c r="AB161" i="3"/>
  <c r="Y161" i="3"/>
  <c r="V161" i="3"/>
  <c r="AH160" i="3"/>
  <c r="AE160" i="3"/>
  <c r="AB160" i="3"/>
  <c r="Y160" i="3"/>
  <c r="V160" i="3"/>
  <c r="AH159" i="3"/>
  <c r="AE159" i="3"/>
  <c r="AB159" i="3"/>
  <c r="Y159" i="3"/>
  <c r="V159" i="3"/>
  <c r="AH158" i="3"/>
  <c r="AE158" i="3"/>
  <c r="AB158" i="3"/>
  <c r="Y158" i="3"/>
  <c r="AH157" i="3"/>
  <c r="AE157" i="3"/>
  <c r="AB157" i="3"/>
  <c r="Y157" i="3"/>
  <c r="V157" i="3"/>
  <c r="AH156" i="3"/>
  <c r="AE156" i="3"/>
  <c r="AB156" i="3"/>
  <c r="Y156" i="3"/>
  <c r="V156" i="3"/>
  <c r="AH155" i="3"/>
  <c r="AE155" i="3"/>
  <c r="AB155" i="3"/>
  <c r="Y155" i="3"/>
  <c r="V155" i="3"/>
  <c r="AH154" i="3"/>
  <c r="AE154" i="3"/>
  <c r="AB154" i="3"/>
  <c r="Y154" i="3"/>
  <c r="V154" i="3"/>
  <c r="AH153" i="3"/>
  <c r="AE153" i="3"/>
  <c r="AB153" i="3"/>
  <c r="Y153" i="3"/>
  <c r="V153" i="3"/>
  <c r="AH152" i="3"/>
  <c r="AE152" i="3"/>
  <c r="AB152" i="3"/>
  <c r="Y152" i="3"/>
  <c r="V152" i="3"/>
  <c r="AH151" i="3"/>
  <c r="AE151" i="3"/>
  <c r="AB151" i="3"/>
  <c r="Y151" i="3"/>
  <c r="V151" i="3"/>
  <c r="AH150" i="3"/>
  <c r="AE150" i="3"/>
  <c r="AB150" i="3"/>
  <c r="Y150" i="3"/>
  <c r="V150" i="3"/>
  <c r="AH149" i="3"/>
  <c r="AE149" i="3"/>
  <c r="AB149" i="3"/>
  <c r="Y149" i="3"/>
  <c r="V149" i="3"/>
  <c r="AH148" i="3"/>
  <c r="AE148" i="3"/>
  <c r="AB148" i="3"/>
  <c r="Y148" i="3"/>
  <c r="V148" i="3"/>
  <c r="AH147" i="3"/>
  <c r="AE147" i="3"/>
  <c r="AB147" i="3"/>
  <c r="Y147" i="3"/>
  <c r="V147" i="3"/>
  <c r="AH146" i="3"/>
  <c r="AE146" i="3"/>
  <c r="AB146" i="3"/>
  <c r="Y146" i="3"/>
  <c r="V146" i="3"/>
  <c r="AH145" i="3"/>
  <c r="AE145" i="3"/>
  <c r="AB145" i="3"/>
  <c r="Y145" i="3"/>
  <c r="V145" i="3"/>
  <c r="AH144" i="3"/>
  <c r="AE144" i="3"/>
  <c r="AB144" i="3"/>
  <c r="Y144" i="3"/>
  <c r="V144" i="3"/>
  <c r="AH143" i="3"/>
  <c r="AE143" i="3"/>
  <c r="AB143" i="3"/>
  <c r="Y143" i="3"/>
  <c r="V143" i="3"/>
  <c r="AH142" i="3"/>
  <c r="AE142" i="3"/>
  <c r="AB142" i="3"/>
  <c r="Y142" i="3"/>
  <c r="V142" i="3"/>
  <c r="AH141" i="3"/>
  <c r="AE141" i="3"/>
  <c r="AB141" i="3"/>
  <c r="Y141" i="3"/>
  <c r="V141" i="3"/>
  <c r="AH140" i="3"/>
  <c r="AE140" i="3"/>
  <c r="AB140" i="3"/>
  <c r="Y140" i="3"/>
  <c r="V140" i="3"/>
  <c r="AH139" i="3"/>
  <c r="AE139" i="3"/>
  <c r="AB139" i="3"/>
  <c r="Y139" i="3"/>
  <c r="V139" i="3"/>
  <c r="AH138" i="3"/>
  <c r="AE138" i="3"/>
  <c r="AB138" i="3"/>
  <c r="AH137" i="3"/>
  <c r="AE137" i="3"/>
  <c r="AB137" i="3"/>
  <c r="Y137" i="3"/>
  <c r="AH136" i="3"/>
  <c r="AE136" i="3"/>
  <c r="AB136" i="3"/>
  <c r="Y136" i="3"/>
  <c r="V136" i="3"/>
  <c r="AH135" i="3"/>
  <c r="AE135" i="3"/>
  <c r="AB135" i="3"/>
  <c r="Y135" i="3"/>
  <c r="AH134" i="3"/>
  <c r="AE134" i="3"/>
  <c r="AB134" i="3"/>
  <c r="Y134" i="3"/>
  <c r="V134" i="3"/>
  <c r="AH133" i="3"/>
  <c r="AE133" i="3"/>
  <c r="AB133" i="3"/>
  <c r="Y133" i="3"/>
  <c r="AH132" i="3"/>
  <c r="AE132" i="3"/>
  <c r="AB132" i="3"/>
  <c r="Y132" i="3"/>
  <c r="V132" i="3"/>
  <c r="AH131" i="3"/>
  <c r="AE131" i="3"/>
  <c r="AB131" i="3"/>
  <c r="Y131" i="3"/>
  <c r="V131" i="3"/>
  <c r="AH130" i="3"/>
  <c r="AE130" i="3"/>
  <c r="AB130" i="3"/>
  <c r="Y130" i="3"/>
  <c r="V130" i="3"/>
  <c r="AH129" i="3"/>
  <c r="AE129" i="3"/>
  <c r="AB129" i="3"/>
  <c r="Y129" i="3"/>
  <c r="V129" i="3"/>
  <c r="AH128" i="3"/>
  <c r="AE128" i="3"/>
  <c r="AB128" i="3"/>
  <c r="Y128" i="3"/>
  <c r="V128" i="3"/>
  <c r="AH127" i="3"/>
  <c r="AE127" i="3"/>
  <c r="AB127" i="3"/>
  <c r="Y127" i="3"/>
  <c r="V127" i="3"/>
  <c r="AH126" i="3"/>
  <c r="AE126" i="3"/>
  <c r="AB126" i="3"/>
  <c r="Y126" i="3"/>
  <c r="V126" i="3"/>
  <c r="AH125" i="3"/>
  <c r="AE125" i="3"/>
  <c r="AB125" i="3"/>
  <c r="Y125" i="3"/>
  <c r="V125" i="3"/>
  <c r="AH124" i="3"/>
  <c r="AE124" i="3"/>
  <c r="AB124" i="3"/>
  <c r="Y124" i="3"/>
  <c r="V124" i="3"/>
  <c r="AH123" i="3"/>
  <c r="AE123" i="3"/>
  <c r="AB123" i="3"/>
  <c r="Y123" i="3"/>
  <c r="V123" i="3"/>
  <c r="AH122" i="3"/>
  <c r="AE122" i="3"/>
  <c r="AB122" i="3"/>
  <c r="Y122" i="3"/>
  <c r="V122" i="3"/>
  <c r="AH121" i="3"/>
  <c r="AE121" i="3"/>
  <c r="AB121" i="3"/>
  <c r="Y121" i="3"/>
  <c r="V121" i="3"/>
  <c r="AE120" i="3"/>
  <c r="AB120" i="3"/>
  <c r="Y120" i="3"/>
  <c r="V120" i="3"/>
  <c r="AH119" i="3"/>
  <c r="AE119" i="3"/>
  <c r="AB119" i="3"/>
  <c r="Y119" i="3"/>
  <c r="V119" i="3"/>
  <c r="AH118" i="3"/>
  <c r="AE118" i="3"/>
  <c r="AB118" i="3"/>
  <c r="Y118" i="3"/>
  <c r="AH117" i="3"/>
  <c r="AE117" i="3"/>
  <c r="AB117" i="3"/>
  <c r="Y117" i="3"/>
  <c r="V117" i="3"/>
  <c r="AH116" i="3"/>
  <c r="AE116" i="3"/>
  <c r="AB116" i="3"/>
  <c r="Y116" i="3"/>
  <c r="V116" i="3"/>
  <c r="AH115" i="3"/>
  <c r="AE115" i="3"/>
  <c r="AB115" i="3"/>
  <c r="Y115" i="3"/>
  <c r="V115" i="3"/>
  <c r="AH114" i="3"/>
  <c r="AE114" i="3"/>
  <c r="AB114" i="3"/>
  <c r="Y114" i="3"/>
  <c r="V114" i="3"/>
  <c r="AH113" i="3"/>
  <c r="AE113" i="3"/>
  <c r="AB113" i="3"/>
  <c r="Y113" i="3"/>
  <c r="V113" i="3"/>
  <c r="AH112" i="3"/>
  <c r="AE112" i="3"/>
  <c r="AB112" i="3"/>
  <c r="Y112" i="3"/>
  <c r="V112" i="3"/>
  <c r="AH111" i="3"/>
  <c r="AE111" i="3"/>
  <c r="AB111" i="3"/>
  <c r="Y111" i="3"/>
  <c r="V111" i="3"/>
  <c r="AH110" i="3"/>
  <c r="AE110" i="3"/>
  <c r="AB110" i="3"/>
  <c r="Y110" i="3"/>
  <c r="V110" i="3"/>
  <c r="AH109" i="3"/>
  <c r="AE109" i="3"/>
  <c r="AB109" i="3"/>
  <c r="Y109" i="3"/>
  <c r="V109" i="3"/>
  <c r="AH108" i="3"/>
  <c r="AE108" i="3"/>
  <c r="AB108" i="3"/>
  <c r="Y108" i="3"/>
  <c r="V108" i="3"/>
  <c r="AH107" i="3"/>
  <c r="AE107" i="3"/>
  <c r="AB107" i="3"/>
  <c r="Y107" i="3"/>
  <c r="V107" i="3"/>
  <c r="AH106" i="3"/>
  <c r="AE106" i="3"/>
  <c r="AB106" i="3"/>
  <c r="Y106" i="3"/>
  <c r="V106" i="3"/>
  <c r="AH105" i="3"/>
  <c r="AE105" i="3"/>
  <c r="AB105" i="3"/>
  <c r="Y105" i="3"/>
  <c r="V105" i="3"/>
  <c r="AH104" i="3"/>
  <c r="AE104" i="3"/>
  <c r="AB104" i="3"/>
  <c r="Y104" i="3"/>
  <c r="V104" i="3"/>
  <c r="AH103" i="3"/>
  <c r="AE103" i="3"/>
  <c r="AB103" i="3"/>
  <c r="Y103" i="3"/>
  <c r="V103" i="3"/>
  <c r="AH102" i="3"/>
  <c r="AE102" i="3"/>
  <c r="AB102" i="3"/>
  <c r="Y102" i="3"/>
  <c r="V102" i="3"/>
  <c r="AH101" i="3"/>
  <c r="AE101" i="3"/>
  <c r="AB101" i="3"/>
  <c r="Y101" i="3"/>
  <c r="V101" i="3"/>
  <c r="AH100" i="3"/>
  <c r="AE100" i="3"/>
  <c r="AB100" i="3"/>
  <c r="Y100" i="3"/>
  <c r="V100" i="3"/>
  <c r="AH99" i="3"/>
  <c r="AE99" i="3"/>
  <c r="AB99" i="3"/>
  <c r="Y99" i="3"/>
  <c r="V99" i="3"/>
  <c r="AH98" i="3"/>
  <c r="AE98" i="3"/>
  <c r="AB98" i="3"/>
  <c r="Y98" i="3"/>
  <c r="V98" i="3"/>
  <c r="AH97" i="3"/>
  <c r="AE97" i="3"/>
  <c r="AB97" i="3"/>
  <c r="Y97" i="3"/>
  <c r="V97" i="3"/>
  <c r="AH96" i="3"/>
  <c r="AE96" i="3"/>
  <c r="AB96" i="3"/>
  <c r="Y96" i="3"/>
  <c r="V96" i="3"/>
  <c r="AH95" i="3"/>
  <c r="AE95" i="3"/>
  <c r="AB95" i="3"/>
  <c r="Y95" i="3"/>
  <c r="V95" i="3"/>
  <c r="AH94" i="3"/>
  <c r="AE94" i="3"/>
  <c r="AB94" i="3"/>
  <c r="Y94" i="3"/>
  <c r="V94" i="3"/>
  <c r="AH93" i="3"/>
  <c r="AE93" i="3"/>
  <c r="AB93" i="3"/>
  <c r="Y93" i="3"/>
  <c r="V93" i="3"/>
  <c r="AH92" i="3"/>
  <c r="AE92" i="3"/>
  <c r="AB92" i="3"/>
  <c r="Y92" i="3"/>
  <c r="V92" i="3"/>
  <c r="AH91" i="3"/>
  <c r="AE91" i="3"/>
  <c r="AB91" i="3"/>
  <c r="Y91" i="3"/>
  <c r="V91" i="3"/>
  <c r="AH90" i="3"/>
  <c r="AE90" i="3"/>
  <c r="AB90" i="3"/>
  <c r="Y90" i="3"/>
  <c r="V90" i="3"/>
  <c r="AH89" i="3"/>
  <c r="AE89" i="3"/>
  <c r="AB89" i="3"/>
  <c r="Y89" i="3"/>
  <c r="V89" i="3"/>
  <c r="AH88" i="3"/>
  <c r="AE88" i="3"/>
  <c r="AB88" i="3"/>
  <c r="Y88" i="3"/>
  <c r="V88" i="3"/>
  <c r="AH87" i="3"/>
  <c r="AE87" i="3"/>
  <c r="AB87" i="3"/>
  <c r="Y87" i="3"/>
  <c r="V87" i="3"/>
  <c r="AH86" i="3"/>
  <c r="AE86" i="3"/>
  <c r="AB86" i="3"/>
  <c r="Y86" i="3"/>
  <c r="V86" i="3"/>
  <c r="AH85" i="3"/>
  <c r="AE85" i="3"/>
  <c r="AB85" i="3"/>
  <c r="Y85" i="3"/>
  <c r="V85" i="3"/>
  <c r="AH84" i="3"/>
  <c r="AE84" i="3"/>
  <c r="AB84" i="3"/>
  <c r="Y84" i="3"/>
  <c r="V84" i="3"/>
  <c r="AH83" i="3"/>
  <c r="AE83" i="3"/>
  <c r="AB83" i="3"/>
  <c r="Y83" i="3"/>
  <c r="V83" i="3"/>
  <c r="AH82" i="3"/>
  <c r="AE82" i="3"/>
  <c r="AB82" i="3"/>
  <c r="Y82" i="3"/>
  <c r="V82" i="3"/>
  <c r="AH81" i="3"/>
  <c r="AE81" i="3"/>
  <c r="AB81" i="3"/>
  <c r="Y81" i="3"/>
  <c r="V81" i="3"/>
  <c r="AH80" i="3"/>
  <c r="AE80" i="3"/>
  <c r="AB80" i="3"/>
  <c r="Y80" i="3"/>
  <c r="V80" i="3"/>
  <c r="AH79" i="3"/>
  <c r="AE79" i="3"/>
  <c r="AB79" i="3"/>
  <c r="Y79" i="3"/>
  <c r="V79" i="3"/>
  <c r="AH78" i="3"/>
  <c r="AE78" i="3"/>
  <c r="AB78" i="3"/>
  <c r="Y78" i="3"/>
  <c r="V78" i="3"/>
  <c r="AH77" i="3"/>
  <c r="AE77" i="3"/>
  <c r="AB77" i="3"/>
  <c r="Y77" i="3"/>
  <c r="V77" i="3"/>
  <c r="AH76" i="3"/>
  <c r="AE76" i="3"/>
  <c r="AB76" i="3"/>
  <c r="Y76" i="3"/>
  <c r="V76" i="3"/>
  <c r="AH75" i="3"/>
  <c r="AE75" i="3"/>
  <c r="AB75" i="3"/>
  <c r="Y75" i="3"/>
  <c r="V75" i="3"/>
  <c r="AH74" i="3"/>
  <c r="AE74" i="3"/>
  <c r="AB74" i="3"/>
  <c r="Y74" i="3"/>
  <c r="V74" i="3"/>
  <c r="AH73" i="3"/>
  <c r="AE73" i="3"/>
  <c r="AB73" i="3"/>
  <c r="Y73" i="3"/>
  <c r="V73" i="3"/>
  <c r="AH72" i="3"/>
  <c r="AE72" i="3"/>
  <c r="AB72" i="3"/>
  <c r="Y72" i="3"/>
  <c r="V72" i="3"/>
  <c r="AH71" i="3"/>
  <c r="AE71" i="3"/>
  <c r="AB71" i="3"/>
  <c r="Y71" i="3"/>
  <c r="V71" i="3"/>
  <c r="AH70" i="3"/>
  <c r="AE70" i="3"/>
  <c r="AB70" i="3"/>
  <c r="Y70" i="3"/>
  <c r="V70" i="3"/>
  <c r="AH69" i="3"/>
  <c r="AE69" i="3"/>
  <c r="AB69" i="3"/>
  <c r="Y69" i="3"/>
  <c r="V69" i="3"/>
  <c r="AH68" i="3"/>
  <c r="AE68" i="3"/>
  <c r="AB68" i="3"/>
  <c r="Y68" i="3"/>
  <c r="AH67" i="3"/>
  <c r="AE67" i="3"/>
  <c r="AB67" i="3"/>
  <c r="Y67" i="3"/>
  <c r="AH66" i="3"/>
  <c r="AE66" i="3"/>
  <c r="AB66" i="3"/>
  <c r="Y66" i="3"/>
  <c r="V66" i="3"/>
  <c r="AH65" i="3"/>
  <c r="AE65" i="3"/>
  <c r="AB65" i="3"/>
  <c r="Y65" i="3"/>
  <c r="V65" i="3"/>
  <c r="AH64" i="3"/>
  <c r="AE64" i="3"/>
  <c r="AB64" i="3"/>
  <c r="Y64" i="3"/>
  <c r="V64" i="3"/>
  <c r="AH63" i="3"/>
  <c r="AE63" i="3"/>
  <c r="AB63" i="3"/>
  <c r="Y63" i="3"/>
  <c r="V63" i="3"/>
  <c r="AH62" i="3"/>
  <c r="AE62" i="3"/>
  <c r="AB62" i="3"/>
  <c r="Y62" i="3"/>
  <c r="V62" i="3"/>
  <c r="AH61" i="3"/>
  <c r="AE61" i="3"/>
  <c r="AB61" i="3"/>
  <c r="Y61" i="3"/>
  <c r="V61" i="3"/>
  <c r="AH60" i="3"/>
  <c r="AE60" i="3"/>
  <c r="AB60" i="3"/>
  <c r="Y60" i="3"/>
  <c r="V60" i="3"/>
  <c r="AH59" i="3"/>
  <c r="AE59" i="3"/>
  <c r="AB59" i="3"/>
  <c r="Y59" i="3"/>
  <c r="V59" i="3"/>
  <c r="AH58" i="3"/>
  <c r="AE58" i="3"/>
  <c r="AB58" i="3"/>
  <c r="Y58" i="3"/>
  <c r="V58" i="3"/>
  <c r="AH57" i="3"/>
  <c r="AE57" i="3"/>
  <c r="AB57" i="3"/>
  <c r="Y57" i="3"/>
  <c r="V57" i="3"/>
  <c r="AH56" i="3"/>
  <c r="AE56" i="3"/>
  <c r="AB56" i="3"/>
  <c r="Y56" i="3"/>
  <c r="V56" i="3"/>
  <c r="AH55" i="3"/>
  <c r="AE55" i="3"/>
  <c r="AB55" i="3"/>
  <c r="Y55" i="3"/>
  <c r="V55" i="3"/>
  <c r="AH54" i="3"/>
  <c r="AE54" i="3"/>
  <c r="AB54" i="3"/>
  <c r="Y54" i="3"/>
  <c r="V54" i="3"/>
  <c r="AH53" i="3"/>
  <c r="AE53" i="3"/>
  <c r="AB53" i="3"/>
  <c r="Y53" i="3"/>
  <c r="AH52" i="3"/>
  <c r="AE52" i="3"/>
  <c r="AB52" i="3"/>
  <c r="Y52" i="3"/>
  <c r="V52" i="3"/>
  <c r="AH51" i="3"/>
  <c r="AE51" i="3"/>
  <c r="AB51" i="3"/>
  <c r="Y51" i="3"/>
  <c r="AH50" i="3"/>
  <c r="AE50" i="3"/>
  <c r="AB50" i="3"/>
  <c r="Y50" i="3"/>
  <c r="AH49" i="3"/>
  <c r="AE49" i="3"/>
  <c r="AB49" i="3"/>
  <c r="Y49" i="3"/>
  <c r="AH48" i="3"/>
  <c r="AE48" i="3"/>
  <c r="AB48" i="3"/>
  <c r="Y48" i="3"/>
  <c r="AH47" i="3"/>
  <c r="AE47" i="3"/>
  <c r="AB47" i="3"/>
  <c r="Y47" i="3"/>
  <c r="AH46" i="3"/>
  <c r="AE46" i="3"/>
  <c r="AB46" i="3"/>
  <c r="Y46" i="3"/>
  <c r="AH45" i="3"/>
  <c r="AE45" i="3"/>
  <c r="AB45" i="3"/>
  <c r="Y45" i="3"/>
  <c r="AH44" i="3"/>
  <c r="AE44" i="3"/>
  <c r="AB44" i="3"/>
  <c r="Y44" i="3"/>
  <c r="V44" i="3"/>
  <c r="AH43" i="3"/>
  <c r="AE43" i="3"/>
  <c r="AB43" i="3"/>
  <c r="Y43" i="3"/>
  <c r="V43" i="3"/>
  <c r="AH42" i="3"/>
  <c r="AE42" i="3"/>
  <c r="AB42" i="3"/>
  <c r="Y42" i="3"/>
  <c r="V42" i="3"/>
  <c r="AH41" i="3"/>
  <c r="AE41" i="3"/>
  <c r="AB41" i="3"/>
  <c r="Y41" i="3"/>
  <c r="V41" i="3"/>
  <c r="AH40" i="3"/>
  <c r="AE40" i="3"/>
  <c r="AB40" i="3"/>
  <c r="Y40" i="3"/>
  <c r="V40" i="3"/>
  <c r="AH39" i="3"/>
  <c r="AE39" i="3"/>
  <c r="AB39" i="3"/>
  <c r="Y39" i="3"/>
  <c r="V39" i="3"/>
  <c r="AH38" i="3"/>
  <c r="AE38" i="3"/>
  <c r="AB38" i="3"/>
  <c r="Y38" i="3"/>
  <c r="AH37" i="3"/>
  <c r="AE37" i="3"/>
  <c r="AB37" i="3"/>
  <c r="Y37" i="3"/>
  <c r="V37" i="3"/>
  <c r="AH36" i="3"/>
  <c r="AE36" i="3"/>
  <c r="AB36" i="3"/>
  <c r="Y36" i="3"/>
  <c r="V36" i="3"/>
  <c r="AH35" i="3"/>
  <c r="AE35" i="3"/>
  <c r="AB35" i="3"/>
  <c r="Y35" i="3"/>
  <c r="V35" i="3"/>
  <c r="AE34" i="3"/>
  <c r="Y34" i="3"/>
  <c r="V34" i="3"/>
  <c r="AH33" i="3"/>
  <c r="AE33" i="3"/>
  <c r="AB33" i="3"/>
  <c r="Y33" i="3"/>
  <c r="V33" i="3"/>
  <c r="AH32" i="3"/>
  <c r="AE32" i="3"/>
  <c r="AB32" i="3"/>
  <c r="Y32" i="3"/>
  <c r="V32" i="3"/>
  <c r="AH31" i="3"/>
  <c r="AE31" i="3"/>
  <c r="AB31" i="3"/>
  <c r="Y31" i="3"/>
  <c r="V31" i="3"/>
  <c r="AH30" i="3"/>
  <c r="AE30" i="3"/>
  <c r="AB30" i="3"/>
  <c r="Y30" i="3"/>
  <c r="V30" i="3"/>
  <c r="AH29" i="3"/>
  <c r="AE29" i="3"/>
  <c r="AB29" i="3"/>
  <c r="Y29" i="3"/>
  <c r="V29" i="3"/>
  <c r="AH28" i="3"/>
  <c r="AE28" i="3"/>
  <c r="AB28" i="3"/>
  <c r="Y28" i="3"/>
  <c r="V28" i="3"/>
  <c r="AH27" i="3"/>
  <c r="AE27" i="3"/>
  <c r="AB27" i="3"/>
  <c r="Y27" i="3"/>
  <c r="V27" i="3"/>
  <c r="AH26" i="3"/>
  <c r="AE26" i="3"/>
  <c r="AB26" i="3"/>
  <c r="Y26" i="3"/>
  <c r="V26" i="3"/>
  <c r="AH25" i="3"/>
  <c r="AE25" i="3"/>
  <c r="AB25" i="3"/>
  <c r="Y25" i="3"/>
  <c r="AH24" i="3"/>
  <c r="AE24" i="3"/>
  <c r="AB24" i="3"/>
  <c r="Y24" i="3"/>
  <c r="V24" i="3"/>
  <c r="AH23" i="3"/>
  <c r="AE23" i="3"/>
  <c r="AB23" i="3"/>
  <c r="Y23" i="3"/>
  <c r="V23" i="3"/>
  <c r="AH22" i="3"/>
  <c r="AE22" i="3"/>
  <c r="AB22" i="3"/>
  <c r="Y22" i="3"/>
  <c r="V22" i="3"/>
  <c r="AE21" i="3"/>
  <c r="Y21" i="3"/>
  <c r="V21" i="3"/>
  <c r="AH20" i="3"/>
  <c r="AE20" i="3"/>
  <c r="AB20" i="3"/>
  <c r="Y20" i="3"/>
  <c r="V20" i="3"/>
  <c r="AH19" i="3"/>
  <c r="AE19" i="3"/>
  <c r="AB19" i="3"/>
  <c r="Y19" i="3"/>
  <c r="V19" i="3"/>
  <c r="AE18" i="3"/>
  <c r="AB18" i="3"/>
  <c r="Y18" i="3"/>
  <c r="V18" i="3"/>
  <c r="AH17" i="3"/>
  <c r="AE17" i="3"/>
  <c r="AB17" i="3"/>
  <c r="Y17" i="3"/>
  <c r="V17" i="3"/>
  <c r="AH16" i="3"/>
  <c r="AE16" i="3"/>
  <c r="AB16" i="3"/>
  <c r="Y16" i="3"/>
  <c r="V16" i="3"/>
  <c r="AH15" i="3"/>
  <c r="AE15" i="3"/>
  <c r="AB15" i="3"/>
  <c r="Y15" i="3"/>
  <c r="V15" i="3"/>
  <c r="AE14" i="3"/>
  <c r="AB14" i="3"/>
  <c r="Y14" i="3"/>
  <c r="V14" i="3"/>
  <c r="AE13" i="3"/>
  <c r="AB13" i="3"/>
  <c r="Y13" i="3"/>
  <c r="V13" i="3"/>
  <c r="AE12" i="3"/>
  <c r="AB12" i="3"/>
  <c r="Y12" i="3"/>
  <c r="V12" i="3"/>
  <c r="AE11" i="3"/>
  <c r="AB11" i="3"/>
  <c r="Y11" i="3"/>
  <c r="V11" i="3"/>
  <c r="AE10" i="3"/>
  <c r="AB10" i="3"/>
  <c r="Y10" i="3"/>
  <c r="V10" i="3"/>
  <c r="AE9" i="3"/>
  <c r="AB9" i="3"/>
  <c r="Y9" i="3"/>
  <c r="V9" i="3"/>
  <c r="AE8" i="3"/>
  <c r="AB8" i="3"/>
  <c r="Y8" i="3"/>
  <c r="V8" i="3"/>
  <c r="AE7" i="3"/>
  <c r="AB7" i="3"/>
  <c r="Y7" i="3"/>
  <c r="V7" i="3"/>
  <c r="AE6" i="3"/>
  <c r="AB6" i="3"/>
  <c r="Y6" i="3"/>
  <c r="V6" i="3"/>
  <c r="AE5" i="3"/>
  <c r="AB5" i="3"/>
  <c r="Y5" i="3"/>
  <c r="V5" i="3"/>
  <c r="AH222" i="3" l="1"/>
  <c r="AF282" i="3"/>
  <c r="AG282" i="3"/>
  <c r="AH18" i="3"/>
  <c r="AH233" i="3"/>
  <c r="AH268" i="3"/>
  <c r="AH192" i="3"/>
  <c r="AH34" i="3"/>
  <c r="AH278" i="3"/>
  <c r="AH274" i="3"/>
  <c r="AH272" i="3"/>
  <c r="AH270" i="3"/>
  <c r="AH266" i="3"/>
  <c r="AH264" i="3"/>
  <c r="AH262" i="3"/>
  <c r="AH260" i="3"/>
  <c r="AH258" i="3"/>
  <c r="AH252" i="3"/>
  <c r="AH250" i="3"/>
  <c r="AH248" i="3"/>
  <c r="AH246" i="3"/>
  <c r="AH244" i="3"/>
  <c r="AH242" i="3"/>
  <c r="AH240" i="3"/>
  <c r="AH238" i="3"/>
  <c r="AH236" i="3"/>
  <c r="AH234" i="3"/>
  <c r="AH232" i="3"/>
  <c r="AH230" i="3"/>
  <c r="AH218" i="3"/>
  <c r="AH216" i="3"/>
  <c r="AH214" i="3"/>
  <c r="AH212" i="3"/>
  <c r="AH210" i="3"/>
  <c r="AH208" i="3"/>
  <c r="AH206" i="3"/>
  <c r="AH204" i="3"/>
  <c r="AH202" i="3"/>
  <c r="AH200" i="3"/>
  <c r="AH198" i="3"/>
  <c r="AH196" i="3"/>
  <c r="AH194" i="3"/>
  <c r="AH7" i="3"/>
  <c r="AH5" i="3"/>
  <c r="AH273" i="3"/>
  <c r="AH271" i="3"/>
  <c r="AH269" i="3"/>
  <c r="AH267" i="3"/>
  <c r="AH265" i="3"/>
  <c r="AH263" i="3"/>
  <c r="AH261" i="3"/>
  <c r="AH259" i="3"/>
  <c r="AH257" i="3"/>
  <c r="AH253" i="3"/>
  <c r="AH251" i="3"/>
  <c r="AH249" i="3"/>
  <c r="AH247" i="3"/>
  <c r="AH245" i="3"/>
  <c r="AH243" i="3"/>
  <c r="AH241" i="3"/>
  <c r="AH239" i="3"/>
  <c r="AH237" i="3"/>
  <c r="AH235" i="3"/>
  <c r="AH231" i="3"/>
  <c r="AH221" i="3"/>
  <c r="AH219" i="3"/>
  <c r="AH217" i="3"/>
  <c r="AH215" i="3"/>
  <c r="AH213" i="3"/>
  <c r="AH211" i="3"/>
  <c r="AH209" i="3"/>
  <c r="AH207" i="3"/>
  <c r="AH205" i="3"/>
  <c r="AH203" i="3"/>
  <c r="AH201" i="3"/>
  <c r="AH199" i="3"/>
  <c r="AH197" i="3"/>
  <c r="AH195" i="3"/>
  <c r="AH193" i="3"/>
  <c r="AH191" i="3"/>
  <c r="AH175" i="3"/>
  <c r="AH120" i="3"/>
  <c r="AH21" i="3"/>
  <c r="AH281" i="3"/>
  <c r="AH282"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Adriana Esther Castillo Bolaño</author>
  </authors>
  <commentList>
    <comment ref="AX4" authorId="0" shapeId="0" xr:uid="{E4F61FC1-8173-4EA2-ACD8-71D38B769BEE}">
      <text>
        <r>
          <rPr>
            <b/>
            <sz val="9"/>
            <color indexed="81"/>
            <rFont val="Tahoma"/>
          </rPr>
          <t>Adriana Esther Castillo Bolaño:</t>
        </r>
        <r>
          <rPr>
            <sz val="9"/>
            <color indexed="81"/>
            <rFont val="Tahoma"/>
          </rPr>
          <t xml:space="preserve">
NOMBRE COMPLETO</t>
        </r>
      </text>
    </comment>
    <comment ref="AY4" authorId="0" shapeId="0" xr:uid="{9B28A29D-FB20-4858-9906-3AEE667509D0}">
      <text>
        <r>
          <rPr>
            <b/>
            <sz val="9"/>
            <color indexed="81"/>
            <rFont val="Tahoma"/>
          </rPr>
          <t>Adriana Esther Castillo Bolaño:</t>
        </r>
        <r>
          <rPr>
            <sz val="9"/>
            <color indexed="81"/>
            <rFont val="Tahoma"/>
          </rPr>
          <t xml:space="preserve">
PLANTA / CONTRATISTA</t>
        </r>
      </text>
    </comment>
    <comment ref="P248" authorId="0" shapeId="0" xr:uid="{0586D0CF-F235-4008-ACE9-FCE4CB1FCD65}">
      <text>
        <r>
          <rPr>
            <b/>
            <sz val="9"/>
            <color indexed="81"/>
            <rFont val="Tahoma"/>
            <family val="2"/>
          </rPr>
          <t>Adriana Esther Castillo Bolaño:</t>
        </r>
        <r>
          <rPr>
            <sz val="9"/>
            <color indexed="81"/>
            <rFont val="Tahoma"/>
            <family val="2"/>
          </rPr>
          <t xml:space="preserve">
QUEDO A ACARGO DE MARCO DONADO Y JUAN SIERRA </t>
        </r>
      </text>
    </comment>
  </commentList>
</comments>
</file>

<file path=xl/sharedStrings.xml><?xml version="1.0" encoding="utf-8"?>
<sst xmlns="http://schemas.openxmlformats.org/spreadsheetml/2006/main" count="11353" uniqueCount="2399">
  <si>
    <t>INSTRUCTIVO  "PLANEACIÓN INTEGRAL PARA LA SALUD" - PLAN TERRITORIAL DE SALUD "PTS"</t>
  </si>
  <si>
    <t xml:space="preserve">MINISTERIO DE SALUD Y PROTECCION SOCIAL - DIRECCIÓN DE EPIDEMIOLOGÍA Y DEMOGRAFÍA
GRUPO DE PLANEACION DE SALUD PÚBLICA </t>
  </si>
  <si>
    <t>PLAN DECENAL DE SALUD PÚBLICA "PDSP 2022-2031"</t>
  </si>
  <si>
    <t>Nota: Todas las columnas de tipo texto deben tener una extensión de mínimo 10 caracteres, registre el año de la vigencia y el trimestre a reportar</t>
  </si>
  <si>
    <t xml:space="preserve">V. PLAN DE ACCIÓN EN SALUD </t>
  </si>
  <si>
    <t>tipo de dato</t>
  </si>
  <si>
    <t>Observación</t>
  </si>
  <si>
    <r>
      <rPr>
        <b/>
        <sz val="11"/>
        <color theme="1"/>
        <rFont val="Arial"/>
        <family val="2"/>
      </rPr>
      <t xml:space="preserve">0. Id Actividad: </t>
    </r>
    <r>
      <rPr>
        <sz val="11"/>
        <color theme="1"/>
        <rFont val="Arial"/>
        <family val="2"/>
      </rPr>
      <t>Número consecutivo identificador único de la actividad.</t>
    </r>
  </si>
  <si>
    <t>Número entero</t>
  </si>
  <si>
    <t>En el caso de las actividades asociadas a varias fuentes de financiación, se debe repetir la fila y el unico valor que cambia es la nueva fuente de financiación y su respectivo código de fuente</t>
  </si>
  <si>
    <r>
      <rPr>
        <b/>
        <sz val="11"/>
        <color theme="1"/>
        <rFont val="Arial"/>
        <family val="2"/>
      </rPr>
      <t>1. Núcleo de inequidad socio sanitaria:</t>
    </r>
    <r>
      <rPr>
        <sz val="11"/>
        <color theme="1"/>
        <rFont val="Arial"/>
        <family val="2"/>
      </rPr>
      <t xml:space="preserve"> Coloque  la redacción corta del Núcleo de Inequidad Sociosanitaria</t>
    </r>
  </si>
  <si>
    <t>Texto Maximo 4000 caracteres</t>
  </si>
  <si>
    <r>
      <rPr>
        <b/>
        <sz val="11"/>
        <color theme="1"/>
        <rFont val="Arial"/>
        <family val="2"/>
      </rPr>
      <t>2. Eje PDSP 2022-2031</t>
    </r>
    <r>
      <rPr>
        <sz val="11"/>
        <color theme="1"/>
        <rFont val="Arial"/>
        <family val="2"/>
      </rPr>
      <t>: Seleccione el eje estratégico del PDSP 2022-2031</t>
    </r>
  </si>
  <si>
    <t>Lista desplegable</t>
  </si>
  <si>
    <r>
      <rPr>
        <b/>
        <sz val="11"/>
        <color theme="1"/>
        <rFont val="Arial"/>
        <family val="2"/>
      </rPr>
      <t>3. Pilares del modelo salud preventivo, predictivo y resolutivo</t>
    </r>
    <r>
      <rPr>
        <sz val="11"/>
        <color theme="1"/>
        <rFont val="Arial"/>
        <family val="2"/>
      </rPr>
      <t xml:space="preserve">: Selección el pilar del modelo de salud preventivo, predictivo y resolutivo que le apunta al eje estratégico del PDSP 2022-2031, que seleccionó anteriormente. </t>
    </r>
  </si>
  <si>
    <t>Los valores de esta lista dependen del eje seleccionado</t>
  </si>
  <si>
    <r>
      <rPr>
        <b/>
        <sz val="11"/>
        <color theme="1"/>
        <rFont val="Arial"/>
        <family val="2"/>
      </rPr>
      <t>4. Resultado esperado por eje PDSP 2022-2031:</t>
    </r>
    <r>
      <rPr>
        <sz val="11"/>
        <color theme="1"/>
        <rFont val="Arial"/>
        <family val="2"/>
      </rPr>
      <t xml:space="preserve"> De acuerdo con el eje estratégico del PDSP 2022-2031 seleccione el resultado esperado correspondiente.</t>
    </r>
  </si>
  <si>
    <t>Los valores de esta lista dependen del pilar seleccionado</t>
  </si>
  <si>
    <r>
      <rPr>
        <b/>
        <sz val="11"/>
        <color theme="1"/>
        <rFont val="Arial"/>
        <family val="2"/>
      </rPr>
      <t>5. Estrategia del Plan Territorial de Salud</t>
    </r>
    <r>
      <rPr>
        <sz val="11"/>
        <color theme="1"/>
        <rFont val="Arial"/>
        <family val="2"/>
      </rPr>
      <t xml:space="preserve">: Escriba la estrategia del Plan territorial de Salud a la que va a apuntar, teniendo en cuenta el nucleo de inequidad socio sanitaria y que guarde coherencia con la actividad que se define en el numeral 9 de la misma fila </t>
    </r>
  </si>
  <si>
    <r>
      <rPr>
        <b/>
        <sz val="11"/>
        <color theme="1"/>
        <rFont val="Arial"/>
        <family val="2"/>
      </rPr>
      <t>6. Meta estratégica el PDSP 2022-2031:</t>
    </r>
    <r>
      <rPr>
        <sz val="11"/>
        <color theme="1"/>
        <rFont val="Arial"/>
        <family val="2"/>
      </rPr>
      <t xml:space="preserve"> Seleccione en la lista desplegable la meta estratégica acorde al eje estratégico del PDSP a la cual aporta la actividad definida. Tenga en cuenta que debe ser coherente con el nucleo de inequidad socio sanitaria</t>
    </r>
  </si>
  <si>
    <r>
      <rPr>
        <b/>
        <sz val="11"/>
        <color theme="1"/>
        <rFont val="Arial"/>
        <family val="2"/>
      </rPr>
      <t>6.1 Meta estratégica del PTS adaptada al territorio:</t>
    </r>
    <r>
      <rPr>
        <sz val="11"/>
        <color theme="1"/>
        <rFont val="Arial"/>
        <family val="2"/>
      </rPr>
      <t xml:space="preserve"> Escriba la meta estratégica del Plan territorial de salud correspondiente. Tenga en cuenta que esta debe ser adaptada al territorio, coherente con la meta estratégica del PDSP 2022-2031 y debe apuntar al nucleo de inequidad.</t>
    </r>
  </si>
  <si>
    <r>
      <rPr>
        <b/>
        <sz val="11"/>
        <color theme="1"/>
        <rFont val="Arial"/>
        <family val="2"/>
      </rPr>
      <t xml:space="preserve">7. Meta de resultado en salud del PDSP 2022-2031: </t>
    </r>
    <r>
      <rPr>
        <sz val="11"/>
        <color theme="1"/>
        <rFont val="Arial"/>
        <family val="2"/>
      </rPr>
      <t>Seleccione en la lista desplegable la meta de resultado del PDSP 2022-2031 a la que apunta la actividad definida. Tenga en cuenta que debe ser coherente con el nucleo de inequidad socio sanitaria</t>
    </r>
  </si>
  <si>
    <r>
      <rPr>
        <b/>
        <sz val="11"/>
        <color theme="1"/>
        <rFont val="Arial"/>
        <family val="2"/>
      </rPr>
      <t>7.1. Meta de resultado en salud del PTS adaptada al territorio:</t>
    </r>
    <r>
      <rPr>
        <sz val="11"/>
        <color theme="1"/>
        <rFont val="Arial"/>
        <family val="2"/>
      </rPr>
      <t xml:space="preserve"> Escriba la meta de resultado del Plan territorial de salud correspondiente. Tenga en cuenta que esta debe ser adaptada al territorio, coherente con la meta de resultado del PDSP 2022-2031 y debe apuntar al nucleo de inequidad.</t>
    </r>
  </si>
  <si>
    <r>
      <rPr>
        <b/>
        <sz val="11"/>
        <color theme="1"/>
        <rFont val="Arial"/>
        <family val="2"/>
      </rPr>
      <t>8. Programa:</t>
    </r>
    <r>
      <rPr>
        <sz val="11"/>
        <color theme="1"/>
        <rFont val="Arial"/>
        <family val="2"/>
      </rPr>
      <t xml:space="preserve"> Registre el nombre del programa del Plan Territorial de Salud-PTS a ejecutar en el periodo de gobierno, cuyo logro contribuirá a alcanzar las metas sanitarias. (Salud Pública, Inspección, Vigilancia y Control, Aseguramiento y Prestación de Servicios). DNP Catalogo de Productos. </t>
    </r>
  </si>
  <si>
    <r>
      <rPr>
        <b/>
        <sz val="11"/>
        <color theme="1"/>
        <rFont val="Arial"/>
        <family val="2"/>
      </rPr>
      <t xml:space="preserve">9. Subrograma: </t>
    </r>
    <r>
      <rPr>
        <sz val="11"/>
        <color theme="1"/>
        <rFont val="Arial"/>
        <family val="2"/>
      </rPr>
      <t xml:space="preserve">Escriba el nombre del subprograma del Plan territorial de salud que corresponde a ejecutar en el periodo de gobierno y que sea  coherente con la estrategia y la actividad definida. Para aquellos territorios que no cuenten con subprograma registre " No aplica"  </t>
    </r>
  </si>
  <si>
    <r>
      <rPr>
        <b/>
        <sz val="11"/>
        <color theme="1"/>
        <rFont val="Arial"/>
        <family val="2"/>
      </rPr>
      <t>10. Proyecto BPI:</t>
    </r>
    <r>
      <rPr>
        <sz val="11"/>
        <color theme="1"/>
        <rFont val="Arial"/>
        <family val="2"/>
      </rPr>
      <t xml:space="preserve"> Corresponde al nombre del Proyecto de Inversión registrado en el banco de programas y proyectos de inversión territorial y que está programado para la correspondiente vigencia fiscal. </t>
    </r>
  </si>
  <si>
    <r>
      <rPr>
        <b/>
        <sz val="11"/>
        <color theme="1"/>
        <rFont val="Arial"/>
        <family val="2"/>
      </rPr>
      <t>11. Meta de Producto:</t>
    </r>
    <r>
      <rPr>
        <sz val="11"/>
        <color theme="1"/>
        <rFont val="Arial"/>
        <family val="2"/>
      </rPr>
      <t xml:space="preserve"> Escriba la meta de producto teniendo en cuenta el Catalogo de productos de Metodologia General Ajustada-MGA del Departamento Nacional de Planeación. </t>
    </r>
  </si>
  <si>
    <r>
      <rPr>
        <b/>
        <sz val="11"/>
        <color theme="1"/>
        <rFont val="Arial"/>
        <family val="2"/>
      </rPr>
      <t xml:space="preserve">12. Línea Operativa PDSP 2022-2031: </t>
    </r>
    <r>
      <rPr>
        <sz val="11"/>
        <color theme="1"/>
        <rFont val="Arial"/>
        <family val="2"/>
      </rPr>
      <t xml:space="preserve">Seleccione de la lista despelagable la linea operativa correspondiente. Tenga en cuenta que esta sea coherente con la actividad definida. </t>
    </r>
  </si>
  <si>
    <r>
      <rPr>
        <b/>
        <sz val="11"/>
        <color theme="1"/>
        <rFont val="Arial"/>
        <family val="2"/>
      </rPr>
      <t xml:space="preserve">13. Gestion territorial integral para la salud pública: </t>
    </r>
    <r>
      <rPr>
        <sz val="11"/>
        <color theme="1"/>
        <rFont val="Arial"/>
        <family val="2"/>
      </rPr>
      <t xml:space="preserve">Seleccione de la lista desplegable el tipo de actividad que va a desarrollar según corresponda ( Plan de Intervenciones Colectivas, Procesos Transversales de la Gestión de la Salud Pública, No Aplica) </t>
    </r>
  </si>
  <si>
    <r>
      <rPr>
        <b/>
        <sz val="11"/>
        <color theme="1"/>
        <rFont val="Arial"/>
        <family val="2"/>
      </rPr>
      <t xml:space="preserve">14. Actividad: </t>
    </r>
    <r>
      <rPr>
        <sz val="11"/>
        <color theme="1"/>
        <rFont val="Arial"/>
        <family val="2"/>
      </rPr>
      <t xml:space="preserve">Escriba la actividad que va a desarrollar que apunte a resolver o mitigar el nucleo de inequidad en salud, y que sea coherente con la estrategia, el programa, el subprograma y el proyecto. Recuerde que la actividad debe tener verbo en infinitivo+objeto directo+frase descriptiva ( ejemplo: Desarrollar  taller práctico con el talento humano de IPS del municipio en la identificación del riesgo cardiovascular y metabólico y en asesoría según perfil de riesgo). </t>
    </r>
    <r>
      <rPr>
        <b/>
        <sz val="11"/>
        <color theme="1"/>
        <rFont val="Arial"/>
        <family val="2"/>
      </rPr>
      <t>Si una actividad tiene más de una fuente de financiación, a partir del segundo registro de la misma actividad, NO diligencie las casillas 15,16,17 y 18.</t>
    </r>
  </si>
  <si>
    <r>
      <rPr>
        <b/>
        <sz val="11"/>
        <color theme="1"/>
        <rFont val="Arial"/>
        <family val="2"/>
      </rPr>
      <t>15. Cantidad:</t>
    </r>
    <r>
      <rPr>
        <sz val="11"/>
        <color theme="1"/>
        <rFont val="Arial"/>
        <family val="2"/>
      </rPr>
      <t xml:space="preserve"> Escriba el numero de actividades que se van a realizar en la vigencia. </t>
    </r>
  </si>
  <si>
    <r>
      <rPr>
        <b/>
        <sz val="11"/>
        <color theme="1"/>
        <rFont val="Arial"/>
        <family val="2"/>
      </rPr>
      <t xml:space="preserve">16. Unidad de medida: </t>
    </r>
    <r>
      <rPr>
        <sz val="11"/>
        <color theme="1"/>
        <rFont val="Arial"/>
        <family val="2"/>
      </rPr>
      <t>Escriba el objeto a cuantificar de la actividad propuesta. Ejemplo: Asistencias tecnicas, jornadas, capacitaciones, sesiones, personas, etc…</t>
    </r>
  </si>
  <si>
    <t>Texto Maximo 500 caracteres</t>
  </si>
  <si>
    <r>
      <rPr>
        <b/>
        <sz val="11"/>
        <color theme="1"/>
        <rFont val="Arial"/>
        <family val="2"/>
      </rPr>
      <t xml:space="preserve">17. Actividades seguimiento: </t>
    </r>
    <r>
      <rPr>
        <sz val="11"/>
        <color theme="1"/>
        <rFont val="Arial"/>
        <family val="2"/>
      </rPr>
      <t xml:space="preserve">
</t>
    </r>
    <r>
      <rPr>
        <u/>
        <sz val="11"/>
        <color theme="1"/>
        <rFont val="Arial"/>
        <family val="2"/>
      </rPr>
      <t>Programado</t>
    </r>
    <r>
      <rPr>
        <sz val="11"/>
        <color theme="1"/>
        <rFont val="Arial"/>
        <family val="2"/>
      </rPr>
      <t xml:space="preserve">: Ingrese el número de actividades programadas para cada trimestre.
</t>
    </r>
    <r>
      <rPr>
        <u/>
        <sz val="11"/>
        <color theme="1"/>
        <rFont val="Arial"/>
        <family val="2"/>
      </rPr>
      <t>Ejecutado:</t>
    </r>
    <r>
      <rPr>
        <sz val="11"/>
        <color theme="1"/>
        <rFont val="Arial"/>
        <family val="2"/>
      </rPr>
      <t xml:space="preserve"> Ingrese el número de actividades ejecutadas por trimestre.
</t>
    </r>
    <r>
      <rPr>
        <u/>
        <sz val="11"/>
        <color theme="1"/>
        <rFont val="Arial"/>
        <family val="2"/>
      </rPr>
      <t>% cumplimiento trimestra</t>
    </r>
    <r>
      <rPr>
        <sz val="11"/>
        <color theme="1"/>
        <rFont val="Arial"/>
        <family val="2"/>
      </rPr>
      <t xml:space="preserve">l: Esta casilla no debe diligenciarse, el cálculo se hace de forma automática. Expresa la proporción de actividades ejecutadas en cada trimestre que le brindará el resultado semaforizado.
</t>
    </r>
    <r>
      <rPr>
        <u/>
        <sz val="11"/>
        <color theme="1"/>
        <rFont val="Arial"/>
        <family val="2"/>
      </rPr>
      <t>Programado total</t>
    </r>
    <r>
      <rPr>
        <sz val="11"/>
        <color theme="1"/>
        <rFont val="Arial"/>
        <family val="2"/>
      </rPr>
      <t xml:space="preserve">: Esta casilla no debe diligenciarse, el cálculo se hace de forma automática. Corresponde a la sumatoria acumulada de actividades programadas en cada trimestre. El número debe ser igual al total de actividades para el año ingresado en la variable 15.
</t>
    </r>
    <r>
      <rPr>
        <u/>
        <sz val="11"/>
        <color theme="1"/>
        <rFont val="Arial"/>
        <family val="2"/>
      </rPr>
      <t>Ejecutado total</t>
    </r>
    <r>
      <rPr>
        <sz val="11"/>
        <color theme="1"/>
        <rFont val="Arial"/>
        <family val="2"/>
      </rPr>
      <t xml:space="preserve">: Esta casilla no debe diligenciarse, el cálculo se hace de forma automática. Corresponde a la sumatoria acumulada de actividades ejecutadas en cada trimestre.
</t>
    </r>
    <r>
      <rPr>
        <u/>
        <sz val="11"/>
        <color theme="1"/>
        <rFont val="Arial"/>
        <family val="2"/>
      </rPr>
      <t>% Cumplimiento Acumulado</t>
    </r>
    <r>
      <rPr>
        <sz val="11"/>
        <color theme="1"/>
        <rFont val="Arial"/>
        <family val="2"/>
      </rPr>
      <t xml:space="preserve">: Esta casilla no debe diligenciarse, el cálculo se hace de forma automática. Corresponde al cumplimiento acumulado para el año de acuerdo al trimestre de reporte y le brindará el resultado semaforizado.
</t>
    </r>
  </si>
  <si>
    <t>Numero entero</t>
  </si>
  <si>
    <r>
      <rPr>
        <b/>
        <sz val="11"/>
        <color rgb="FF000000"/>
        <rFont val="Arial"/>
        <family val="2"/>
      </rPr>
      <t xml:space="preserve">18. Cronograma: </t>
    </r>
    <r>
      <rPr>
        <sz val="11"/>
        <color rgb="FF000000"/>
        <rFont val="Arial"/>
        <family val="2"/>
      </rPr>
      <t xml:space="preserve">Escriba la fecha de inicio de la actividad y la fecha de terminación. </t>
    </r>
  </si>
  <si>
    <t>fecha</t>
  </si>
  <si>
    <r>
      <rPr>
        <b/>
        <sz val="11"/>
        <color rgb="FF000000"/>
        <rFont val="Arial"/>
        <family val="2"/>
      </rPr>
      <t xml:space="preserve">19.  Recursos: </t>
    </r>
    <r>
      <rPr>
        <sz val="11"/>
        <color rgb="FF000000"/>
        <rFont val="Arial"/>
        <family val="2"/>
      </rPr>
      <t xml:space="preserve">
</t>
    </r>
    <r>
      <rPr>
        <u/>
        <sz val="11"/>
        <color rgb="FF000000"/>
        <rFont val="Arial"/>
        <family val="2"/>
      </rPr>
      <t>Rubro presupuesta</t>
    </r>
    <r>
      <rPr>
        <sz val="11"/>
        <color rgb="FF000000"/>
        <rFont val="Arial"/>
        <family val="2"/>
      </rPr>
      <t xml:space="preserve">l: Corresponde al nombre y código del objeto de gasto o ingreso.
</t>
    </r>
    <r>
      <rPr>
        <u/>
        <sz val="11"/>
        <color rgb="FF000000"/>
        <rFont val="Arial"/>
        <family val="2"/>
      </rPr>
      <t>Fuente de Financiación</t>
    </r>
    <r>
      <rPr>
        <sz val="11"/>
        <color rgb="FF000000"/>
        <rFont val="Arial"/>
        <family val="2"/>
      </rPr>
      <t xml:space="preserve">: Seleccione de la lista desplegable la fuente de financiación de la actividad.
</t>
    </r>
    <r>
      <rPr>
        <u/>
        <sz val="11"/>
        <color rgb="FF000000"/>
        <rFont val="Arial"/>
        <family val="2"/>
      </rPr>
      <t>Código de Fuente</t>
    </r>
    <r>
      <rPr>
        <sz val="11"/>
        <color rgb="FF000000"/>
        <rFont val="Arial"/>
        <family val="2"/>
      </rPr>
      <t xml:space="preserve">: Esta casilla no debe diligenciarse, carga de manera automatica de acuerdo a la fuente de financiación.
</t>
    </r>
    <r>
      <rPr>
        <u/>
        <sz val="11"/>
        <color rgb="FF000000"/>
        <rFont val="Arial"/>
        <family val="2"/>
      </rPr>
      <t>Total de recursos programados</t>
    </r>
    <r>
      <rPr>
        <sz val="11"/>
        <color rgb="FF000000"/>
        <rFont val="Arial"/>
        <family val="2"/>
      </rPr>
      <t xml:space="preserve">: Corresponde al valor del recurso programado.
</t>
    </r>
    <r>
      <rPr>
        <u/>
        <sz val="11"/>
        <color rgb="FF000000"/>
        <rFont val="Arial"/>
        <family val="2"/>
      </rPr>
      <t>Apropiación</t>
    </r>
    <r>
      <rPr>
        <sz val="11"/>
        <color rgb="FF000000"/>
        <rFont val="Arial"/>
        <family val="2"/>
      </rPr>
      <t xml:space="preserve">: Corresponde al presupuesto definitivo asignado.
</t>
    </r>
    <r>
      <rPr>
        <u/>
        <sz val="11"/>
        <color rgb="FF000000"/>
        <rFont val="Arial"/>
        <family val="2"/>
      </rPr>
      <t>Compromiso</t>
    </r>
    <r>
      <rPr>
        <sz val="11"/>
        <color rgb="FF000000"/>
        <rFont val="Arial"/>
        <family val="2"/>
      </rPr>
      <t xml:space="preserve">: Corresponde al registro de afectación  del presupuesto.
</t>
    </r>
    <r>
      <rPr>
        <u/>
        <sz val="11"/>
        <color rgb="FF000000"/>
        <rFont val="Arial"/>
        <family val="2"/>
      </rPr>
      <t>Obligaciones</t>
    </r>
    <r>
      <rPr>
        <sz val="11"/>
        <color rgb="FF000000"/>
        <rFont val="Arial"/>
        <family val="2"/>
      </rPr>
      <t xml:space="preserve">: Corresponde al registro que se produce  sobre los compromisos cuando se recibe el bien o servicio.
</t>
    </r>
    <r>
      <rPr>
        <u/>
        <sz val="11"/>
        <color rgb="FF000000"/>
        <rFont val="Arial"/>
        <family val="2"/>
      </rPr>
      <t>Pagado</t>
    </r>
    <r>
      <rPr>
        <sz val="11"/>
        <color rgb="FF000000"/>
        <rFont val="Arial"/>
        <family val="2"/>
      </rPr>
      <t xml:space="preserve">: Corresponde al registro que se hace  cuando se cancela el bien o servicio prestado. </t>
    </r>
  </si>
  <si>
    <t>Numero decimal</t>
  </si>
  <si>
    <r>
      <rPr>
        <b/>
        <sz val="11"/>
        <color rgb="FF000000"/>
        <rFont val="Arial"/>
        <family val="2"/>
      </rPr>
      <t>20. Población sujeto:</t>
    </r>
    <r>
      <rPr>
        <sz val="11"/>
        <color rgb="FF000000"/>
        <rFont val="Arial"/>
        <family val="2"/>
      </rPr>
      <t xml:space="preserve"> Es la población a quien se dirigirán  las intervenciones, seleccione entre las siguientes opciones:
- Familias, colectivos y comunidades ( cuando la intervención no se diriga a una población en especial seleccione esta opción que le permite un alcance general)
- Población materno perinatal
- Primera Infancia
- Infancia
- Adolescencia
- Juventud
- Adultez
- Persona Mayor
- Personas con discapacidad
- Victimas del conflicto armado
- Población Habitante de Calle
- Población Migrante
- Población Campesina
- Mujeres
- Población LGBTIQ+
- Indigenas
- Negros, afrocolombianos, raizales y palenqueros-NARP
- Pueblo Rrom-Gitano
- Personal de salud
- Varias poblaciones de protección constitucional especifica
</t>
    </r>
  </si>
  <si>
    <r>
      <rPr>
        <b/>
        <sz val="11"/>
        <color rgb="FF000000"/>
        <rFont val="Arial"/>
        <family val="2"/>
      </rPr>
      <t xml:space="preserve">21. Concepto de gasto: </t>
    </r>
    <r>
      <rPr>
        <sz val="11"/>
        <color rgb="FF000000"/>
        <rFont val="Arial"/>
        <family val="2"/>
      </rPr>
      <t xml:space="preserve">Registre el componente del gasto correspondiente (regimen subsidiado,salud pública, prestación, otros gastos en salud), revisando previamente en la pestaña "ValoresListasDesplegables" columna J, fila 699, el valor asignado en la columna "Concepto 2" del CUIPO resaltada en color verde y registre el dato correspondiente. ( Ejemplo: SPC - E1 Gobernabilidad y Gobernanza - L1 Desarrollo Institucional y Sectorial - Planeación Integral en Salud)
</t>
    </r>
  </si>
  <si>
    <r>
      <rPr>
        <b/>
        <sz val="11"/>
        <color rgb="FF000000"/>
        <rFont val="Arial"/>
        <family val="2"/>
      </rPr>
      <t xml:space="preserve">22. Responsables del cumplimiento: </t>
    </r>
    <r>
      <rPr>
        <sz val="11"/>
        <color rgb="FF000000"/>
        <rFont val="Arial"/>
        <family val="2"/>
      </rPr>
      <t xml:space="preserve"> Escriba el nombre, apellido y cargo del responsable en la Entidad Territorial.</t>
    </r>
  </si>
  <si>
    <r>
      <rPr>
        <b/>
        <sz val="11"/>
        <color rgb="FF000000"/>
        <rFont val="Arial"/>
        <family val="2"/>
      </rPr>
      <t>23. Avance cualitativo</t>
    </r>
    <r>
      <rPr>
        <sz val="11"/>
        <color rgb="FF000000"/>
        <rFont val="Arial"/>
        <family val="2"/>
      </rPr>
      <t xml:space="preserve">: Se debe registrar la justificación de la realización o no de las actividades programadas y/o las especificaciones  de las actividades definidas o ejecutadas según sea pertinente ( máximo 3000 caracteres) </t>
    </r>
    <r>
      <rPr>
        <b/>
        <u/>
        <sz val="11"/>
        <color rgb="FF000000"/>
        <rFont val="Arial"/>
        <family val="2"/>
      </rPr>
      <t>OBLIGATORIO</t>
    </r>
  </si>
  <si>
    <t xml:space="preserve">AÑO DE EJECUCIÓN: </t>
  </si>
  <si>
    <t xml:space="preserve">TRIMESTRE DE EJECUCIÓN: </t>
  </si>
  <si>
    <t xml:space="preserve">PLAN TERRITORIAL DE SALUD - PLAN DE ACCION EN SALUD </t>
  </si>
  <si>
    <t>17. Actividades seguimiento</t>
  </si>
  <si>
    <t>18. Cronograma</t>
  </si>
  <si>
    <t>19.  Recursos</t>
  </si>
  <si>
    <t>0.Id Actividad</t>
  </si>
  <si>
    <t>1. Núcleo de Inequidad Socio-Sanitaria</t>
  </si>
  <si>
    <t>2. Eje estrátegico PDSP 2022-2031</t>
  </si>
  <si>
    <t>3. Pilares del Modelo de salud preventivo, predictivo y resolutivo</t>
  </si>
  <si>
    <t>4. Resultado esperado por Eje PDSP 2022-2031</t>
  </si>
  <si>
    <t>5. Estrategia del Plan Territorial de Salud</t>
  </si>
  <si>
    <t>6. Meta estratégica del PDSP 2022-2031</t>
  </si>
  <si>
    <t>6.1 Meta estratégica del PTS adaptada al territorio</t>
  </si>
  <si>
    <t>7. Meta de resultado en salud del PDSP 2022-2031</t>
  </si>
  <si>
    <t>7.1 Meta de resultado en salud del PTS adaptada al territorio</t>
  </si>
  <si>
    <t xml:space="preserve">8. Programa </t>
  </si>
  <si>
    <t>9. Subprograma</t>
  </si>
  <si>
    <t>10. Proyecto BPI</t>
  </si>
  <si>
    <t>11. Meta de Producto</t>
  </si>
  <si>
    <t>12. Línea Operativa PDSP 2022-2031</t>
  </si>
  <si>
    <t>13. Gestion territorial integral para la salud pública</t>
  </si>
  <si>
    <t>14. Actividad</t>
  </si>
  <si>
    <t>15. Cantidad</t>
  </si>
  <si>
    <t>16. Unidad de medida</t>
  </si>
  <si>
    <t>Programado I</t>
  </si>
  <si>
    <t>Ejecutado I</t>
  </si>
  <si>
    <t>% Cumplimiento 
I Trimestre</t>
  </si>
  <si>
    <t>Programado II</t>
  </si>
  <si>
    <t>Ejecutado II</t>
  </si>
  <si>
    <t>% cumplimiento 
II Trimestre</t>
  </si>
  <si>
    <t>Programado III</t>
  </si>
  <si>
    <t>Ejecutado III</t>
  </si>
  <si>
    <t>% Cumplimiento 
III Trimestre</t>
  </si>
  <si>
    <t>Programado IV</t>
  </si>
  <si>
    <t>Ejecutado IV</t>
  </si>
  <si>
    <t>% Cumplimiento 
IV Trimestre</t>
  </si>
  <si>
    <t>Programado TOTAL</t>
  </si>
  <si>
    <t>Ejecutado TOTAL</t>
  </si>
  <si>
    <t>% Cumplimiento
Acumulado</t>
  </si>
  <si>
    <t>Fecha de inicio de la actividad (digite mes/dia/año numerico)</t>
  </si>
  <si>
    <t>Fecha de terminación de la actividad (digite mes/dia/año numerico)</t>
  </si>
  <si>
    <t>Rubro Presupuestal</t>
  </si>
  <si>
    <t>Fuente de Financiación</t>
  </si>
  <si>
    <t>Codigo de Fuente</t>
  </si>
  <si>
    <t xml:space="preserve">Apropiación </t>
  </si>
  <si>
    <t>Compromiso</t>
  </si>
  <si>
    <t>Obligaciones</t>
  </si>
  <si>
    <t>Pagado</t>
  </si>
  <si>
    <t>20. Población sujeto</t>
  </si>
  <si>
    <r>
      <rPr>
        <b/>
        <sz val="10"/>
        <color theme="1"/>
        <rFont val="Arial"/>
        <family val="2"/>
      </rPr>
      <t>21. Concepto de gasto</t>
    </r>
    <r>
      <rPr>
        <b/>
        <sz val="8"/>
        <color theme="1"/>
        <rFont val="Arial"/>
        <family val="2"/>
      </rPr>
      <t xml:space="preserve"> </t>
    </r>
    <r>
      <rPr>
        <b/>
        <sz val="8"/>
        <color theme="4"/>
        <rFont val="Arial"/>
        <family val="2"/>
      </rPr>
      <t>(Antes de registrar verifique en la hoja “valores listas desplegables” a que componente corresponde el gasto y registre el valor asignado en la Fila 699 Columna J “Concepto 2”)</t>
    </r>
  </si>
  <si>
    <t xml:space="preserve">22. Responsables del cumplimiento </t>
  </si>
  <si>
    <t>23. Avance Cualitativo</t>
  </si>
  <si>
    <t>Inadecuada e insuficiente infraestructura hospitalaria y débil institucionalidad para la prestación del servicio de salud que se evidencian en el incumplimiento de la aplicación de las guías clínicas de atención, la inoportunidad del servicio y baja imple</t>
  </si>
  <si>
    <t>Atención Primaria en Salud</t>
  </si>
  <si>
    <t>ii) Redes Integrales e Integradas Territoriales de Salud - RIITS</t>
  </si>
  <si>
    <t>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t>
  </si>
  <si>
    <t>Fortalecimiento de capacidades a las comunidades para el desarrollo de la APS con
  acciones territorializadas, universales, sistemáticas, permanentes y participativas bajo un enfoque
  familiar y comunitario.</t>
  </si>
  <si>
    <t>a 2031 el 100% de las entidades territoriales del orden departamental, distrital y municipal han desarrollado procesos de ajuste institucional para el fortalecimiento de las capacidades de la autoridad sanitaria y la apropiacion territorial del modelo de salud basado en APS</t>
  </si>
  <si>
    <t>a 2027 el 100% de las entidades territoriales del orden departamental, han desarrollado procesos de ajuste institucional para el fortalecimiento de las capacidades de la autoridad sanitaria y la apropiacion territorial del modelo de salud basado en APS</t>
  </si>
  <si>
    <t>98-Actividad trasversal a Resultados</t>
  </si>
  <si>
    <t>Salud Pública</t>
  </si>
  <si>
    <t>Médico en tu casa</t>
  </si>
  <si>
    <t>Fortalecimiento de Estrategias para la Promoción de la Salud y Prevención de Enfermedades en Comunidades, mediante acciones Integrales, Participativas y Sostenibles en el Departamento del Magdalena.</t>
  </si>
  <si>
    <t>Desarrollar acrividades de promoción y mantenimiento de la salud y prevención de la enfermedad en la poblacion diferencial, en los 29 municipios del departamento</t>
  </si>
  <si>
    <t>Cuidado de la salud en el territorio</t>
  </si>
  <si>
    <t>Implementar el plan de cuidado e intervencion de las personas y familias por microterritorio en el entorno hogar de acuerdo al curso de vida, garantizando la canalizacion oportuna a los servicios de salud y el seguimiento de manera permanente hasta lograr su recuperacion o estabilidad de su enfermedad</t>
  </si>
  <si>
    <t>PIC(Anexo técnico)</t>
  </si>
  <si>
    <t>Número</t>
  </si>
  <si>
    <t>N/A</t>
  </si>
  <si>
    <t>SGP-SALUD-SALUD PUBLICA (1.2.4.2.02)</t>
  </si>
  <si>
    <t>1.2.4.2.02</t>
  </si>
  <si>
    <t>Familias, colectivos y comunidades</t>
  </si>
  <si>
    <t>Laura Viveros Paez</t>
  </si>
  <si>
    <t>Deficiencias en la infraestructura sanitaria que se ve reflejada en bajas coberturas de alcantarillado y prestación del servicio de aseo así como la mala calidad del agua que condiciona la incidencia de</t>
  </si>
  <si>
    <t>Gobernabilidad y gobernanza de la salud pública</t>
  </si>
  <si>
    <t>i). Gobernabilidad, Gobernanza y Territorialización</t>
  </si>
  <si>
    <t>Entidades Territoriales Departamentales, Distritales y Municipales con mecanismos fortalecidos para el ejercicio de la Rectoría en Salud.</t>
  </si>
  <si>
    <t>Alineación y armonización al ordenamiento jurídico en materia de salud publica de cada entidad territorial de acuerdo con cada categoria administrativa y fiscal en el marco de las competencias fijadas por la ley</t>
  </si>
  <si>
    <t>A 2031 el 100% de las entidades territoriales del orden departamental y municipal desarrollan mecanismos para el fortalecimiento de la rectoría en salud en su territorio, conforme a las competencias establecidas</t>
  </si>
  <si>
    <t>A 2027 el 100% de las entidades territoriales del orden municipal desarrollan mecanismos para el fortalecimiento de la rectoría en salud en su territorio, conforme a las competencias establecidas</t>
  </si>
  <si>
    <t>68-A 2031, el 80% de los municipios contará con la Certificación Sanitaria expedida mediante el Sistema de Información de la Vigilancia de la Calidad del Agua para Consumo Humano-SIVICAP</t>
  </si>
  <si>
    <t>Al 2027, el 80% de los municipios contará con la Certificación Sanitaria expedida mediante el Sistema de Información de la Vigilancia de la Calidad del Agua para Consumo Humano-SIVICAP</t>
  </si>
  <si>
    <t>Ejecutar el plan de IVC sanitario dando alcance a la resolución 1229 de 2013</t>
  </si>
  <si>
    <t>Desarrollo institucional y sectorial para el ejercicio de la autoridad sanitaria</t>
  </si>
  <si>
    <t>Realizar 397 toma de muestra de agua en la red de distribución del departamento, de acuerdo con los articulos 24 y 26 de la resolución 2115 de 2007.</t>
  </si>
  <si>
    <t>Procesos transversales de la Gestion de la Salud Pública</t>
  </si>
  <si>
    <t>Personal de Salud</t>
  </si>
  <si>
    <t>Rafael Tapias</t>
  </si>
  <si>
    <t>Aumento de la Tasa de Incidencia de las enfermedades transmitidas por vectores como el dengue;</t>
  </si>
  <si>
    <t>Conocimiento en salud pública y Soberanía Sanitaria</t>
  </si>
  <si>
    <t>Capacidades fortalecidas para la gestión del conocimiento en salud pública</t>
  </si>
  <si>
    <t>Fortlecimiento de capacidades tecnicas para el ejercicio en la rectoria en salud.</t>
  </si>
  <si>
    <t>A 2031 se fortalecerá en el 100% de los territorios la apropiación social del conocimiento en salud pública y el desarrollo de investigaciones que den respuesta a las necesidades en salud de cada territorio</t>
  </si>
  <si>
    <t>A 2027 se fortalecerá en el 100% de los territorios la apropiación social del conocimiento en salud pública y el desarrollo de investigaciones que den respuesta a las necesidades en salud de cada territorio</t>
  </si>
  <si>
    <t>A 2031, el 100% las DTS departamentales, distritales y municipios habrán implementado las estrategias de Entornos Saludables</t>
  </si>
  <si>
    <t>A 2027, el 100% las DTS departamentales, distritales y municipios habrán implementado las estrategias de Entornos Saludables</t>
  </si>
  <si>
    <t>Desarrollar capacidades a los entes territoriales en gestion de riesgo quimico</t>
  </si>
  <si>
    <t>Desarrollar duarnte la vigencia una jornada de formación de 3 dias a las alcaldias municipales en la implementacion del modelo de seguridad quimica para el desarrollo de capacidades municipales.</t>
  </si>
  <si>
    <t>Políticas en salud pública para contribuir a la mitigación y adaptación al cambio climático.</t>
  </si>
  <si>
    <t>Fortalecimiento de las capacidades del personal de salud en todo lo relacionado con los posibles efectos de la variabilidad del cambio climático</t>
  </si>
  <si>
    <t>A 2031 se incorporará en el 100% de los departamentos y distritos, el plan de gestión en sistemas de alerta temprana para la identificación del riesgos por el cambio climático y la posible vulnerabilidad de la población desde un enfoque territorial</t>
  </si>
  <si>
    <t>Al 2027 se incorporará en el 100% de los municipios, el plan de gestión en sistemas de alerta temprana para la identificación del riesgos por el cambio climático y la posible vulnerabilidad de la población desde un enfoque territorial</t>
  </si>
  <si>
    <t>Al 2031, se formularán acciones de adaptación en promoción de la salud y prevención de la enfermedad que aporten a reducir los casos de enfermedades sensibles al clima en el 100% de las Entidades Territoriales en el sector salud, del nivel departamental, distrital y estarán implementadas en un 40% de éstas.</t>
  </si>
  <si>
    <t>A 2027, se formularán acciones de adaptación en promoción de la salud y prevención de la enfermedad que aporten a reducir los casos de enfermedades sensibles al clima en el 100% de las Entidades Territoriales en el sector salud, del nivel departamental, distrital y estarán implementadas en un 40% de éstas.</t>
  </si>
  <si>
    <t>Implementar el PACCSA</t>
  </si>
  <si>
    <t>Desarrollar durante la vigencia una jornada de formación de 3 dias a las alcaldias municipales en medidas de adaptacion al cambio climatico para el desarrollo de capacidades municipales</t>
  </si>
  <si>
    <t xml:space="preserve">Deficiencias en la infraestructura sanitaria que se ve reflejada en bajas coberturas de alcantarillado y prestación del servicio de aseo así como la mala calidad del agua que condiciona la incidencia de </t>
  </si>
  <si>
    <t>Entoros laborales saludables que promueven la salud, mejoran las condiciones de trabajo y disminuyen los riesgos laborales</t>
  </si>
  <si>
    <t>A 2027 se incorporará en el 100% de los municipios, el plan de gestión en sistemas de alerta temprana para la identificación del riesgos por el cambio climático y la posible vulnerabilidad de la población desde un enfoque territorial</t>
  </si>
  <si>
    <t>69-A 2031, el 100% las DTS departamentales, distritales y municipios habrán implementado las estrategias de Entornos Saludables</t>
  </si>
  <si>
    <t>Desarrollar una jornada de capacitación de 3 dias a las alcaldias municipales en el modelo de IVC y fomento de conciencia sanitaria para el desarrollo de capacidades municipales</t>
  </si>
  <si>
    <t>Entidades Territoriales Departamentales, Distritales y Municipales fortalecidas como autoridad sanitaria local para la Gobernanza en Salud Pública.</t>
  </si>
  <si>
    <t>Desarrollo y fortalecimiento de capacidade para la planeación integral en salud y la gestión territorial en el marco del modelo de salud preventivo, predictivo y resolutivo basado en APS</t>
  </si>
  <si>
    <t>formular e Implementar el  plan de fortalecimiento de capacidades de gestion en salud ambiental a partir del diagnostico realizado con base en la informacion de la vigencia 2025  (GETSA)</t>
  </si>
  <si>
    <t>Porcentaje</t>
  </si>
  <si>
    <t xml:space="preserve">Personal de Salud
</t>
  </si>
  <si>
    <t>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comunidaes</t>
  </si>
  <si>
    <t>A 2027 el 100% de las entidades territoriales del orden  municipal desarrollan mecanismos para el fortalecimiento de la rectoría en salud en su territorio, conforme a las competencias establecidas</t>
  </si>
  <si>
    <t>Tomar muestras de agua en 30 puntos definidos para monitorear Cristosporidium , entregar resultados e informe</t>
  </si>
  <si>
    <t>Ejecutar al 100% el plan de adquisisiones de insumos parea la vigilancia sanitaria de la calidad del agua y alimentos</t>
  </si>
  <si>
    <t>A 2031 el 100% de los Departamentos, Distritos y Municipios del País integran en su Planes de Desarrollo Territoriales estrategias para afectar de manera positiva los determinantes sociales de la salud en sus territorios.</t>
  </si>
  <si>
    <t>A 2027 el 100% de Municipios del País integran en su Planes de Desarrollo Territoriales estrategias para afectar de manera positiva los determinantes sociales de la salud en sus territorios.</t>
  </si>
  <si>
    <t xml:space="preserve">Desarrollo de capacidades a los facilitadores de la red com (capacitadores), en coordinacion con el area de VSP </t>
  </si>
  <si>
    <t>Ejecutar al 100% el plan de IVC formulado para la vigencia para dar respuesta a lo dispuesto en al Resolucion 1229 de 2013</t>
  </si>
  <si>
    <t>Apoyar la ejecucion del plan de IVC con servicio de transporte disponiendo de 2 vehiculos 24x7</t>
  </si>
  <si>
    <t>Abogacía e incidencia técnica y política en la agenda de otros sectores, a fin de generar accioens intersectoriales y transecvtoriales definiendo temas transcversales y objetivos comunes</t>
  </si>
  <si>
    <t>Realizar Gestión transectorial a través de 32 reuniones del COTSA y las mesas de calidad de agua, Comité de residuos, comité de cárceles, comité de entornos saludables y movilidad segura, comité de plaguicidas, comité de sanidad portuaria, comité seccional de zoonosis</t>
  </si>
  <si>
    <t>Ejecutar al 100% los planes de accion de las mesas y comites asociados al COTSA</t>
  </si>
  <si>
    <t>Desarrollo de estrategias de comunicación, educación, para el cambio de comportamiento y de acción colectiva que favorezcan la transformación de la cultura de seguridad social en salud y promover los entornos saludables y protectores</t>
  </si>
  <si>
    <t>9-A 2031, reducir en 50% la tasa de mortalidad por EDA en menores de 5 años</t>
  </si>
  <si>
    <t>Implementar la estrategia de prevencion de ETA mediante la educacion a 88160 famlias sobre manual basico de manipulaciond e alimentos</t>
  </si>
  <si>
    <t>Capacitar a 30000 familias del departamento en las 10 normas basicas de manipulacion de alimentos en el marco de las visitas familiares.</t>
  </si>
  <si>
    <t>Fortalecimiento de las capacidades institucionales y sociales para la gestión territorial de la salud pública, en el marco de la Estrategia Nacional de Formación Territorial, Intercultural de Atención Primaria en Salud, Salud Pública y Salud Colectiva</t>
  </si>
  <si>
    <t>A 2031 el 100% de las entidades territoriales sociales del orden departamental y municipal desarrollan mecanismos para el fortalecimiento de la rectoría en salud en su territorio, conforme a las competencias establecidas</t>
  </si>
  <si>
    <t>A 2027 el 100% de las entidades territoriales sociales del orden departamental y municipal desarrollan mecanismos para el fortalecimiento de la rectoría en salud en su territorio, conforme a las competencias establecidas</t>
  </si>
  <si>
    <t>Desarrollar de capacidades los equipos municipales y departamental en prevencion y manejo de ETAS</t>
  </si>
  <si>
    <t>Desarrollo e implementación de otras estrategias para la generación de conocimiento acerca de las condiciones en salud de la población y sus DSS a nivel territorial tales como observatorios, ASIS, unidades de análisis, seminarios, evaluaciones de riesgo ambientales de la salud, entre otros</t>
  </si>
  <si>
    <t>Realizar la reunion departamental de salud ambiental de dos dias de duracion, con el tema central de entorno educativo saludable</t>
  </si>
  <si>
    <t>Las agresiones por animales potencialmente transmisores de la rabia</t>
  </si>
  <si>
    <t>Salud Publica</t>
  </si>
  <si>
    <t xml:space="preserve">Desarrollo de capacidades a los miembros del comite SAN en practicas de inocuidad de alimentos </t>
  </si>
  <si>
    <t>Espacios e instancias intersectoriales que incluyen en sus planes de acción la transversalización de los enfoques de pueblos y comunidades, género y diferencial e integran los sistemas de conocimiento propio de los pueblos y comunidades étnicas y campesinas</t>
  </si>
  <si>
    <t>A 2031 el 100% de las Entidades Territoriales del orden departamental, distrital y municipal desarrollan mecanismos para el fortalecimiento de la rectoría en salud en su territorio, conforme a las competencias establecidas.</t>
  </si>
  <si>
    <t>A 2027 el 100% de las Entidades Territoriales del orden municipal desarrollan mecanismos para el fortalecimiento de la rectoría en salud en su territorio, conforme a las competencias establecidas.</t>
  </si>
  <si>
    <t>90-A 2031, 50% de departamentos y distritos logran condiciones de eliminación de la rabia transmitida por perros.</t>
  </si>
  <si>
    <t>Garantizar coberturas utiles de vacunación antirrabica, aplicando un total de 958363 dosis de vacunas</t>
  </si>
  <si>
    <t>Desarrollar jornada de vacunación antirrábica canina y felina masiva casa a casa (entorno hogar), en los 29 municipios del departamento del Magdalena en zona urbana, rural y rural disperso, garantizando cobertura del 90% en animales mayores de tres meses, Con una duración máxima de 45 días</t>
  </si>
  <si>
    <t>familias, colectivos y comunidades</t>
  </si>
  <si>
    <t>Realizar mantenimiento a  la vacunación antirrábica de perros y gatos durante los meses que no se esté realizando la masiva, mediante la busqueda de animales que no se pudieron vacunar en la masiva, animales nuevos que ingresen o nazcan en el periodo, vacunación en las zonas de foco y perifoco de los brotes de rabia que se presenten en su municipio y puntos fijos de vacunación. Cobertura mínima del 1%.</t>
  </si>
  <si>
    <t>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comunidades</t>
  </si>
  <si>
    <t>Fortalecimiento de la red de frio para la vacunacion antirrábica canina y felina</t>
  </si>
  <si>
    <t>Pueblos y comunidades étnicas y campesinas, mujeres, sectores LGBTIQ+ y otras poblaciones por condición y/o situación</t>
  </si>
  <si>
    <t>i) Gobernabilidad, Gobernanza y Territorialización.</t>
  </si>
  <si>
    <t>Implementación de acciones dirigidas a mejorar la
 relación salud-ambiente-territorio para promover
 acciones dirigidas a mejorar las condiciones de vida.</t>
  </si>
  <si>
    <t xml:space="preserve">Desarrollar la vacunacion de perros y gatos en municipios con poblacion indigena Cienaga, Fundación, Aracataca y San Angel) y actividades de información, educación y  comuncicación de riesgo  de la rabia en IED indígena o mixta </t>
  </si>
  <si>
    <t>Realizar monitoreo de cobertura en en 100% de  los municipios que se prioricen.</t>
  </si>
  <si>
    <t>Carlos Escobar</t>
  </si>
  <si>
    <t>Suministrar insumos para la vacunación antirrábica de perros y gatos y control de rabia de acuerdo al plan de adquisiciones</t>
  </si>
  <si>
    <t>Gestión territorial para el cuidado de la salud basado
 en la atención primaria en salud.</t>
  </si>
  <si>
    <t>A 2027 el 100% de los Municipios integran en su Planes de Desarrollo Territoriales estrategias para afectar de manera positiva los determinantes sociales de la salud en sus territorios.</t>
  </si>
  <si>
    <t xml:space="preserve"> Desarrollar un programa radial sobre la prevención de la rabia y otras zoonosis (accidente Ofídico, leptospira, toxoplasmosis) en cada uno de los 29 municipios </t>
  </si>
  <si>
    <t xml:space="preserve">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t>
  </si>
  <si>
    <t xml:space="preserve">Conmemorar el dia mundial contra la rabia realizando actividad de información educación y comunicación de riesgo de la rabia en (1) una institución educativa   de cada uno de los 29 municipios </t>
  </si>
  <si>
    <t>Indigenas</t>
  </si>
  <si>
    <t xml:space="preserve">Desarrollar actividad de información educación y comunicación de riesgo sobre la TENENCIA RESPONSABLE DE MASCOTAS, en una institución educativa de cada uno de los 29 municipios </t>
  </si>
  <si>
    <t>Seguimiento al 50% de los casos de exposicion leve y grave a rabia</t>
  </si>
  <si>
    <t>88-A 2031, el 100% de las DTS departamentales, distritales y municipios categorías especial, 1, 2 y 3 a riesgo, implementan los planes estratégicos para la vigilancia y control de zoonosis (brucelosis bovina, toxoplasmosis congénita y gestacional, accidente ofídico).</t>
  </si>
  <si>
    <t>Realizar monitoreo al 100% de la red publica y privada que cuente con servicio de urgencias en la disponibilidad de sueros antiofidicos</t>
  </si>
  <si>
    <t>Decisiones en salud pública basadas en información, investigación y el máximo desarrollo del conocimiento científico lo que incluye reconocer la cosmovisión y los saberes propios los pueblos y comunidades.</t>
  </si>
  <si>
    <t>desarrollar capacidades al recurso humano en salud para la atencion integral de accidente ofidico y APTR para medicos de area rural y EBS</t>
  </si>
  <si>
    <t>desarrollar capacidades institucionales con el fin de mejorar las habilidades individuales en la prevención y control de de zoonosis al nivel municipal</t>
  </si>
  <si>
    <t xml:space="preserve">Los malos hábitos alimenticios, los estilos de vida y el entorno laboral contribuyen a la alta prevalencia de HTA y diabetes y ERC. El sedentarismo se ha convertido en un flagelo del siglo XXI ; el 4 % de los asistentes a las mesas lo reconoció como un problema de salud. Bajas frecuencias en el suministro de agua, incide en la alta incidencia de ETAs, EDA e Hep A. La baja oferta laboral obliga a la población a buscar fuentes de supervivencia a través de prácticas agrícolas no tecnificadas que conllevan el uso y manejo inadecuado de plaguicidas que condicionan la presencia de intoxicaciones por estas sustancias. </t>
  </si>
  <si>
    <t>Entidades Territoriales Departamentales, Distritales que organizan la prestación de servicios de salud en redes integrales e integradas territoriales bajo un modelo de salud predictivo, preventivo y resolutivo fundamentado en la Atención Primaria en Salud – APS con criterios de subsidiaridad y complementariedad.</t>
  </si>
  <si>
    <t>Conformación de las Redes Integrales e Integradas
 Territoriales de Salud con base en la aplicación de
 criterios determinantes incluyendo el reconocimiento
 de las condiciones de vida y salud de personas,
 familias y comunidades bajo el liderazgo de las
 Entidades Territoriales Departamentales y
 Distritales,</t>
  </si>
  <si>
    <t>61-A 2031, la prevalencia de caries se reduce al menos en 10 puntos porcentuales en primera infancia, en infancia y en adolescencia.</t>
  </si>
  <si>
    <t>Implementar en el 100% de los municipios del Departamento la estrategia CERSS</t>
  </si>
  <si>
    <t>Promover la adopcion de habitos saludables relacionados con higiene visual, cuidado auditivo y autocuidado oral en niños, niñas y adolescentes, mediante estrategias ludicas y educativas que fomenten el aprendizaje práctico y participativo en los ambitos urbano o rural del departamento, en los cursos de vida de primera infancia, infancia y adolescencia del entorno educativo.</t>
  </si>
  <si>
    <t>Merly Bonett - Mary Luz Cabrera - Linda Acosta-Rossana Cormane</t>
  </si>
  <si>
    <t>40-A 2031, se garantiza que entre la sospecha médica y la confirmación diagnóstica de cáncer de cuello uterino transcurran en promedio 30 días o menos</t>
  </si>
  <si>
    <t>Jornadas de salud que permitan identificar el riesgo haciendo promocion de la salud bucal, auditiva, comunicatva, tamizaje de riesgo cardiovascular, tamizaje para CCU, autoexamen de seno, aplicacion de barniz de fluor, de acuerdo al curso de vida en el entorno comunitario en los microcroterritorios definidos.</t>
  </si>
  <si>
    <t>54-A 2031, reducir la mortalidad prematura por ENT en un 25% en la población de 30 a 70 años.</t>
  </si>
  <si>
    <t>Conmemorar la semana de hábitos y estilos de vida saludables a través de actividades educativas, recreativas y de sensibilización enfocadas en la alimentación balanceada, la actividad física, el bienestar emocional y la prevención de enfermedades, fortaleciendo la cultura del autocuidado, en los diferentes cursos de vida, en el entorno comunitario y educativo del ambito urbano y rural de los territorios priorizados.</t>
  </si>
  <si>
    <t>Implementación de mecanismos para la
 coordinación y gestión de la operación de las redes
 integrales e integradas territoriales de salud en el
 marco de un modelo preventivo,</t>
  </si>
  <si>
    <t>62-A 2031, las personas sin pérdida dental (dentición permanente) por enfermedad bucodental prevenible, se incrementa en 5 puntos porcentuales (mínimo) en las edades de 20-34 años; 35-44 años; 45-64 años y 65-79 y más años</t>
  </si>
  <si>
    <t>Alianzas transectoriales, que busquen fortalecer la promoción de la salud bucal mediante el desarrollo de actividades y estrategias de prevención, educación, detección temprana, atención integral y oportuna.</t>
  </si>
  <si>
    <t>Merly Bonett - Mary Luz Cabrera - Linda Acosta</t>
  </si>
  <si>
    <t>DESARROLLO Y FORTALECIMIENTO DE CAPACIDADES PARA LA PLANEACION INTEGRAL EN SALUD Y LA GESTION TERRITTORIAL EN EL MARCO DEL MODELO DE SALUD PTREVENTIVO, PREDICTIVO Y RESOLUTIVO BASADO EN APS</t>
  </si>
  <si>
    <t>Alcanzar una cobertura del 20% con esquema completo de aplicación de barniz de flúor en la población entre 1 y 17 años para avanzar en la mejora de las condiciones de salud bucal.</t>
  </si>
  <si>
    <t>Brindar asistencia Tecnica a todos los actores del sistema en todos los componentes de Promocion Y prevencion de las enfermedades crónicas no transmisibles mediante levantamiento de linea base de total de personas que padecen HTA . DM y ERC  ( incidencia ) como de estrategias para deteccion temprana y seguimiento de personas con dicho riesgos.</t>
  </si>
  <si>
    <t>primera infancia, infancia y adolescencia.</t>
  </si>
  <si>
    <t>50-A 2031, se reducirá la tasa ajustada de mortalidad por cáncer infantil a menos de 4,00 x 100000 niños, niñas y adolescentes</t>
  </si>
  <si>
    <t>Consolidar los planes de choque en Cancer de mama, cáncer cervicouterino y cáncer infantil de los 29 municipios y EAPB del departamento del Magdalena</t>
  </si>
  <si>
    <t>Realizar 4 sesiones del Consejo Departamental Asesor en Cancer Infantil de la mano de los actores definidos en la resolucion 1101 del 15 de noviembre de 2012 y el reglamento interno del CODACAI</t>
  </si>
  <si>
    <t>Realizar promocion activa de CERSS - fase de ejecucion, monitoreo y evaluacion (Herramientas: Implementacion de CERSS, monitoreo y evaluacion en los 29 municipios. Realizacion de taller para la implementacion, monitoreo y evaluacion de la estrategias CERSS en los 29 municipios del departamento del Magdalena.</t>
  </si>
  <si>
    <t>Desarrollo de capacidades en enfermedades cronicas dirigido a medicos y enfermeros jefes de las entidades prestadoras de servicios en el departamento del Magdalena.</t>
  </si>
  <si>
    <t>La pérdida de valores, falta de involucramiento parental, mitos y creencias que naturalizan el maltrato se relaciona con el deterioro de la salud mental</t>
  </si>
  <si>
    <t>Gestión territorial para el cuidado de la salud basado en la atención primaria en salud.</t>
  </si>
  <si>
    <t>A 2031 el 80% de las necesidades en salud de la población Colombiana se resuelven en el nivel primario de atención en salud.</t>
  </si>
  <si>
    <t>A 2027 el 80% de las necesidades en salud de la población Colombiana se resuelven en el nivel primario de atención en salud.</t>
  </si>
  <si>
    <t>95-A 2031, mantener la tasa de mortalidad de suicidio por debajo de 5</t>
  </si>
  <si>
    <t>Implementar la estrategia nacional para la prevencion de la conducta suicida en las 33 ESE públicas del departamento</t>
  </si>
  <si>
    <t>Implementar las Zonas de Orientación y/o Centros de Escucha en el entorno educativo en cada uno de los 29 municipios, fortaleciendo la promoción y atención primaria de la salud mental, la prevención del consumo de SPA, la conducta suicida y las violencias sexuales y de género; el cuidado de pacientes con discapacidad mental, trastornos de la conducta alimentaria, involucramiento parental y convivencia pacífica y la canalización a las rutas integrales de atención.</t>
  </si>
  <si>
    <t>Talento Humano en salud</t>
  </si>
  <si>
    <t>Luz Mary García Agudelo</t>
  </si>
  <si>
    <t>Promover la educación e información en salud en el entorno familiar y educativo orientado hacia la promocion de la salud mental, prevencion del consumo de spa, prevencion de la conducta suicida, prevencion de la violencia en el entorno escolar en los 29 Municipios del departamento del Magdalena.</t>
  </si>
  <si>
    <t xml:space="preserve">Realizar la conmemoración de: Día Mundial de la Salud Mental, Dia Internacional y semana  de la Prevención de la conducta suicida, Dia Internacional de la Eliminación de la violencia contra la mujer,  semana de la prevención del consumo de sustancias psicoactivas y reducción de riesgos y daños, siguiendo los lineamientos técnicos del Ministerio de Salud y Protección Social, que promueva la salud mental y reducción del estigma. 
</t>
  </si>
  <si>
    <t xml:space="preserve">La pérdida de valores, falta de involucramiento parental, mitos y creencias que naturalizan el maltrato se relaciona con el deterioro de la salud mental, </t>
  </si>
  <si>
    <t>Fortalecimiento de las capacidades del Talento Humano en la implementación de estrategias para la generación de conocimiento de las condiciones de salud de la población y sus determinantes tales como observatorios, ASIS, unidades de análisis, seminarios, entre otras.</t>
  </si>
  <si>
    <t>A 2031 el 100% las entidades territoriales Departamentales, Distritales han implementado las medidas de atención para la atención a las mujeres víctimas de violencia de género.</t>
  </si>
  <si>
    <t>A 2027 el 100% las entidades territoriales han implementado las medidas de atención para la atención a las mujeres víctimas de violencia de género.</t>
  </si>
  <si>
    <t>97-A 2031, disminuir la tasa de violencia interpersonal a 230 por 100.000 habitantes</t>
  </si>
  <si>
    <t>Mantener por debajo de 161.9 por 100.000 habitantes la tasa de violencia intrafamiliar.</t>
  </si>
  <si>
    <t>Desarrollar capacidades del Talento Humano en salud de las EAPB y ESE mediante talleres en Salud mental comunitaria e intervención temprana, atención en salud para las mujeres víctimas de violencias de genero e intrafamiliar, ruta de atención integral en salud mental, y socialización del del sistema de responsabilidad penal para adolescentes en los 29 municipios del departamento del Magdalena incluyendo IPS Indígena.</t>
  </si>
  <si>
    <t>Fortalecimiento de las capacidades del Talento Humano en la irnplementación de estrategias para la generación de conocimiento de las condiciones de salud de la población y sus determinantes tales como bservatorios, ASIS, unidades de análisis, seminarios, entre otras.</t>
  </si>
  <si>
    <t>A 2031, mantener la tasa de mortalidad de suicidio</t>
  </si>
  <si>
    <t>A 2027, mantener la tasa de mortalidad de suicidio</t>
  </si>
  <si>
    <t>Mantener por debajo de 2,7 por 100.000 habitantes la tasa de suicidio</t>
  </si>
  <si>
    <t>Desarrollo de capacidades a través de un taller por subregión, referente a primeros auxilios psicológicos, dirigido a los equipos de profesionales de las ESE, equipos básicos en atención primaria en salud y docentes orientadores de los 29 municipios que conforman el departamento del Magdalena; que permita brindar atención oportun frente a los eventos de salud mental.</t>
  </si>
  <si>
    <t xml:space="preserve">Familias, colectivos y comunidades;  Población materno perinatal; 
Primera infancia; Infancia;  Adolescencia;  Juventud; Adultez; 
Persona mayor, Personas con discapacidad, Victimas del conflicto armado, Población migrante
Población campesina, Mujeres, Población LGBTIQ+, Indígenas, Negros, afrocolombianos, raizales y palenqueros-NARP, Pueblo rrom- gitano
</t>
  </si>
  <si>
    <t xml:space="preserve">Desarrollo y fortalecimiento de capacidades a través de un taller por subregión, referente  a Promover la salud integral e integrada y prevenir el consumo de SPA,  rutas de atención para garantizar el acceso a la detección, tratamiento y atención de los problemas por consumo de sustancias psicoactivas, de acuerdo a resoluciones vigentes y la nueva Política Nacional De Drogas. </t>
  </si>
  <si>
    <t>Desarrollo y fortalecimiento de capacidades a través de un taller referente a reducir la conducta suicida en el departamento, con estrategias locales y en contexto, diferenciadas por curso de vida y entornos de desarrollo. Fortalecer las rutas de promoción de la salud mental, identificación del riesgo y atención integral a la conducta suicida, de acuerdo al Decreto 0729 de 2025 y normativas vigentes.</t>
  </si>
  <si>
    <t>A 2031, disminuir la tasa de violencia interpersonal a 230 por 100.000 habitantes</t>
  </si>
  <si>
    <t>A 2027, disminuir la tasa de violencia interpersonal a 230 por 100.000 habitantes</t>
  </si>
  <si>
    <t>Realizar encuentro departamental de referentes de convivencia social y salud mental de los 29 municipios del departamento</t>
  </si>
  <si>
    <t>Desarrollo y fortalecimiento de capacidades para la implmentación integral en salud y la gestion territorial en el marco del modelo de salud preventivo y predictivo y resolución basado en APS.</t>
  </si>
  <si>
    <t xml:space="preserve">Realizar 2 sesiones de Comités de Departamental de Drogas; 2 de Consejo Seccional de Estupefacientes; 2 de consejos de departamental de salud mental.  2 mesas de articulación para la atención integral de las violencias basadas en genero. </t>
  </si>
  <si>
    <t>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t>
  </si>
  <si>
    <t>Desarrollo de estrategias para la organización y acompañamiento de la participación ciudadana dirigida a la identificación de problemáticas, análisis, comprensión y definición de decisiones que impacten de manera positiva la salud</t>
  </si>
  <si>
    <t>A 2031 el 100% de los Departamentos, Distritos y Municipios del País integran en su Planes de Desarrollo Territoriales estrategias para afectar de manera positiva los determinantes sociales de la salud en sus territorios</t>
  </si>
  <si>
    <t>A 2027 el 100% de los Municipios  integran en su Planes de Desarrollo Territoriales estrategias para afectar de manera positiva los determinantes sociales de la salud en sus territorios</t>
  </si>
  <si>
    <t>15-A 2031, reducir en un 20% la prevalencia de anemia en los niños, niñas menores de 5 años</t>
  </si>
  <si>
    <t xml:space="preserve"> Implementar la ruta de atencion a la desnutricion en menores de 5 años en los municpios e IPS publicas</t>
  </si>
  <si>
    <t>Cuidado de la Salud en el Territorio.</t>
  </si>
  <si>
    <t xml:space="preserve"> implementación de huertas en megacolegios con continuidad, capacitación en las nuevas GABAS con enfoque diferencial dirigido a docentes y rectores de colegios la promoción de loncheras saludables con articulación intersectorial </t>
  </si>
  <si>
    <t xml:space="preserve">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t>
  </si>
  <si>
    <t xml:space="preserve">"A  2031 el 100% de entidades territoriales  Departamentales, Distritales y Municipales  que tienen en su tenitorio pueblos y  comunidades indígenas, comunidades negras, afrocolombianas, raizales y  palenqueras y pueblo Rrom han 
establecido acuerdos para la garantía del derecho fundamental a la salud y la 
respuesta a las necesidades de la salud 
propia e intercultural. </t>
  </si>
  <si>
    <t xml:space="preserve">A  2027 el 100% de entidades territoriales Municipales que tienen en su tenitorio pueblos y comunidades indígenas, comunidades negras, afrocolombianas, raizales y  palenqueras y pueblo Rrom han 
establecido acuerdos para la garantía del derecho fundamental a la salud y la 
respuesta a las necesidades de la salud 
propia e intercultural. </t>
  </si>
  <si>
    <t>14-A 2031, disminuir 20% la prevalencia por retraso en talla en menores de 5 años.</t>
  </si>
  <si>
    <t xml:space="preserve">Realizar Busqueda activa comunitaria mensual de niños(as) menores de cinco años; en el  entorno hogar, en los territorios y microterritorios de los 4 municipios a cada familia se le debe educar en el código internacional de Sucedáneos, implementacion de plato saludable   </t>
  </si>
  <si>
    <t>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t>
  </si>
  <si>
    <t xml:space="preserve">Gestión territorial para el cuidado de la salud basado en la atención primaria en salud. </t>
  </si>
  <si>
    <t>10-A 2031, reducir a 5 por cada 100.000 menores de 5 años la tasa de mortalidad asociada a desnutrición aguda.</t>
  </si>
  <si>
    <t>Implementar  y operativizar  el Plan de Seguridad Alimentaria y Nutricional  en  los 29 municipios del  Departamento.</t>
  </si>
  <si>
    <t xml:space="preserve">Cuidado de la salud en el territorio  </t>
  </si>
  <si>
    <t xml:space="preserve">Realizar Busqueda activa comunitaria bimensual de niños(as) menores de cinco años en riesgo de desnutricion aguda en el entorno hogar, agrupados , IED y Programas de ICBF en los territorios y microterritorios totales en los 29 municpios a cada familia se le debe educar en el código internacional de Sucedáneos, implementacion de plato saludable   </t>
  </si>
  <si>
    <t xml:space="preserve">Entidades Territoriales Departamentales, Distritales y Municipales fortalecidas como autoridad sanitaria local para la Gobernanza en Salud Pública.  </t>
  </si>
  <si>
    <t>" A 2031 el 100% de las Entidades Territoriales del orden departamental, distrital y municipal desarrollan mecanismos para el fortalecimiento de la rectoría en salud en su territorio, conforme a las competencias establecidas"</t>
  </si>
  <si>
    <t>A 2031, el 40% de los niños menores de 6 meses tienen lactancia materna exclusiva</t>
  </si>
  <si>
    <t>A 2027, el 40% de los niños menores de 6 meses tienen lactancia materna exclusiva</t>
  </si>
  <si>
    <t xml:space="preserve">Desarrollo institucional y sectorial para el ejercicio de la autoridad sanitaria  </t>
  </si>
  <si>
    <t xml:space="preserve">Capacitar al talento humano de las EPS, IPS, EBS  y PIC de los 29 municipios del departamento del Magdalena sobre lactancia y relactancia materna y Código Internacional de Comercialización de Sucedáneos de la Leche materna (CICSLM) </t>
  </si>
  <si>
    <t>12-A 2031, el 40% de los niños menores de 6 meses tienen lactancia materna exclusiva</t>
  </si>
  <si>
    <t>Conmemorar la semana mundial de la LM realizar por sub-región en articulación del comité SAN municipal, líderes, líderesas y gestores comunitarios acciones de movilización y sensibilización a mujeres gestantes y lactantes y sus familias a cerca de la importancia de la protección, promoción y apoyo a la Lactancia Materna LM exclusiva y la importancia de la Donación de Leche Humana siguiendo los lineamientos del Ministerio de Salud.</t>
  </si>
  <si>
    <t xml:space="preserve">Primera infancia;
 Infancia; Adolescencia; Juventud;  Adultez; 
</t>
  </si>
  <si>
    <t xml:space="preserve">Miriam Eusse </t>
  </si>
  <si>
    <t>Desarrollo de capacidades teorico practico de dos dias para la construcción de Planes de SAN Municipales en los 29 municipios del departamento del Magdalena.</t>
  </si>
  <si>
    <t xml:space="preserve">Desarrollo y fortalecimiento de capacidades para la 
planeación integral en salud y la gestión territorial en el marco 
del Modelo de Salud preventivo, predictivo y resolutivo basado 
en Atención Primaria en Salud - APS. </t>
  </si>
  <si>
    <t>A 2027 el 100% de las Entidades Territoriales del orden municipal desarrollan mecanismos para el fortalecimiento de la rectoría en salud en su territorio, conforme a las competencias establecidas"</t>
  </si>
  <si>
    <t>Realizar el acompañamiento técnico a las EAPB priorizadas la implementación de la Resolución 3280 de 2018  énfasis en las atenciones que promuevan la lactancia materna y adecuada alimentación complementaria, el seguimiento y monitoreo a la consulta particular de consejería sobre LM y GABAS para el menor de dos años, la entrega de micronutrientes y seguimiento a niños con bajo peso al nacer hasta su adecuado peso.</t>
  </si>
  <si>
    <t>Primera infancia;
 Infancia</t>
  </si>
  <si>
    <t xml:space="preserve">Sesionar 4 Mesas de trabajo durante el año con el comité departamental SAN para evaluar y ajustar la ejecución de la politica departamental mediante plan de acción con Matriz de monitoreo para el cumplimiento del derecho humano a la alimentacion Adecuada y Sostenible (DHAAS), con la revision del documento, esta debe ser realizada por experto en el tema de politica publicas con el objetivo de definir la situacion actual de la politica departamental (DHAAS). </t>
  </si>
  <si>
    <t>Desarrollar Capacidades técnicas, científicas y operativas al RH de la DTS, IPS, EAPB en la Resolución 2465 /2016 y resolucion 2350/2020, con la revison de los planes de la desaceleracion de la desnutricon en los 29 municipios.</t>
  </si>
  <si>
    <t>Familias, colectivos y comunidades
Población materno perinatal; 
Primera infancia;</t>
  </si>
  <si>
    <t xml:space="preserve">Desarrollo de capacidades teórico práctico al talento humano de las Secretarías de Salud, Profesionales de la Salud de IPS, EPS, EBS, Madres FAMI, ICBF, rectores y docentes de colegios y Alcaldias de los 29 municipios sobre las nuevas GABA con enfoque diferencial, étnico y Afro, GABA para el menor de dos años y la creación de huertas caseras y la implementación de loncheras saludables .
</t>
  </si>
  <si>
    <t>Desarrollo de capacidades teorico practico, certificado sobre la estrategia Instituciones Amiga de la Mujer y la Infacia- IAMII, Salas Amigas de Extracción Manual de la leche materna, código internacional de sucedáneos de la leche materna, RIAS 3280, RIAS Materno Perinatal y Banco de Leche Humana dirigido  al talento humano de la salud, médicos, pediatras, nutricionistas, enfermeras, auxiliares de las IPS, EPS, y hospitales de los 29 municipios del departamento del Magdalena.</t>
  </si>
  <si>
    <t xml:space="preserve">Claudia Chi </t>
  </si>
  <si>
    <t>Desarrollo de capacidades en Resolucion 3280 dirigido al TH de las ESE, IPS; DTS de los 29 municipios</t>
  </si>
  <si>
    <t>4-A 2031, mantener en &lt; 9% la proporción de Bajo Peso al Nacer</t>
  </si>
  <si>
    <t>3-A 2031, reducir a 6 por cada 1.000 nacidos vivos la tasa de mortalidad neonatal</t>
  </si>
  <si>
    <t>Realizar comité trimestral del  plan  desaceleracion de muerte por desnutricion haciendo seguimientos mensuales a las EAPB Y MUNICIPIOS sobre la busquedad activa de niños reportados en la base sivigila ,según la resolucion 2350 y 2465  y realizar asistencias tecnicas a las EAPB y municipios del departamento en resolucion 2350 ,2465 y 3280</t>
  </si>
  <si>
    <t xml:space="preserve"> María Fernanda Larios - Margareth Pinto</t>
  </si>
  <si>
    <t xml:space="preserve">Entidades Territoriales Departamentales, Distritales y Municipales que conforman territorios de salud de acuerdo con las particularidades geográficas, socioculturales, político administrativas y ambientales donde se produce el proceso de salud.  </t>
  </si>
  <si>
    <t xml:space="preserve">Gestión territorial para el cuidado de la salud basado en la atención primaria en salud.  </t>
  </si>
  <si>
    <t xml:space="preserve">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t>
  </si>
  <si>
    <t>20-A 2031, disminuir la tasa especifica de fecundidad adolescente de 15 a 19 años a menos de 40 nacimientos por cada 1000 mujeres adolescentes de 15 a 19 años.</t>
  </si>
  <si>
    <t>Realizar estrategias de educación en salud sexual y reproductiva en 58 IED priorizadas en el departamento</t>
  </si>
  <si>
    <t xml:space="preserve">Educacion en salud en el componente de prevencion de embarazo en adolescentes, prevencion de las violencias, planificacion familiar, prevencion de las enfermedades de transmisión sexual ETS (VIH/SIDA)) en el entorno escolar jovenes y adolescentes (6 a 11 de bachillerato) de las Instituciones educativas de los territorios proiorizados con enfoque preventivo </t>
  </si>
  <si>
    <t>Regionalización y tenitohalización del sistema de salud por áreas para la gestión en salud / territorios en salud con base en la estrategia atención primaria en salud, salud familiar y comunitaria, cuidado de la salud, gestión integral del riesgo en salud, y el enfoque diferencial poblacional y territorial.</t>
  </si>
  <si>
    <t>Educacion en salud a padres de familia, maestros, lideres comunitarios y otros actores, en la promoción de la salud sexual y reproductiva;  fomentando un entorno de apoyo, comprensión promover relaciones respetuosas, igualitarias y libres de violencia; con el fin aumentar la gobernanza de salud y toma de decisiones para el logro de bienestar colectivo de los territorios proiorizados con enfoque preventivo en el ambito urbano de los 29 municipios</t>
  </si>
  <si>
    <t xml:space="preserve">A 2027 el 100 % de las Entidades Territoriales del orden municipal han desarrollado procesos de ajuste institucional para el fortalecimiento de las capacidades de la autoridad sanitaria y la apropiación territorial del modelo de salud basado en la atención primaria.  </t>
  </si>
  <si>
    <t>1-A 2031, reducir a 32 por 100.000 nacidos vivos la razón de mortalidad materna</t>
  </si>
  <si>
    <t>Fortalecer la implementación de la ruta materno perinatal, en los 29 municipios del magdalena, desarrollando cacidades sociales e individuales en las 33 ESE públicas que atienden gestantes</t>
  </si>
  <si>
    <t xml:space="preserve">Realizar educación en salud materna y neonatal, a mujeres en edad fertil, parteras y jefes del hogar en las comunidades priorizadas, sobre factores de riesgo y desarmonías, reporte oportuno y atención en salud para evitar complicaciones en la madre y en su hijo </t>
  </si>
  <si>
    <t>Educacion en salud para la promocion y prevencion de la salud materno perinatal dirigida a mamos, medicos, parteras y lideres con el fin de fortalecer el manejo de la guia materno perinatal</t>
  </si>
  <si>
    <t>Desarrollo de capacidades bajo escenario de simulacion presencial teorico practicos al talento humano en salud de las ESE e IPS del Departamento del Magdalena,  sobre Ruta Materno Perinatal,  emergencias obstetricas, Planificacion Familiar dirigido a medicos generales, ginecologos y enfermeras, que ejerce funciones en consultas de control prenatal y sala de maternidad.</t>
  </si>
  <si>
    <t>Adolesencia y Juventud</t>
  </si>
  <si>
    <t>rina Marquez-Doraine Guerrero-Paola Gale</t>
  </si>
  <si>
    <t>Desarrollar capacidades  del Talento Humano  en salud  de las EAPB y ESE mediante taller en atencion en salud para las mujeres victimas de violencias de genero e intrafamiliar, ruta de atención integral de los 29 municipios del departamento del Magdalena incluyendo IPS Indígena.</t>
  </si>
  <si>
    <t xml:space="preserve"> Familias, colectivos y comunidades</t>
  </si>
  <si>
    <t>Asistencia Tecnica Seguimiento y monitoreo a la operativizacion de la ruta de atención en salud para víctimas de violencias sexuales y violencias de genero al entorno institucional, en el marco del Modelo Atención Integral de Salud en los 29 Municipios del Departamento.</t>
  </si>
  <si>
    <t xml:space="preserve">Realizar la conmemoracion de la semana andina de prevencion de embarazo en adolescentes y niñas en los 29 municipios del  departamento de magdalena </t>
  </si>
  <si>
    <t>19-A 2031, disminuir la tasa especifica de fecundidad adolescente de 10 a 14 años a cero nacimientos por cada 1.000 niñas de 10 a 14 años.</t>
  </si>
  <si>
    <t xml:space="preserve">Educación En Salud Sexual y Reproductiva con Enfoque Diferencial (Lgbtiq+) y de Género en las IED de cada microterritorio dirigida a los grados 10 y 11 </t>
  </si>
  <si>
    <t>5-A 2031, reducir a 15,3 por mil nacidos vivos la tasa de mortalidad infantil</t>
  </si>
  <si>
    <t>Desarrollo de capacidades del Departamento del Magdalena, sobre la estrategia ETMIPLUS</t>
  </si>
  <si>
    <t>A 2027 se incorporará en el 100% de los municipios el plan de gestión en sistemas de alerta temprana para la identificación del riesgos por el cambio climático y la posible vulnerabilidad de la población desde un enfoque territorial</t>
  </si>
  <si>
    <t>74-A 2031, se reducirá la letalidad acumulada (2022-2031) por dengue a menos del 0,1%.</t>
  </si>
  <si>
    <t>Desarrollar la estrategia de gestión integral de ETV, en las 29 ET del departamento</t>
  </si>
  <si>
    <t>Adquisicion de suministro insumo criticos para el control integral de vectores (sujeto a auotorizacion del ministerio)</t>
  </si>
  <si>
    <t>Desarrollo y fortalecimiento de capacidades para la planeación integral en salud y la gestión territorial en el marco del modelo de salud preventivo, predictivo y resolutivo basado en APS</t>
  </si>
  <si>
    <t>A 2031 el 100% de las Entidades Territoriales del orden departamental, desarrollan mecanismos para el fortalecimiento de la rectoría en salud en su territorio, conforme a las competencias establecidas.</t>
  </si>
  <si>
    <t>A 2027 el 100% de las Entidades Territoriales desarrollan mecanismos para el fortalecimiento de la rectoría en salud en su territorio, conforme a las competencias establecidas.</t>
  </si>
  <si>
    <t>84-A 2031, se reduce en 40% las muertes por malaria en el periodo 2022- 2031.</t>
  </si>
  <si>
    <t>Garantizar el acceso y disponibilidad a medicamentos para el tratamiento de Malaria, Leishmaniasis y Enfermedad de Chagas.</t>
  </si>
  <si>
    <t>Abogacia e incidencia tecnica y politica en la agenda de otros sectores , a fin de generar acciones intersectoriales y transectoriales definiendo temas transversales y objetivos comunes</t>
  </si>
  <si>
    <t>Fortalecer la articulación intersectorial mediante reuniones de la mesa sectorial de ETV .</t>
  </si>
  <si>
    <t>Fortalecimiento de capacidades tecnicas para el ejercicio de la rectoria en salud</t>
  </si>
  <si>
    <t>Realizar mantenimiento preventivo y correctivo las maquinas del programa que lo requieran según diagnostico</t>
  </si>
  <si>
    <t>Realizar mantenimiento preventivo y correctivo de dos (2) vehiculos al servicio del programa según terminos de referencia, compra de SOAT y seguros</t>
  </si>
  <si>
    <t>Eliecer Peñaranda</t>
  </si>
  <si>
    <t>Fortalecimiento de las capacidades institucionales y sociales para la gestión territorial de la salud pública, en el marco de la Estrategia Nacional de Formación Territorial, Intercultural de Atención Primaria en Salud, Salud Pública y Salud Colectiva.</t>
  </si>
  <si>
    <t>A 2031 el 100% de las Entidades Territoriales del orden departamental, han desarrollado procesos de ajuste institucional para el fortalecimiento de lad capacidades de la autoridad sanitaria y la apropiación territorial del modelo de salud basado en APS</t>
  </si>
  <si>
    <t>A 2027 el 100% de las Entidades Territoriales han desarrollado procesos de ajuste institucional para el fortalecimiento de lad capacidades de la autoridad sanitaria y la apropiación territorial del modelo de salud basado en APS</t>
  </si>
  <si>
    <t xml:space="preserve">Taller teórico-práctico de 5 días para ingenieros ambientales y técnicos de E.S.E. y hospitales, enfocado en la identificación y control de criaderos, captura entomológica de arbovirosis y uso de la plataforma Epicollect para la recolección y visualización de datos georreferenciados, realizado por tres (3) profesionales con experiencia y experticia en el tema. </t>
  </si>
  <si>
    <t>Desarrollo de capacidades de ocho (8) horas sobre la socialización de la estrategia de Manejo Integrado de Vectores, dirigido a funcionarios de las alcaldías municipales y E.S.E. Hospitales públicos del departamento (una persona por entidad). La actividad se orienta al fortalecimiento de conocimientos y competencias técnicas en vigilancia, prevención y control de vectores. El cual debe ser desarrollado por un profesional de la Salud que cuente con experiencia en el tema.</t>
  </si>
  <si>
    <t>A 2031 el 100% de las Entidades Territoriales del distrital y orden departamental, municipal desarrollan mecanismos para el fortalecimiento de la rectoría en salud en su territorio, conforme a las competencias establecidas</t>
  </si>
  <si>
    <t>Asistencia ténica al talento humano por parte del medico del área de prestación de servicios (presencial o virtual) para la adherencia a guías de atención integral de casos (Dengue / Chikunguña / Zika), Fiebre amarilla, Leishmaniasis, Malaria y Chagas en el 100% de las IPS publicas</t>
  </si>
  <si>
    <t>A 2031 el 100% de los espacios e instancias intersectoriales inlcuyen en sus planes de accion la transversalizacion de los enfoques de puebos y comunidades . Genero y diferencial e integran los sistemas de conocimiento propio d elos pueblos y comunidades etnicas</t>
  </si>
  <si>
    <t>A 2027 el 100% de los espacios e instancias intersectoriales inlcuyen en sus planes de accion la transversalizacion de los enfoques de puebos y comunidades Genero y diferencial e integran los sistemas de conocimiento propio d elos pueblos y comunidades etnicas</t>
  </si>
  <si>
    <t>Abogacia con las comunidades etnicas para la implementacion de acciones de promocion y prevencion de las ETV</t>
  </si>
  <si>
    <t>a 2031 el 100% de las entidades territoriales del orden departaental, distrital y municipal han desarrollado procesos de ajuste inatitucional para el fortalecimiento de las capacidades de la autoridad sanitaria y la apropiacion territorial del modelo de salud basado en APS</t>
  </si>
  <si>
    <t>A 2027 el 100% de las entidades territoriales del orden municipal han desarrollado procesos de ajuste inatitucional para el fortalecimiento de las capacidades de la autoridad sanitaria y la apropiacion territorial del modelo de salud basado en APS</t>
  </si>
  <si>
    <t>Prevenir la transmisión de ETV mediante uso de control químico en municipios en brote según analisis de la informacion epidemiologica (a demanda)</t>
  </si>
  <si>
    <t>Realizar levantamiento de indices aédicos, control larvario, destruccion de criadros y captura entomologica de larvas y adultos en el entorno hogar beneficiando a las familias en 29 municipios según programacion de los tecnicos de ETV y en los cementerios .</t>
  </si>
  <si>
    <t>Levantar indices aedicos, destruccion de criaderos, control larvario y captura entomologica de larvas y adultos y educacion en signos y sintomas de alarma en el entorno educativo</t>
  </si>
  <si>
    <t>Instalación de cuatro (4) larvitrampas, captura de larvas y seguimiento de las mismas según lineamiento ubicados en terminales de transporte fluviales, aereos, y terrestres en los 29 municipios del departamento del Magdalena</t>
  </si>
  <si>
    <t>Desarrollo de estrategias de comunicación para la difusión y el uso adecuado de la información en salud pública</t>
  </si>
  <si>
    <t>A 2027 el 100% de las Entidades Territoriales del orden  municipal desarrollan mecanismos para el fortalecimiento de la rectoría en salud en su territorio, conforme a las competencias establecidas</t>
  </si>
  <si>
    <t>Realizar un (1) programa radial en los 29 municipios del departamento del Magdalena sobre las ETV, dando a conocer el ciclo vectorial, habito de los vectores transmisores de arbovirosis, malaria, chagas y leishmania</t>
  </si>
  <si>
    <t>Desarrollo de macanismos para el fortalecimiento d ela conduccion y articulación sectorial e intersectorial, la conformación y operación de redes integrales e integradas territoriales de servicios de salud y la rendicion de cuentas conforme a las competencias establecidas</t>
  </si>
  <si>
    <t>75-A 2031, se reduce 20% la letalidad acumulada (2022-2031) por enfermedad de Chagas agudo.</t>
  </si>
  <si>
    <t>Abogacia con las EAPB para el tamizaje de chagas para maternas e hijos de maternas positivas en el marco de la estrategia MPLUS y seguimiento nominal de los casos</t>
  </si>
  <si>
    <t>A 2027 el 100% de las Entidades Territoriales del orden municipal desarrollan mecanismos para el fortalecimiento de la rectoría en salud en su territorio, conforme a las competencias establecidas</t>
  </si>
  <si>
    <t>Desarrollar capacidades al talento humano (profesionales de apoyo) en capacitación en identificación taxonomica de Culicidos y montaje de especimenes para la colección de referencia entomologica.</t>
  </si>
  <si>
    <t>Fortalecimiento de capacidades institucionales y comunitarias para el desarrollo de la APS con acciones territorializadas, universales, sistemáticas, permanentes y participativas bajo un enfoque familiar y comunitario.</t>
  </si>
  <si>
    <t>16-A 2031, Colombia logrará coberturas útiles de vacunación (95% -biológicos trazadores).</t>
  </si>
  <si>
    <t>Desarrollar actividades de promoción y mantenimiento de la salud y prevención de la enfermedad en la poblacion diferencial, en los 29 municipios del departamento</t>
  </si>
  <si>
    <t>Desarrollar Un (1) encuentro lúdico de saberes con todas las Madres ICBF, padres de familia, los docentes y las madres lideres de Mas familias en acción cuyo énfasis sean estrategias asertivas en vacunación para la identificación de niños y niñas menores de 6 años con esquemas de vacunación incompletos para la edad profesional idóneo. En el entorno educativo y Comunitario en los ámbitos urbano.</t>
  </si>
  <si>
    <t>Gissell Zamora</t>
  </si>
  <si>
    <t>17-Al 2031, Colombia mantendrá la implementación de los planes orientados a la erradicación de poliomielitis, eliminación de Sarampión y Rubeola, control y eliminación de eventos inmunoprevenibles, Síndrome de Rubeola Congénita, Tétanos Neonatal, Fiebre Amarilla, Difteria, Tuberculosis Meníngea, Hepatitis A, B y C, Neumococo, Haemophilus influenzae tipo B, Meningococo, diarreas por Rotavirus, Tos ferina, Parotiditis e Influenza, eliminación de la transmisión materno infantil de la hepatitis B.</t>
  </si>
  <si>
    <t xml:space="preserve">Programa comunicacional mensual en los 29 municipios donde se informe: esquema de vacunacion, jornadas, vacunacion segura, entre otros los 12 meses del año pueden usar medio radial de cobertura municipal o perifoneo demostrado en todo el municipio </t>
  </si>
  <si>
    <t xml:space="preserve">Familias, colectivos y comunidades 
</t>
  </si>
  <si>
    <t>Establecimiento de mecanismos institucionales, sectoriales, intersectoriales y comunitarios que garanticen la participación de las diferentes formas y expresiones organizativas de los pueblos y comunidades en la planeación y la respuesta en salud</t>
  </si>
  <si>
    <t>A 2031 el 100% de entidades territoriales Departamentales, Distritales y Municipales que tienen en su territorio pueblos y comunidades indígenas, comunidades negras, afrocolombianas, raizales y palenqueras y pueblo Rrom integran en sus planes territoriales de salud los acuerdos resultantes para la garantía del derecho fundamental a la salud y la respuesta a las necesidades de la salud propia e intercultural.</t>
  </si>
  <si>
    <t>A 2027 el 100% de entidades territoriales  Municipales que tienen en su territorio pueblos y comunidades indígenas, comunidades negras, afrocolombianas, raizales y palenqueras y pueblo Rrom integran en sus planes territoriales de salud los acuerdos resultantes para la garantía del derecho fundamental a la salud y la respuesta a las necesidades de la salud propia e intercultural.</t>
  </si>
  <si>
    <t>Desarrollar un (1) encuentro didactico de saberes con comunidad indígena de los municipios de Ciénaga, Fundación, Aracataca y Sabana de San Ángel, con énfasis en estrategias asertivas de vacunación para la identificación de niños y niñas menores de seis (6) años, con la participación de un profesional idóneo con experiencia PAI. La actividad se realizará en los entornos educativos y comunitarios, tanto en áreas urbanas como rurales.</t>
  </si>
  <si>
    <t>Nivel primario de atención con equipos de salud territoriales y centros de atención primaria en salud fortalecidos en su infraestructura, insumos, dotación y personal de salud como puerta de entrada y primer contacto con el Sistema de Salud, para dar respuesta a las necesidades en salud de la población de su territorio.</t>
  </si>
  <si>
    <t>Implementación de mecanismos para la coordinación y gestión de la operación de las redes integrales e integradas territoriales de salud en el marco de un modelo preventivo, predictivo y resolutivo basado en la APS.</t>
  </si>
  <si>
    <t>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t>
  </si>
  <si>
    <t>A 2027 el 100 % de las Entidades Territoriales del orden municipal han desarrollado procesos de ajuste institucional para el fortalecimiento de las capacidades de la autoridad sanitaria y la apropiación territorial del modelo de salud basado en la atención primaria.</t>
  </si>
  <si>
    <t>18-A 2031, Colombia aumentará a un 90%, la cobertura de vacunación de VPH en niños y niñas de 9 años de edad</t>
  </si>
  <si>
    <t>Garantizar el inicio, continuidad y finalizacion de los esquemas de vacunación según la edad, mediante jornadas dirigidas al 100% de las familias intervenidas por la estrategia de Atención Primaria en Salud que cuenten con miembros objeto del PAI, a través del trabajo de un vacunador y un anotador, con una meta de productividad mensual de 40 personas.</t>
  </si>
  <si>
    <t>Educacion en Salud sobre Vacunacion segura y esquema gratuito, Realizar búsqueda activa de la poblacion objetivo del programa y la puesta al día de coberturas de vacunación en los 29 Municipios y de esta manera gestionar el cumplimiento de las metas programáticas</t>
  </si>
  <si>
    <t>0,25</t>
  </si>
  <si>
    <t>Desarrollo y fortalecimiento de capacidades para la planeación integral en salud y la gestión territorial en el marco del Modelo de Salud preventivo, predictivo y resolutivo basado en Atención Primaria en Salud - APS.</t>
  </si>
  <si>
    <t>Desarrollar capacidades en los diferentes componentes del programa dirigido al talento humano Vacunadores de los equipos y unidades vacunadoras de 29 municipios incluida IPS Indigena</t>
  </si>
  <si>
    <t>11-A 2031, reducir a 10,3 por mil nacidos vivos la tasa de mortalidad en menores de 5 años</t>
  </si>
  <si>
    <t>Desarrollar capacidades en los diferentes componentes del programa dirigido al talento humano coordinadores de los equipos y unidades vacunadoras de 29 municipios incluida IPS Indigena</t>
  </si>
  <si>
    <t>Fortalecimiento de las capacidades del Talento Humano para la generación de conocimiento con enfoques diferenciales, de género y diversidad y para pueblos y 
  comunidades étnicas.</t>
  </si>
  <si>
    <t>Articulacion con el SENA para garantizar la certificacion en las 2 competencias laborales (Adminstracion de Inmunobiologicos y Atencion al usuario) a los tecnicos (auxiliares) y profesionales (enfermeras) de las IPS de los 29 municipios, incluida la IPS Indigena .</t>
  </si>
  <si>
    <t>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t>
  </si>
  <si>
    <t>A 2031 el 100% de las entidades terriitoriales de orden departamental, distrital y municipal desarrollaran mecanismos para el fortalecimiento de la rectoria en salud en su territorio, conforme a las competencias establecidas</t>
  </si>
  <si>
    <t>A 2027 el 100% de las entidades terriitoriales de orden municipal desarrollaran mecanismos para el fortalecimiento de la rectoria en salud en su territorio, conforme a las competencias establecidas</t>
  </si>
  <si>
    <t>Realizar la gestión de los insumos críticos del programa de la red de frio</t>
  </si>
  <si>
    <t>Gestion de insumos de interes en salud publica para garantizar la implementacion de la estrategia de vacunacion sin barreras a los 29 Municipios</t>
  </si>
  <si>
    <t>Realizar Mantenimiento preventivo y correctivo a la red de frio departamental</t>
  </si>
  <si>
    <t>Garantizar el traslado de insumos y biologicos del esquema regular y contra covid19 los 12 meses del año 2025 a los 29 muicipios conservando su red de frio</t>
  </si>
  <si>
    <t>Garantizar la proteccion y vida util de los biologicos e insumos criticos para el programa ampliado de inmunizaciones PAI a traves de una poliza de seguros todo riesgo</t>
  </si>
  <si>
    <t>Abogacía e incidencia técnica y política en la agenda de otros sectores, a fin de generar acciones intersectoriales y transectoñales definiendo temas transversales y objetivos
  comunes.</t>
  </si>
  <si>
    <t>99-No relación</t>
  </si>
  <si>
    <t>Realizar cuatro (4) Comites del Programa Ampliado de Inmunizaciones PAI según lineamientos del MSPS, que garantice la participación de los actores del sector salud y otros sectores con el objetivo de lograr la meta de cobertura propuesta.</t>
  </si>
  <si>
    <t>Posicionamiento del sistema único de información en salud parametrizado y estandarizado acorde con la normatividad
  vigente, que tenga la capacidad de articular los sistemas propios de información en salud de los pueblos y comunidades existentes.</t>
  </si>
  <si>
    <t>Realizar seguimiento y elaborar informe de un monitoreo rápido de coberturas realizados por los 29 municipios, conforme a lo establecido en los lineamientos del MSPS.</t>
  </si>
  <si>
    <t>Realizar asistencias tècnicas y seguimientos, para la implementación y fortalecimiento deI Programa Ampliado de Inmunizaciones en todos sus componentes en las IPS/ESE ,IPS de atención al recien nacidos y EAPB de los 29 municipios.</t>
  </si>
  <si>
    <t>Desarrollo de mecanismos para el fortalecimiento de la conducción y articulación sectorial e intersectorial, la regulación, la conformación y operación de redes integrales e integradas territoriales de servicios de salud y la rendición de cuentas conforme a las competencias establecidas.</t>
  </si>
  <si>
    <t>Articular las acciones con el equipo de vigilancia en salud pública, así como participar en las salas de análisis de riesgo, comités de vigilancia epidemiológica, equipos de respuesta inmediata, sala situacional, unidad de analisis ESAVI, comite de expertos de EAPV, entre otras.</t>
  </si>
  <si>
    <t>Diseño e implementación de estrategias para la transversafización de los enfoques diferencial, de género y diversidad, curso de vida, salud familiar y comunitaria y
  psicosocial para pueblos y comunidades.</t>
  </si>
  <si>
    <t>Programar y gerenciar las estrategias del programa ampliado de inmunizaciones PAI del Departamento (Informes ejecutivos del programa, jornadas de vacunación ESQUEMA REGULAR a las que haya lugar grarantizando el control de los bilógicos e insumos, sistema de información, formulación planes de acción, desarrollo de capacidades y seguimientos en entorno educativa ,entre otros)</t>
  </si>
  <si>
    <t>Fortalecimiento de capacidades institucionales y comunitarias para el desarrollo de la APS con acciones territoizalizadas universales sistematica participativas bajo un enfoque territorial y comunitario.</t>
  </si>
  <si>
    <t>93-A 2031, se logra el 90% de tratamiento exitoso en pacientes con tuberculosis</t>
  </si>
  <si>
    <t>Medico en tu casa</t>
  </si>
  <si>
    <t>Realizar Seguimiento al cumplimiento del plan estrategico fin de la tuberculosis Colombia, en los 29 municipios del departamento</t>
  </si>
  <si>
    <t>Educacion en salud a los pacientes privados de la libertad (carceles y estacion de policia) sobre Identificación de signos y síntomas de tuberculosis.Realizar busqueda activa de sintomaticos respiratorios y su canalizacion respectiva para diagnostico oportuno</t>
  </si>
  <si>
    <t>Marly Sierra/ Jacqueline Garcìa M.</t>
  </si>
  <si>
    <t>Análisis de la información que permita la comprensión de las situaciones de salud de la poblacion y sus determinantes sociales a nivel territorial</t>
  </si>
  <si>
    <t>A 2031 el 100% de las entidades territoriales del orden departamental , distrital y municipal han desarrollado procesos de ajuste institucional para el fortalecimiento de las capacidades de las autoridades sanitarias y apropiacion territorial del modelo de salud basado en la APS</t>
  </si>
  <si>
    <t>A 2027 el 100% de las entidades territoriales del orden municipal han desarrollado procesos de ajuste institucional para el fortalecimiento de las capacidades de las autoridades sanitarias y apropiacion territorial del modelo de salud basado en la APS</t>
  </si>
  <si>
    <t>Mèdico en tu casa</t>
  </si>
  <si>
    <t>Desarrollo de capacidades al Talento Humano del SGSSS en tuberculosis en los temas de gestión, diagnostico, sistema de información, análisis y seguimiento de indicadores y prevención y manejo de la coinfeccion TB/VIH y manejo programático de TB-MDR y socializacion del plan estrategico a los actores del sistema</t>
  </si>
  <si>
    <t>A 2031 el 100% de las entidades territoriales del orden departamental , distrital y municipal  han  desarrollado procesos de ajuste institucional para el fortalecimiento de las capacidades de las autoridades sanitarias y apropiacion territorial del modelo de salud basado en la APS</t>
  </si>
  <si>
    <t xml:space="preserve">cuidado de la salud en el territorio  </t>
  </si>
  <si>
    <t>Educación en salud de TB para la promoción y la gestión del riesgo y la transformación positiva de los diferentes entornos (hogar, comunitario) de los pacientes, ex-pacientes, sus familias</t>
  </si>
  <si>
    <t>Personal de salud</t>
  </si>
  <si>
    <t>iii) Trabajo digno y decente para el talento humano en salud y otros trabajadores del sector</t>
  </si>
  <si>
    <t>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t>
  </si>
  <si>
    <t>94-A 2031, se logra reducir el 50% la tasa de mortalidad por 100mil habitantes, causada por la tuberculosis en Colombia.</t>
  </si>
  <si>
    <t>Realizar un plan de asistencia tecnica a los diferentes actores del sistema de los 29 Municipios en el programa de tuberculosis y Apoyar la adopcion del Plan Estrategico post 2015 facia el fin el la Tuberculosis. PLAN ESTRATEGICO 2025</t>
  </si>
  <si>
    <t>Realizar investigacion operativa de acuerdo a lineamiento de la red de investigacion nacional en tuberculosis resolucion 227 de 2020.</t>
  </si>
  <si>
    <t>Fomentar la inversión en investigación, desarrollo innovaciòn y produccion local de TES</t>
  </si>
  <si>
    <t>A 2027 el 100% de las entidades territoriales del orden departamental, municipal  han  desarrollado procesos de ajuste institucional para el fortalecimiento de las capacidades de las autoridades sanitarias y apropiacion territorial del modelo de salud basado en la APS</t>
  </si>
  <si>
    <t xml:space="preserve">Adquisicion de insumos de laboratorios para apoyo de la red </t>
  </si>
  <si>
    <t>Fortalecer acciones de protección en infancia: rastreo de contactos en niños expuestos a casos de TB bacilífera para asegurar profilaxis según lineamiento nacional, educación a familias de los niños intervenidos en ESE municipales – EPS</t>
  </si>
  <si>
    <t>A 2027 el 100% de los Municipios integran en su Planes de Desarrollo Territoriales estrategias para afectar de manera positiva los determinantes sociales de la salud en sus territorios</t>
  </si>
  <si>
    <t>Realizar seguimiento a la implementación del programa nacional de prevención, manejo y control de IRA en las 33 ESE del departamento</t>
  </si>
  <si>
    <t>Desarrollar un proceso de fortalecimiento de capacidades dirigido a líderes comunitarios, representantes de instituciones educativas, madres y líderes de hogares del ICBF de los ámbitos urbano y rural de los municipios. Este proceso se llevará a cabo en las unidades comunitarias UROC-UAIRAC (Unidades de Rehidratación Oral Comunitaria y Unidades de Atención Integral a las Infecciones Respiratorias Agudas), e incluirá las 18 prácticas clave del AIEPI Comunitario, con el fin de facilitar su implementación, funcionamiento y los procesos de referencia y contrarreferencia en el entorno comunitario.</t>
  </si>
  <si>
    <t>Evelyn Gutierrez</t>
  </si>
  <si>
    <t>A 2031 el 100% de las Entidades Territoriales del orden departamental, dlstrltal y municipal desarrollan mecanismos para el fortalecimiento de la rectoría en salud en su territorio, conforme a las competencias establecidas</t>
  </si>
  <si>
    <t>77-A 2031 departamentos y distritos con población en riesgo, logran alcanzar y mantener las coberturas anuales de desparasitación antihelmíntica iguales o superiores al 75%, en niños elegibles en edad preescolar y escolar.</t>
  </si>
  <si>
    <t>Realizar jornadas de desparasitación antihelmíntica, acompañadas de actividades de educación en salud en los entornos comunitario y escolar, dirigidas a niñas, niños y adolescentes de 1 a 14 años. Estas acciones estarán enfocadas en sensibilizar sobre la importancia de la desparasitación antihelmíntica en los 29 municipios del Departamento del Magdalena.</t>
  </si>
  <si>
    <t>Gestión territorial para el cuidado de la salud basado
en la atención primaria en salud.</t>
  </si>
  <si>
    <t>Realizar jornadas de desparasitación antihelmíntica, acompañado de Educacion en salud en la población etnica (indígena) en todos los entornos, a niños(as) y adolescentes de 1 a 14 años, sobre la importancia de la desparasitación antihelmíntica en los municipios de Aracataca, Ciénaga, Fundación y Sabanas de San Angel.</t>
  </si>
  <si>
    <t>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t>
  </si>
  <si>
    <t>A 2031 el 100% de las Entidades Territoriales del orden departamental, distrital y municipal desarrollan mecanismos para el fortalecimiento de la rectoría en salud en su territorio, conforme a las competencias establecidas</t>
  </si>
  <si>
    <t>Desarrollar un fortalecimiento de capacidades certificado para la adecuada aplicación de la Escala Abreviada de Desarrollo-3 (EAD-3), cuestionarios e instrumentos de la Ruta para la Promocion y Mantenimiento de la salud mediante una actividad de entrenamiento, dirigido al Talento Humano en Salud de las ESE e IPS de los 29 municipios del Departamento del Magdalena.</t>
  </si>
  <si>
    <t xml:space="preserve">Primera infancia, Infancia </t>
  </si>
  <si>
    <t>Implementación de mecanismos para la</t>
  </si>
  <si>
    <t>Desarrollo de un taller teórico práctico en AIEPI clinico, dirigido al Talento Humano en Salud de las ESE e IPS de los 29 municipios del Departamento del Magdalena.</t>
  </si>
  <si>
    <t>Familias, colectivos y comunidades;</t>
  </si>
  <si>
    <t>coordinación y gestión de la operación de las redes integrales e integradas territoriales de salud en el marco de un modelo preventivo, predictivo y resolutivo basado en la APS.</t>
  </si>
  <si>
    <t>Realizar asistencia tecnica en la estrategia de desparasitacion antihelmintica (Lineamientos desparasitacion antihelmintica quimioterapia preventiva), en los 29 Municipios</t>
  </si>
  <si>
    <t>Primera infancia, Infancia y adolescencia</t>
  </si>
  <si>
    <t xml:space="preserve">Capacidades fortalecidas para la gestión del conocimiento en salud pública  </t>
  </si>
  <si>
    <t xml:space="preserve">coordinación y gestión de la operación de las redes integrales e integradas territoriales de salud en el marco de un modelo preventivo, predictivo y resolutivo basado en la APS. </t>
  </si>
  <si>
    <t>2-A 2031, reducir a 13,5 por cada 1.000 nacidos vivos la tasa de mortalidad perinatal</t>
  </si>
  <si>
    <t xml:space="preserve">Desarrollar actividades de promoción y mantenimiento de la salud y prevención de la enfermedad en la poblacion diferencial, en los 29 municipios del departamento </t>
  </si>
  <si>
    <t xml:space="preserve">Desarrollo institucional y sectorial para el ejercicio de la autoridad sanitaria </t>
  </si>
  <si>
    <t>Desarrollo de capacidades teórico práctico al Talento Humano en Salud de las ESE e IPS de los 29 mumicipios del Departamento del Magdalena en Reanimación Neonatal Básica-Programa de Resucitación Neonatal (PRN).</t>
  </si>
  <si>
    <t>Evelyn Gutierrez, Jairo Santos</t>
  </si>
  <si>
    <t>99- No relación</t>
  </si>
  <si>
    <t>Educacion en salud a familias en el uso adecuado de antimicrobianos y el correcto lavado de manos</t>
  </si>
  <si>
    <t>82-A 2031, se logra disminuir en un 50% la tasa de discapacidad grado severo en las personas con diagnóstico nuevo de lepra.</t>
  </si>
  <si>
    <t>Realizar Busqueda activa permanente mediante la Revisión Clinica de los convivientes de pacientes y expacientes de hansen, para la detecciön temprana, canalizacion a la IPS para diagnostico precoz, notificacion , registro y seguimiento, en el ambito urbano y rural de los 29 Municipios del magdalena.</t>
  </si>
  <si>
    <t>Apoyar el encuentro municipal de pacientes y expacientes de Enfermedad de Hansen para actividades eduactivas, de prevención y rehabilitacion basada en comunidad en los 29 municipios del departamento del Magdalena. (En los municipios donde no hay pacientes ni expacientes realizar actividad en poblacion del entorno comunitario)</t>
  </si>
  <si>
    <t>Desarrollar capacidades en el entorno institucional al talento humano de la DTS en temas como: gestión, Dx, sistema de información, analisis y seguimiento de indicadores en la prevencion y control de la enfermedad de hansen</t>
  </si>
  <si>
    <t>Yamina Yañez, Mayra Cantillo</t>
  </si>
  <si>
    <t xml:space="preserve">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t>
  </si>
  <si>
    <t xml:space="preserve">A 2031 el 100% de las Entidades Territoriales del orden departamental, distrital y municipal desarrollan mecanismos para el fortalecimiento de la rectoría en salud en su territorio, conforme a las competencias establecidas.  </t>
  </si>
  <si>
    <t xml:space="preserve">A 2027 el 100% de las Entidades Territoriales del orden municipal desarrollan mecanismos para el fortalecimiento de la rectoría en salud en su territorio, conforme a las competencias establecidas.  </t>
  </si>
  <si>
    <t>Evitar que la tasa de la de incidencia de la enfermedad de hansen este por encima del 1,39%.</t>
  </si>
  <si>
    <t>Realizar un plan de  asistencia tecnica a los diferentes actores del entorno institucional de los 29 Municipios en el programa de lepra y Apoyar la formulacion del plan Magdalena libre de Hansen</t>
  </si>
  <si>
    <t>Gestio territorial para el cuidado de la salud basado en la atencion primaria en salud.</t>
  </si>
  <si>
    <t>Evitar que la tasa de incidencia de la enfermedad de hansen este por encima del 1,39%.</t>
  </si>
  <si>
    <t>educacion en salud en el entorno educativo de los ambitos rural y urbano de los territorios priorizados dirigido a jovener de 9,10 y 11 en deteccion y prevencion de la enfermedad, prevencion del estigma y discriminacion de hansen de los 29 municipios del departamento del magdalena.</t>
  </si>
  <si>
    <t>Prácticas, saberes y conocimientos para la salud pública reconocidos y fortalecidos para Pueblos y comunidades étnicas, mujeres, población campesina, LBGTIQ+ y otras poblaciones por condición y/o situación</t>
  </si>
  <si>
    <t>Garantizar los mecanismos para salvaguardar el conocimiento relacionado con las formas, experiencias, prácticas y acciones en salud de las personas y colectivos, con el fin de fortalecer la transmisión intergeneracional.</t>
  </si>
  <si>
    <t>A 2031 el 100% de las Entidades Territoriales del orden departamental, distrital y municipal desarrollan mecanismos para el fortalecimiento de la rectoría en salud en su territorio, conforme a las competencias establecidas"</t>
  </si>
  <si>
    <t xml:space="preserve">Desarrollar acrividades de promoción y mantenimiento de la salud y prevención de la enfermedad en la poblacion diferencial, en los 29 municipios del departamento </t>
  </si>
  <si>
    <t>Acuerdos sociales y comunitarios para la transformación de las inequidades en salud y la incidencia sobre los DSS en el territorio </t>
  </si>
  <si>
    <t xml:space="preserve">realizar seguimiento del plan de acción de la RED de RBC para la implementación de la estrategia RBC (rehabilitación basada en comunidad), como un proceso de desarrollo local inclusivo de caracter intersectorial de las personas con discapacidad y sus cuidadores en los entornos institucional y comunitario en el area urbana y/o rural de los microterritorios priorizados de los 29 municicipios </t>
  </si>
  <si>
    <t>Promoción de capacidades y mecanismos para la gobernanza en salud pública y la incidencia sobre los determinantes sociales de la salud desde las diferentes instancias intersectoriales del orden nacional y territorial.</t>
  </si>
  <si>
    <t>Certificar a 4.600 personas con discapacidad en el departamento</t>
  </si>
  <si>
    <t>Desarrollo institucional y sectorial para el ejercicio de la autoridad sanitaria  </t>
  </si>
  <si>
    <t xml:space="preserve">Desarrollo de capacidades para preescripción de ayudas tecnicas para bancos municipales (SSM) de las personas con discapacidad en el departamento del Magdalena </t>
  </si>
  <si>
    <t>Desarrollo y fortalecimiento de capacidades para la
planeación integral en salud y la gestión territorial en el marco
del Modelo de Salud preventivo, predictivo y resolutivo basado
en Atención Primaria en Salud - APS</t>
  </si>
  <si>
    <t xml:space="preserve">Desarrollar acrividades de promoción y mantenimiento de la salud y prevención de la enfermedad en la  poblacion diferencial, en los 29 municipios del departamento </t>
  </si>
  <si>
    <t xml:space="preserve">Mesa de articulación intersectorial para la prestación de servicios en salud de la población con discapacidad y trastornos mentales </t>
  </si>
  <si>
    <t xml:space="preserve">Establecimiento de mecanismos de participación basada en
atención primaria en salud — APS para la gobernanza propia
en salud de los pueblos y comunidades. </t>
  </si>
  <si>
    <t>Certificar a 2.200 personas con discapacidad en el departamento</t>
  </si>
  <si>
    <t xml:space="preserve">Desarrollo de capacidad en valoraciones de apoyo -certificado (SSM, personeria, comesaria de familia) y fortalecimiento de la atención diferencial en salud ((SSM, personeria, comesaria de familia, IPS y EPS)para las personas con discapacidad </t>
  </si>
  <si>
    <t xml:space="preserve"> 2031 el 100% de las Entidades Territoriales del orden departamental, distrital y municipal desarrollan mecanismos para el fortalecimiento de la rectoría en salud en su territorio, conforme a las competencias establecidas"</t>
  </si>
  <si>
    <t xml:space="preserve"> 2027 el 100% de las Entidades Territoriales del orden municipal desarrollan mecanismos para el fortalecimiento de la rectoría en salud en su territorio, conforme a las competencias establecidas"</t>
  </si>
  <si>
    <t>Certificar a  2.200 personas con discapacidad en el departamento</t>
  </si>
  <si>
    <t>Desarrollo institucional y sectorial para el ejercicio de la autoridad sanitaria </t>
  </si>
  <si>
    <t xml:space="preserve">Asistencia tecnica y acompañamiento sobre el componente de discapacidad  (Rehabilitación basada en la comunidad (RBC) - certificación de discapacidad y RLCPD  </t>
  </si>
  <si>
    <t>Personas con discapacidad</t>
  </si>
  <si>
    <t>RUBY PONCE BALDOVINO</t>
  </si>
  <si>
    <t>2031 el 100% de las Entidades Territoriales del orden departamental, distrital y municipal desarrollan mecanismos para el fortalecimiento de la rectoría en salud en su territorio, conforme a las competencias establecidas"</t>
  </si>
  <si>
    <t>Asistencia tecnica para la implementación del modelo de infancia a los actores que hacen parte del sistema de salud en los 29 municipios del departamento</t>
  </si>
  <si>
    <t>promoción de capacidades y mecanismos para la gobernanza en salud pública y la incidencia sobre los determinantes sociales de la salud desde las diferentes instancias intersectoriales del orden nacional y territorial.</t>
  </si>
  <si>
    <t>Asistencia tecnica y articulación intersectorial con los diferentes actores para la prevención del trabajo infantil en los 29 municipios del departamento</t>
  </si>
  <si>
    <t>promoción de capacidades y mecanismos para la gobernanza en salud pública y la incidencia sobre los determinantes sociales de la salud desde las diferentes instancias intersectoriales del orden nacional y territorial</t>
  </si>
  <si>
    <t>Mesa  Departamental  de  Salud  y Nutricion para el desarrollo Integral de Niños, Niñas y Adolescentes</t>
  </si>
  <si>
    <t>Desarrollo y fortalecimiento de capacidades para la planeación integral en salud y la gestión territorial en el marco del Modelo de Salud preventivo, predictivo y resolutivo basado en Atención Primaria en Salud - APS</t>
  </si>
  <si>
    <t>31 el 100% de las Entidades Territoriales del orden departamental, distrital y municipal desarrollan mecanismos para el fortalecimiento de la rectoría en salud en su territorio, conforme a las competencias establecidas"</t>
  </si>
  <si>
    <t>Desarrollar acrividades de promoción y mantenimiento de la salud y prevención de la enfermedad en la poblacion diferencial, en los 29 municipios del departament</t>
  </si>
  <si>
    <t>Asistencia tecnica y seguimiento para la implementación del modelo de envejecimiento activo en los 29 municipios del departamento</t>
  </si>
  <si>
    <t>Generación y adecuación de estrategias que promuevan capacidades institucionales para la garantía del derecho a la</t>
  </si>
  <si>
    <t>Visita de seguimiento semestral para verificación de condiciones mínimas que dignifiquen la estadía de los adultos mayores en los centros de protección, centros de día e instituciones</t>
  </si>
  <si>
    <t>Articular acciones con los diferentes ejes estratégicos para el seguimiento de casos de interes en salud publica de los adultos mayores</t>
  </si>
  <si>
    <t>Asistencia tecnica sobre politica publica de envejecimiento y vejez 2022- 2031 en los 29 municipios del departamento</t>
  </si>
  <si>
    <t>Desarrollo de capacidades cognitiva dirigida a los adultos mayores de los 4 centros de bienestar del adulto mayor, en los municipios de banco, guamal, santa barbara de pinto y Sabanas de san Angel</t>
  </si>
  <si>
    <t>Desarrollo de capacidades para atención integral del adulto mayor con entidades territoriales, IPS, EAPB por subregiones</t>
  </si>
  <si>
    <t>Reconocimiento y legitimación de los espacios e instancias de diálogo y concertación para para la construcción colectiva de sistemas propios, a través de saberes, prácticas y conocimientos de y con las personas y colectivos.</t>
  </si>
  <si>
    <t>31 el 100% de las Entidades Territoriales del orden departamental, distrital y municipal desarrollan mecanismos para el fortalecimiento de la rectoría en salud en su territorio, conforme a las competencias establecidas</t>
  </si>
  <si>
    <t>Actividad ludico - recreatico para adultos mayores, familiares y cuidadores para loa Promocion del Envejecimiento Activo y Saludable y Prevencion del Maltrato a los Adultos Mayores y habitancia en calle en el entorno comunitario , hogar centro de vida y centros de bienestar donde aplique en el area urbana y/o rural de los microterritorios priorizados en los 29 munipios del Depar4tamento del Magdalena</t>
  </si>
  <si>
    <t>Fortalecimiento de capacidades técnicas para el ejercicio de la rectoría en salud.</t>
  </si>
  <si>
    <t>Desarrollar actividades de promoción y mantenimiento de la salud y prevención de la enfermedad en la población diferencial, en los 29 municipios del departamento</t>
  </si>
  <si>
    <t>Asistencia técnica y seguimiento de las acciones de la política pública para habitantes de calle, fenómeno de habitanza en calle, las características y necesidades de la población habitante de la calle, en las entidades territoriales</t>
  </si>
  <si>
    <t>Asistencia técnica con el fin de sensibilizar sobre prestación de servicios hacia la población habitante de calle para reducir el estigma y discriminación, dirigida a las entidades e instituciones a cargo de los servicios sociales y de salud</t>
  </si>
  <si>
    <t>Persona mayor</t>
  </si>
  <si>
    <t>Abogacía e incidencia técnica y política en la agenda de otros sectores, a fin de generar acciones intersectoriales y transectoñales definiendo temas transversales y objetivos comunes.</t>
  </si>
  <si>
    <t>Realizar 2 mesa para el desarrollo de rutas sectoriales de atención integral para Personas Habitantes de la Calle</t>
  </si>
  <si>
    <t>Prácticas, saberes Y conocimientos para la salud pública reconocidos y fortalecidos para Pueblos y comunidades étnicas, mujeres, población campesina, LBGTIQ+ y otras poblaciones por condición y/o situación.</t>
  </si>
  <si>
    <t>Posicionamiento de los procesos participativos de rendición de cuentas incluyendo la evaluación del reconocimiento y respeto por los sistemas de conocimiento propio y los saberes de los pueblos y comunidades étnicas y campesinas, mujeres, sectores LGBTIQ+ y otras poblaciones por condición y/o situación en planes, programas y estrategias desarrolladas en 
 el marco del Plan Territorial de Salud.</t>
  </si>
  <si>
    <t>A 2031 el 100%de entidades territoriales, Deoparatamentales, Distritales y Municipales han implementado la estrategia de transversalización del enfoque de género en la planeacion integral en salud</t>
  </si>
  <si>
    <t>A 2027 el 100% de entidades territoriales Municipales han implementado la estrategia de transversalización del enfoque de género en la planeacion integral en salud</t>
  </si>
  <si>
    <t>Taller educativo para generar sensibilización en el entorno comunitario sobre factores de riesgo asociados a la habitanza en calle, características de la población habitante de calle y su estilo de vida, así como la orientación hacia rutas y servicios sociales y de salud con el fin de reducir el estigma y la discriminación.</t>
  </si>
  <si>
    <t>Realizar asistencia tecnica sobre acciones para la prevencion de trata de personas violencias basadas en género y diversidad en los 29 Municipios del departamento</t>
  </si>
  <si>
    <t>Realizar asistencia tecnica sobre humanizacion para la atencion sin discriminación y trato digno en los servicios en salud a población OSIG diversa y/o LGBTIQ+</t>
  </si>
  <si>
    <t>Implementacion de estatregia "Ruta Segura" simulacro de atencion en casos de trata de personas y violencias basadas en género. como actuar ante sospecha, situación y canalizacion de casos, con capacidad instalada en la creacion e implementacion de rutas de atención</t>
  </si>
  <si>
    <t>A 2027 el 100%de entidades territoriales,  Municipales han implementado la estrategia de transversalización del enfoque de género en la planeacion integral en salud</t>
  </si>
  <si>
    <t>Desarrollar un programa radial sobre el ejercicio ciudadano de la participación social para cogestionar la garantía del derecho a la salud y desarrollar acciones para la prevención de no discriminación o estigmatización por causa o condición y  prevencion de violencia de cualquier tipo  y promocion de los entornos seguros en cada uno de los 29 municipios</t>
  </si>
  <si>
    <t>Habitante de Calle</t>
  </si>
  <si>
    <t>Políticas, planes, programas y estrategias en salud con transversalización de los enfoques de pueblos y comunidades, género y diferencial e integración de los sistemas de conocimiento propio y saberes de los pueblos y comunidades étnicas y campesinas</t>
  </si>
  <si>
    <t>Establecimiento de los mecanismos institucionales, sectoriales, intersectoriales y comunitarios que garanticen la participación de las diferentes formas y expresiones organizativas de los pueblos y comunidades en la planeación y la respuesta en salud.</t>
  </si>
  <si>
    <t>A 2031 el 100% de las entidades territoriales del orden departamental, distrital y municipal desarrollan mecanismos para el fortalecimiento de la rectoría en salud en su territorio, conforme a las competencias establecidas.</t>
  </si>
  <si>
    <t>A 2027 el 100% de las entidades territoriales del orden municipal desarrollan mecanismos para el fortalecimiento de la rectoría en salud en su territorio, conforme a las competencias establecidas.</t>
  </si>
  <si>
    <t>Construccion de protocolo de atencion diferencial a la poblacion negra-afrodesciente- raizal y palanquero</t>
  </si>
  <si>
    <t>Realizar Busqueda activa comunitaria mensual de niños(as) menores de cinco años; en el  entorno hogar, en los territorios y microterritorios con su respectivo tamizaje, a cada familia se le debe educar en el código internacional de Sucedáneos</t>
  </si>
  <si>
    <t>4 mesas para la implemetacion piloto de atencion entre la salud ancestral y salud occidental</t>
  </si>
  <si>
    <t xml:space="preserve">A  2027 el 100% de entidades territoriales  Municipales que tienen en su tenitorio pueblos y comunidades indígenas, comunidades negras, afrocolombianas, raizales y  palenqueras y pueblo Rrom han 
establecido acuerdos para la garantía del derecho fundamental a la salud y la 
respuesta a las necesidades de la salud 
propia e intercultural. </t>
  </si>
  <si>
    <t>Realizar jornadas educativas de socialización para promover hábitos de alimentación saludable, destacando la variedad de alimentos y su aporte nutricional en cada microterritorio en el entorno hogar utulizando el plato saludable</t>
  </si>
  <si>
    <t>Realizar educación en salud materna y neonatal, a mujeres en edad fertil, parteras y jefes del hogar en las comunidades priorizadas, sobre factores de riesgo de la gestante, reporte oportuno y atención en salud para evitar complicaciones en la madre y en su hijo</t>
  </si>
  <si>
    <t xml:space="preserve">Realizar jornadas de desparasitación antihelmíntica, acompañado de Educacion en salud en la población en el entorno escolar a niños(as) y adolescentes de 1 a 14 años, sobre la importancia de la desparasitación antihelmíntica en los municipios  priorizados </t>
  </si>
  <si>
    <t>Negros, Afrocolombianos, raizal y palanques</t>
  </si>
  <si>
    <t>Realizar fortalecimiento en salud de las Unidades de atención integral comunitaria (UAIC) a población Negros- afrocolombianos-raizales-palenqueros para difundir los tres mensajes claves del programa de prevención, manejo y control de la IRA/EDA y la identificacion de signos de alarma de la Enfermedad diarreica aguda y enfermedad respiratoria aguda</t>
  </si>
  <si>
    <t>Coordinar sectorial e inetrsectorialmente acciones que incentiven la demanda  de las atenciones defenidas en la resolucion 3280 de 2018 del Ministerio de Salud y Proteccion Socialm relacionadascon la primera infancia o la norma que la modifique , adicdion o sustituya</t>
  </si>
  <si>
    <t xml:space="preserve">Realizar caracterizacion del territorio y poblacion negros, afrocolombianos, raizales y palenqueros asentada en el departamento con reconocimiento de la etnia en diferentes entornos en el area urbana y/o rural para la comunidad negros, afrocolombianos, raizales y palenqueros  en los microterritorios priorizados </t>
  </si>
  <si>
    <t>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t>
  </si>
  <si>
    <t>Fortalecimiento de capacidades técnicas para el ejercicio de la rectoría en salud</t>
  </si>
  <si>
    <t>Fortalecer las capacidades en los actores del sector salud y sector social en las entidades territoriales de los 29 munipicipios  del Departamento del Magdalena para gestionar de manera adecuada la atención de la población migrante y favorecer la convivencia social.</t>
  </si>
  <si>
    <t>Mesas de trabajo con cooperantes para la atención en salud de la población migrante en el departamento</t>
  </si>
  <si>
    <t xml:space="preserve">Fortalecimiento del desarrollo de capacidades en el talento humano en salud para la identificación, diagnóstico y prevención de los riesgos relacionados con la ocupación.
</t>
  </si>
  <si>
    <t xml:space="preserve">Desarrollar acrividades de promoción y mantenimiento de la salud y prevención de la enfermedad en la  poblacion diferencial, en los 29 municipios del departamento 
</t>
  </si>
  <si>
    <t>Primer foro de salud intercultural de los pueblos y comunidades indígenas del Magdalena: kogui, wiwa, arhuacos, chimila (SSM, IPS, EPS, Defensoría del Pueblo, promotores de salud, gremios en salud y académia)</t>
  </si>
  <si>
    <t>A 2031 el 100% de las Entidades
 Territoriales del orden departamental,
 distrital y municipal desarrollan
 mecanismos para el fortalecimiento de la
 rectoría en salud en su territorio, conforme
 a las competencias establecidas</t>
  </si>
  <si>
    <t>A 2027 el 100% de las Entidades
 Territoriales del orden municipal desarrollan mecanismos para el fortalecimiento de la rectoría en salud en su territorio, conforme a las competencias establecidas</t>
  </si>
  <si>
    <t>Relizar 4 mesas tematicas en territorio con la población etnica del departamento para fortalecer los procesos y practicas de salud de las comunidades y pueblos indigenas.</t>
  </si>
  <si>
    <t>A 2027 el 100% de las Entidades
 Territoriales del orden municipal desarrollan  ecanismos para el fortalecimiento de la rectoría en salud en su territorio, conforme a las competencias establecidas</t>
  </si>
  <si>
    <t>Conformar, priorizar y desarrollar actividades educativas en GOTIS y UTIS en los 29 municipios del departamento</t>
  </si>
  <si>
    <t>Taller con las entidades de salud, los trabajadores informales, UTI y GOTIS para promover prácticas para el mejoramiento de las condiciones de salud de esta población identificación y gestión de sus riesgos a la salud asociados a los determinantes ambientales, sanitarios, ocupacionales de la salud.</t>
  </si>
  <si>
    <t>Intevenidos determinantes sociales individuales que mitigan morbilidad y mortalidad  prematuras por enfermdades no trasmisibles</t>
  </si>
  <si>
    <t xml:space="preserve">Reaizar Pruebas SRQ para la detección temprana de trastornos mentales en adultos en la poblacion infomal de los 29 munipios 
</t>
  </si>
  <si>
    <t>gestion territorial para el cuidado de la salud basado en la atención primaria en salud</t>
  </si>
  <si>
    <t>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t>
  </si>
  <si>
    <t>A 2027 el 100% de las entidades territoriales del orden municipal han desarrollado procesos de ajuste institucional para el fortalecimiento de las capacidades de la autoridad sanitaria y la apropiación territorial del modelo de salud basado en la atención primaria en salud</t>
  </si>
  <si>
    <t>Realizar fortalecimiento en salud de las unidades de atención integral comunitaria (UAIC) a población etnica indígena en los 4 municipios (Aracataca, Ciénaga, Fundación y Sabanas de San Angel) para difudinr los tres mensajes claves del programa de prevención, manejo y control de la IRA/EDA y la identificación de signos de alarma de la enfermedad diarreica aguda y enfermedad respiratoria aguda, donde se le entregara al promotor de la comunidad</t>
  </si>
  <si>
    <t>Actividades de Promoción, Prevención, Educación y Saneamiento tradicional (salud tradicional - salud intercultural - salud occidental)</t>
  </si>
  <si>
    <t>Realizar educación integral en salud materna y neonatal a Mujeres en edad fertil, gestantes en periodo de lactancia, sus familias, parteras, jefes del hogar, promotores de salud sobre la  lactancia materna y la adecuada alimentación complementaria en los microterritorios priorizados.</t>
  </si>
  <si>
    <t xml:space="preserve"> Garantizar una atención integral, intercultural y continua a la población, a través de un equipo multidisciplinario que intervenga de manera articulada en la promoción, prevención, diagnóstico y tratamiento en salud, desde la implementación del Plan de Cuidado, adaptado a la cosmovisión territorial de las comunidades indígenas, este plan se pondrá en marcha en los cuatro municipios del Departamento con reconocimiento de las etnias en diferentes entornos en el área urbana y/o rural. </t>
  </si>
  <si>
    <t>Poblacion Trabajadora Inforrmal</t>
  </si>
  <si>
    <t>Educación en salud a los pacientes, familias, comunidades y organizaciones indígenas sobre identificación de signos de alarma y síntomas de tuberculosis, realizar busquedas activas de sintomáticos respiratorios en comunidades indígenas de los municipios de Aracataca, Ciénaga, Fundación y San Angel y canalización a su IPS para su diagnóstico oportuno.</t>
  </si>
  <si>
    <t xml:space="preserve">Desarrollo de capacidades al TH Indigena manejo de la DNT aguda </t>
  </si>
  <si>
    <t>Fortalecimiento de las capacidades del Talento Humano en
 la irnplementación de estrategias para la generación de
 conocimiento de las condiciones de salud de la población
 y sus determinantes tales como observatorios, ASIS,
 unidades de análisis, seminarios, entre otras.</t>
  </si>
  <si>
    <t>A 2031, mantener la tasa de mortalidad de suicidio por debajo de 5</t>
  </si>
  <si>
    <t>A 2027, mantener la tasa de mortalidad de suicidio por debajo de 5</t>
  </si>
  <si>
    <t>Garantizar la atención a 1.992 personas victimas de vilencia de género intrafamiliar, intentos de suicidio, entre otros trastornos relacionados con la salud mental, a traves de la línea telefónica de atención de emergencias en salud mental</t>
  </si>
  <si>
    <t>Desarrollo de capacidades a través de un taller para los actores del sistema de salud en atención integral en salud y psicosocial, para las victimas del conflicto armado (SSM, IPS, EAPB) - Normatividad - protocolo/ implementación - retos y avances.</t>
  </si>
  <si>
    <t>99-no relación</t>
  </si>
  <si>
    <t>desarrollar capacidades en la vigilancia sobre el uso, conservacion y aplicacion de los medicamentos dentro de los servicios farmaceuticos dependientes e independientes para minimizar errores en recpcion y dispensacion, a traves de 4 talleres</t>
  </si>
  <si>
    <t xml:space="preserve">Articulacion Intersectorial para debatir politicas sobre el uso y conservacion de los medicamentos dentro de los servicios farmaceuticos dependientes e independientes para minimizar errores en recpcion y dispensacion, a traves de 5 reuniones </t>
  </si>
  <si>
    <t xml:space="preserve">Realizar una compra al Fondo Nacional de Estupefacientes ,para adquirir los medicamentos monopolio del estado, para garantizar la disponibilidad a la póblación, de conforidad con el plan de adquisiciones </t>
  </si>
  <si>
    <t>Adquirir 1000 recetarios oficiales para la prescripcion de medicamentos monopolio del Fondo Rotatorio de Estupefacientes</t>
  </si>
  <si>
    <t>Fortalecer el sistema de informacion institucional, para garantizar respuestas oportunas, completas y trazables a los requerimientos de los entes de control atraves de la actualizacion del Sistema Integrado de Vigilancia Sanitaria. Que permitan cantralizar, organizar y hacer seguimiento a cada solicitud desde su recepcion hasta su cierre.</t>
  </si>
  <si>
    <t>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t>
  </si>
  <si>
    <t xml:space="preserve">A 2031 el 100% de los Departamentos, Distritos y Municipios del País integran en su Planes de Desarrollo Territoriales estrategias para afectar de manera positiva los determinantes sociales de la salud en sus territorios.    </t>
  </si>
  <si>
    <t>Garantizar la vigilancia epidemiologica al los eventos de Interes en Salud Publica, en los 29 municipios del departamento</t>
  </si>
  <si>
    <t>Generar espacios de encuentro y coordinación intersectorial con actores del sistema de vigilancia en salud pública una vez por mes (cove), reuniones de estadisticas vitales y reuniones bimensuales para fortalecer la respuesta, control y seguimiento a los EISP del departamento con otros actores.</t>
  </si>
  <si>
    <t>Leydy Constanza Cuellar 
 Coordinadora VSP</t>
  </si>
  <si>
    <t>Realizar la gestión de los insumos necesarios para dar respuesta de manera oportuna y eficiente a los EISP y EISPII del departamento</t>
  </si>
  <si>
    <t>RECURSOS PROPIOS DE ESTABLECIMIENTOS PUBLICOS O UNIDADES ADMINISTRATIVAS ESPECIALES (1.2.5.1.00)</t>
  </si>
  <si>
    <t>1.2.5.1.00</t>
  </si>
  <si>
    <t>Realizar encuesta de evaluación de coberturas de vacunación en zona urbana y rural de los 29 Municipios de Departamento</t>
  </si>
  <si>
    <t>Documento</t>
  </si>
  <si>
    <t>Brindar asistencia técnica a las 29 direcciones territoriales de salud para verificar y fortalecer el funcionamiento del Sistema de Vigilancia en Salud Pública, con énfasis en la calidad de la notificación de los Eventos de Interés en Salud Pública (EISP), la implementación de los lineamientos nacionales del INS y la aplicación estandarizada de los protocolos vigentes.</t>
  </si>
  <si>
    <t>Actualizar y divulgar una vez al año el analisis de situacion en salud del departamento incluyendo la poblacion pertenecinete a grupos Etnicos, para conocer y comprender la complejidad en que se desarrollan los procesos de salud, enfermedad y calidad de vida de las poblaciones, permitiendo la adecuada y pertinente planeación de intervenciones.</t>
  </si>
  <si>
    <t>Realizar el 100% de unidades de análisis de las mortalidades por EISP y de casos de morbilidad por EISP según lineamientos del INS</t>
  </si>
  <si>
    <t>Fortalecimiento de las capacidades del Talento Humano en el acceso y uso de la oferta actual de información pública de salud y de otros sectores.</t>
  </si>
  <si>
    <t>Desarrollar procesos de capacitación dirigidos al talento humano operativo de la Secretaría de Salud, orientados al fortalecimiento de competencias técnicas en vigilancia en salud pública, con el fin de mejorar la calidad del análisis, la notificación y la respuesta institucional frente a los eventos de interés en salud pública</t>
  </si>
  <si>
    <t>Nivel Nacional y entes territoriales preparados y fortalecidos para la gestión del conocimiento, prevención, y atención sectorial e intersectorial de emergencias, desastres y pandemias.</t>
  </si>
  <si>
    <t>Fortalecimiento de capacidades comunitarias en la gestión del riesgo de emergencias y desastres que afecten la salud de la población.</t>
  </si>
  <si>
    <t>A 2031 se establecerán en el 100% de los Departamentos y Distritos, sistemas de alerta temprana para la identificación del riesgo por el cambio climático y la posible vulnerabilidad de la población desde un enfoque territorial.</t>
  </si>
  <si>
    <t>A 2027 se establecerán en el 100% sistemas de alerta temprana para la identificación del riesgo por el cambio climático y la posible vulnerabilidad de la población desde un enfoque territorial.</t>
  </si>
  <si>
    <t>Realizar talleres de REVCOM para fortalecer la participación social y comunitaria en la identificación oportuna de EISP o situaciones de riesgo en salud de la población general y poblacion migrante.</t>
  </si>
  <si>
    <t>Producción, organización, depuración y reporte de la información en salud pública</t>
  </si>
  <si>
    <t>Elaborar, analisar y divulgar boletines epidemiológicos quincenales con información actualizada sobre la dinámica de los Eventos de Interés en Salud Pública (EISP) notificados a la Unidad Notificadora Departamental (UND), incorporando el análisis diferencial por etnia, con el propósito de fortalecer la respuesta intersectorial, orientar las políticas, apoyar la planeación en salud y facilitar la toma oportuna de decisiones.</t>
  </si>
  <si>
    <t>Socializar periódicamente con cada área de la Secretaría de Salud los datos específicos relacionados con los Eventos de Interés en Salud Pública (EISP) y los principales fenómenos epidemiológicos de los municipios, con el fin de fortalecer la planificación, ejecución y evaluación de las intervenciones en salud pública a nivel departamental; mediante reuniones de articulación interáreas y la realización de salas de análisis de riesgo.</t>
  </si>
  <si>
    <t>67-A 2031, el 100% de las entidades territoriales habrán implementado la Política Integral de Salud Ambiental (PISA)</t>
  </si>
  <si>
    <t>Realizar 1,280 asistencias técnicas a la red de laboratorios del departamento</t>
  </si>
  <si>
    <t>Garantizar la recoleccion mensual de los residuos peligrosos y químicos en el laboratorio de salud publica del Magdalena</t>
  </si>
  <si>
    <t>Garantizar el transporte aéreo y terrestre de sustancias infecciosas, aguas , alimentos y material entomologico al Instituto Nacional de Salud, INVIMA y otros laboratorios del País.</t>
  </si>
  <si>
    <t>Realizar cursos de entrenamiento para profesionales de la salud, en montaje y lectura de pruebas rapidas de VIH, Hepatitis y sifilis en el marco del cumplimiento de la Resolución 1314/2020</t>
  </si>
  <si>
    <t>Realizar el Curso teórico Práctico de herramientas diagnósticas de eventos de interés de Salud Pública a toda la red departamental</t>
  </si>
  <si>
    <t>Realizar el plan de mantenimiento preventivo, correctivo, calibración y calificación de los equipos del Laboratorio de Salud Publica, asegurando el cumplimiento de los requisitos del Organismo Nacional de Acreditación de Colombia ONAC y su documento normativo CEA-4.1-02 de Los proveedores.</t>
  </si>
  <si>
    <t>Guillermo Valencia</t>
  </si>
  <si>
    <t>Realizar el Plan de Mantenimiento Preventivo y Correctivo de la Planta Electrica del Laboratorio de Salud Publica Departamental del Magdalena; el cual debe llevarlo a cabo una empresa cuyo domicilio principal y razon social este en la ciudad de Santa Marta ( Magdalena).</t>
  </si>
  <si>
    <t>Realizar la compra de equipos biomedicos, de sistema de informacion, para cumplir con los procesos misionales y para la bioseguridad en el LSP que garantice las acciones de vigilancia de salud Pública por el LSP .</t>
  </si>
  <si>
    <t>Realizar la compra de insumos y reactivos para cumplir con los procesos misionales y para la bioseguridad en el LSP que garantice las acciones de vigilancia de salud Pública por el LSP .</t>
  </si>
  <si>
    <t>Mantenimiento y actualizacion de software para el Laboratorio de Salud Publica para el manejo del sistema de gestion de la calidad</t>
  </si>
  <si>
    <t>Adquisicion de software para gestionar las muestras en el area Microbiologia de Alimentos para laboratorio de salud publica</t>
  </si>
  <si>
    <t>Realizar el Plan de control de plagas del Laboratorio de Salud Publica Departamental del Magdalena; el cual debe llevarlo a cabo una empresa cuyo domicilio principal y razon social este en la ciudad de Santa Marta ( Magdalena).</t>
  </si>
  <si>
    <t>Garantizar el analisis de vertimientos de acuerdo a la resolucion Resolución 0631 de 2015 el cual debe llevarlo a cabo una laboratorio acreditado.</t>
  </si>
  <si>
    <t>Garantizar el mantenimiento de motobombas y limpieza y desinfeccion del sistema de suministro de agua del laboratorio de salud Publica el cual debe llevarlo a cabo 2 veces al año una empresa cuyo domicilio principal y razon social este en la ciudad de Santa Marta (Magdalena).</t>
  </si>
  <si>
    <t>Garantizar la migracion de la Norma ISO/IEC 17025 2005 a Norma ISO/IEC 17025 2017 para dar cumplimiento a los halazgos del INS e INVIMA y actualizar el sistema de Gestion de la Calidad del laboratorio de Salud Publica</t>
  </si>
  <si>
    <t>Realizar el encuentro de laboratorios de Banco Sangre departamental para la concertar estrategias para la concientizacion de la donacion de sangre</t>
  </si>
  <si>
    <t>85-A 2031, 15% de municipios endémicos para malaria pasan de categoría de riesgo 4 a 3</t>
  </si>
  <si>
    <t>Hacer captura de material entomologico para malaria, chagas y leishmaniasis en municipios priorizados según programacion definida</t>
  </si>
  <si>
    <t>Realizar la vigilancia por laboratorio de la calidad de agua para consumo humano (IRCA ) de los municipios del departamento del Magdalena con reporte a SIVICAP</t>
  </si>
  <si>
    <t>Realizar la Vigilancia por laboratorio de los alimentos y ETAS en los municipios del Departamento del Magdalena y su reporte al Epiinfo.</t>
  </si>
  <si>
    <t>Realizar la Vigilancia por laboratorio de las Intoxicación ocasionadas por plaguicidas, organofosforados y carbamatos en Municipios priorizados del Departamento del Magdalena.</t>
  </si>
  <si>
    <t>Realizar control de Calidad por laboratorio de los eventos de interes en salud publica de las muestras enviadas por la red de laboratorios del Distrito y del Departamento</t>
  </si>
  <si>
    <t>79-A 2031, 50% de las personas que son confirmadas por banco de sangre para HTLV, VIH, Hepatitis B y C, enfermedad de Chagas y sífilis acceden a la atención integral en salud.</t>
  </si>
  <si>
    <t>Realizar visitas e inspeccion y asistencia tecnicas a los Bancos de sangre del Departamento del Magdalena</t>
  </si>
  <si>
    <t>Gestionar la contratación del talento humano operativo para el desarrollo de los procesos a cargo de la Entidad territorial como autoridad sanitaria, orientados a que las estrategias, procedimientos e intervenciones de Salud Pública se realicen de manera efectiva, coordinada y organizada entre los diferentes actores del SGSSS, otros sectores y la comunidad.</t>
  </si>
  <si>
    <t>Desarrollo de capacidades frente a la planeacion integral en salud, la Formulacion coherente, pertinente y oportuna de las intervenciones del PIC/GSP Resolucion 1597/25</t>
  </si>
  <si>
    <t>Desarrollo de capacidades los EBS para la optima ejecucion de las acciones en campo</t>
  </si>
  <si>
    <t>Desarrollo de capacidades en Plan Terrirotial de Salud</t>
  </si>
  <si>
    <t>Mejorar la dotacion del Fondo Rotatorio de Estupefacientes con la adquisicion de 4 aires acondicionados ( 2 de 24000 BTU, 2 12000 BTU), desmonte de aires viejos e instalación de los nuevos.</t>
  </si>
  <si>
    <t>Diana Celedon</t>
  </si>
  <si>
    <t>Determinantes Sociales de la Salud</t>
  </si>
  <si>
    <t>Transformación cultural, movilización y organización social y popular por la vida, salud y la equidad en salud.</t>
  </si>
  <si>
    <t xml:space="preserve">Avance en la superación de barreras de acceso para la atención primaria en salud con énfasis en la rehabilitación integral en salud de las poblaciones víctimas del conflicto armado interno y de las personas en procesos de reincorporación y dejación de armas.  </t>
  </si>
  <si>
    <t xml:space="preserve">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t>
  </si>
  <si>
    <t>Mantener por debajo de 5 por 100.000 habitantes la tasa de suicidio</t>
  </si>
  <si>
    <t>Implementar la línea telefonica de atencion en salud mental en el departamento del Magdalena</t>
  </si>
  <si>
    <t>DESARROLLO INSTITUCIONAL Y SECTORIAL PARA EL EJERCICIO DE LA AUTORIDAD SANITARIA.</t>
  </si>
  <si>
    <t>Diseñar y formalizar el protocolo técnico-operativo de la línea telefónica departamental de atención en salud mental por parte de la Secretaría Seccional de Salud del Magdalena mediante acto administrativo que defina ruta de atención, perfiles del talento humano, articulación intersectorial y sistema de monitoreo</t>
  </si>
  <si>
    <t>Andrea Palacios</t>
  </si>
  <si>
    <t>ACUERDOS SOCIALES Y COMUNITARIOS PARA LA TRANSFORMACIÓN DE LAS INEQUIDADES EN SALUD  Y LA INCIDENCIA SOBRE LOS DETERMINANTES SOCIALES DE LA SALUD EN EL TERRITORIO.</t>
  </si>
  <si>
    <t>Concertar acuerdos territoriales de promoción y uso de la línea telefónica de salud mental con actores comunitarios, educativos y sociales del departamento del Magdalena mediante mesas de trabajo que definan estrategias de difusión, enfoque diferencial y canales de referencia comunitaria.</t>
  </si>
  <si>
    <t>Porcentaaje de gestión</t>
  </si>
  <si>
    <t>CUIDADO DE LA SALUD EN EL TERRITORIO.</t>
  </si>
  <si>
    <t>Implementar la operación continua de la línea telefónica departamental de atención en salud mental por el equipo interdisciplinario contratado mediante prestación de servicio 24/7 que garantice orientación, intervención en crisis y activación oportuna de la ruta de atención en el territorio.</t>
  </si>
  <si>
    <t>dias</t>
  </si>
  <si>
    <t>Disminuir la Tasa de mortalidad por EDA a 4,3 por 100.000 menores de 5 años</t>
  </si>
  <si>
    <t>Realizar estrategias de educomunicacion en salud sexual y reproductiva en IED priorizadas en el departamento</t>
  </si>
  <si>
    <t>Diseñar y adoptar el plan técnico departamental de comunicación en salud sexual y reproductiva para IED priorizadas por la Secretaría Seccional de Salud del Magdalena mediante acto administrativo que defina lineamientos pedagógicos, enfoque diferencial, articulación con sector educación y sistema de seguimiento.</t>
  </si>
  <si>
    <t>Documento( Plan )</t>
  </si>
  <si>
    <t>Concertar acuerdos intersectoriales de implementación de estrategias de educomunicación en salud sexual y reproductiva con directivos docentes, asociaciones de padres y líderes juveniles en los municipios del departamento mediante mesas territoriales que definan compromisos, rutas de participación y mecanismos de corresponsabilidad.</t>
  </si>
  <si>
    <t>municipios</t>
  </si>
  <si>
    <t>Jesus rebolledo</t>
  </si>
  <si>
    <t>Implementar jornadas pedagógicas y campañas educomunicativas en salud sexual y reproductiva en IED priorizadas por el equipo técnico de salud pública en cada municipio  del Deparatemento para la activación de rutas de orientación y acceso a servicios amigables.</t>
  </si>
  <si>
    <t>NA</t>
  </si>
  <si>
    <t xml:space="preserve">A 2031 Disminuir a 32 x 100.000 NVla razón de mortalidad materna a </t>
  </si>
  <si>
    <t>Implementación de la estrategia nacional para la prevencion de la conducta suicida en las IPS publicas del departamento</t>
  </si>
  <si>
    <t>Adoptar y reglamentar la estrategia nacional de prevención de la conducta suicida en las IPS públicas del departamento por la Secretaría Seccional de Salud del Magdalena mediante acto administrativo que defina lineamientos técnicos, responsabilidades institucionales, indicadores de seguimiento y sistema de reporte obligatorio</t>
  </si>
  <si>
    <t>Estrategia</t>
  </si>
  <si>
    <t>Articular compromisos intersectoriales de prevención de la conducta suicida con sector educativo, comisarías de familia y organizaciones comunitarias del departamento mediante mesas territoriales que establezcan rutas de detección temprana, referencia y acompañamiento psicosocial.</t>
  </si>
  <si>
    <t>mplementar la estrategia nacional de prevención de la conducta suicida en las IPS públicas del departamento por los equipos interdisciplinarios de salud mental mediante capacitación al talento humano, tamizaje sistemático de riesgo y activación oportuna de la ruta integral de atención.</t>
  </si>
  <si>
    <t>Adolescencia</t>
  </si>
  <si>
    <t>Aumento de la Tasa de Incidencia de las enfermedades transmitidas por vectores como el dengue</t>
  </si>
  <si>
    <t>Cambio climático, emergencias, desastres y pandemias</t>
  </si>
  <si>
    <t xml:space="preserve">A 2031 se establecerán en el 100% de los Departamentos y Distritos, sistemas de alerta temprana para la identificación del riesgo por el cambio climático y la posible vulnerabilidad de la población desde un enfoque territorial.  </t>
  </si>
  <si>
    <t xml:space="preserve">Fortalecimiento de capacidades comunitarias en la gestión del riesgo de emergencias y desastres que afecten la salud de la población.  </t>
  </si>
  <si>
    <t xml:space="preserve">A 2031 se incorporará en el 100% de los Departamentos y Distritos, el Plan de gestión integral de riesgos de emergencias y desastres en salud (PGIRED)  </t>
  </si>
  <si>
    <t>Reducir a 10% las muertes por dengue grave en el departamento</t>
  </si>
  <si>
    <t xml:space="preserve">A 2027 Garantizar la vigilancia epidemiologica al los eventos de Interes en Salud Publica, en los 29 municipios del departamento </t>
  </si>
  <si>
    <t xml:space="preserve">Garantizar la vigilancia epidemiologica al los eventos de Interes en Salud Publica, en los 29 municipios del departamento </t>
  </si>
  <si>
    <t>Articular compromisos comunitarios de apoyo a la vigilancia epidemiológica con actores sociales y educativos de los 29 municipios mediante jornadas participativas que promuevan la identificación temprana de eventos y la activación de rutas institucionales.</t>
  </si>
  <si>
    <t>Deficiencias en la infraestructura sanitaria que se ve reflejada en bajas coberturas de alcantarillado y prestación del servicio de aseo, así como la mala calidad del agua, que condiciona la incidencia de enfermedades transmitidas por el agua y los alimentos, infecciones gastrointestinales, parasitosis y otras enfermedades de origen hídrico.</t>
  </si>
  <si>
    <t>a 2031 se incorporará en el 100% de los departamentos y distritos, el plan de gestion en sistemas de alerta temprana para la identificación del riesgo por el cambio climático y la posible vulnerabilidad de la población desde un enfoque territorial</t>
  </si>
  <si>
    <t>fortalecimiento de las capacidades del personal de la salud en todo lo relacionado con los posibles efectos de la variabilidad del cambio climático</t>
  </si>
  <si>
    <t>A 2027 Lograr la formulación  y socialización de Planes municipales de Gestion integrl de riesgos de desastres en los 29 municipios</t>
  </si>
  <si>
    <t>Lograr la formulación  y socialización de Planes municipales de Gestion integrl de riesgos de desastres en los 29 municipios</t>
  </si>
  <si>
    <t>Implementar procesos territoriales de acompañamiento técnico para la formulación y socialización de los Planes Municipales de Gestión Integral del Riesgo de Desastres en los 29 municipios por el equipo departamental de salud pública mediante asistencia técnica directa, simulacros comunitarios y validación participativa de rutas de respuesta en salud.</t>
  </si>
  <si>
    <t>Personal de Salud.</t>
  </si>
  <si>
    <t>A 2027 Fortalecer 100% de los departamentos y Distritos los sistemas de alerta temprana y la infraestructura sanitaria en zonas rurales para garantizar una respuesta rápida y efectiva ante emergencias climáticas</t>
  </si>
  <si>
    <t>a 2031 Contener la tasa de Mortalidad en menores de 5 años</t>
  </si>
  <si>
    <t>Lograr que los 29 municipios conozcan y apliquen el reglamento sanitario internacional 2005</t>
  </si>
  <si>
    <t>Implementar procesos de capacitación y acompañamiento técnico para la aplicación del Reglamento Sanitario Internacional 2005 en los 29 municipios por el equipo departamental de vigilancia en salud pública mediante talleres prácticos, simulacros de eventos de importancia internacional y seguimiento a la activación de capacidades básicas locales</t>
  </si>
  <si>
    <t>socialización RSI 2006</t>
  </si>
  <si>
    <t>A 2027 Lograr promover el conocimiento de riesgos de desastres en los 29 municipios con el fin de que respondan con eficacia ante las emergencias y desastres que enfrenten</t>
  </si>
  <si>
    <t>Lograr promover el conocimiento de riesgos de desastres en los 29 municipios con el fin de que respondan con eficacia ante las emergencias y desastres que enfrenten</t>
  </si>
  <si>
    <t>Implementar programas municipales de preparación y respuesta en gestión del riesgo de desastres en los 29 municipios por el equipo departamental de emergencias en salud mediante realización de mínimo un simulacro anual por municipio, capacitación certificada a líderes comunitarios y evaluación técnica de planes de respuesta sanitaria.</t>
  </si>
  <si>
    <t>transversal  a todos los nucleos</t>
  </si>
  <si>
    <t xml:space="preserve">Transformación cultural, movilización y organización social y popular por la vida, salud y la
equidad en salud. </t>
  </si>
  <si>
    <t>Actualización del sistema nacional de vigilancia incluye la redefinición de eventos objeto de vigilancia, indicadores específicos de seguimiento, modelos de vigilancia de cada uno y flujos de información en doble vía. Con participación de autoridades sanitarias nacionales, distritales y locales, aseguradoras y prestadores, así como de la comunidad y entidades de otros sectores.</t>
  </si>
  <si>
    <t xml:space="preserve">A 2031 las Entidades Municipales, Departamentales y Distritales responden a las necesidades en salud de la población con participación de los actores estratégicos del territorio.  </t>
  </si>
  <si>
    <t>1.    "A 2027 Garantizar el acceso a los servicios de salud a la población pobre y vulnerable con la financiación de los recursos propios para la afiliación del régimen subsidiado en el departamento del Magdalena</t>
  </si>
  <si>
    <t>98. actvidad transversal a resultados</t>
  </si>
  <si>
    <t>REGIMEN SUBSIDIADO</t>
  </si>
  <si>
    <t>FORTALECIMIENTO_DE_LA_AUTORIDAD_SANITARIA</t>
  </si>
  <si>
    <t>Mantener la Cofinanciación del Régimen Subsidiado en Salud</t>
  </si>
  <si>
    <t>Realizar 4 Mesas de Saneamiento de Cartera trimestral (Circular conjunta 030 de 2013) con su respectivo seguimiento a la red prestadora de salud del Departamento del Magdalena.</t>
  </si>
  <si>
    <t>MARIA JOSEFA LÓPEZ</t>
  </si>
  <si>
    <t>Actualización del sistema nacional de vigilancia incluye la redefinición de eventos objeto de vigilancia, indicadores específicos de seguimiento, modelos de vigilancia de cada uno y flujos de información en doble vía. Con participación de autoridades sani</t>
  </si>
  <si>
    <t>1. "A 2027 Garantizar el acceso a los servicios de salud a la población pobre y vulnerable con la financiación de los recursos propios para la afiliación del régimes subsidiado en el departamento del Magdalena</t>
  </si>
  <si>
    <t>Realizar 60 asistencias tecnicas  presenciales y/o virtuales en materia de aseguramiento a los entes territoriales municipales del Departamento del Magdalena. Realizar 4 Mesas de Saneamiento de Cartera trimestral (Circular conjunta 030 de 2013) con su respectivo seguimiento a la red prestadora de salud del Departamento del Magdalena</t>
  </si>
  <si>
    <t>Realizar  60 acciones de Inspección, Vigilancia y Control - IVC en materia de Aseguramiento (Base de Datos, Flujo de Recursos, Contratación Red, Auditorias, Régimen Subsidiado, Regimen Contributivo y Especial), del Departamento del Magdalena</t>
  </si>
  <si>
    <t>Realizar verificación a los informes de Inspección y Vigilancias a las Entidades Promotoras de Salud - EPS realizados por los 29 Entes Territoriales Municipales. D emanera semestral.</t>
  </si>
  <si>
    <t>Lograr afiliación de 68986 personas en e departamento al año 2026</t>
  </si>
  <si>
    <t>SGP-SALUD-REGIMEN SUBSIDIADO (1.2.4.2.01)</t>
  </si>
  <si>
    <t>1.3.3.7.01</t>
  </si>
  <si>
    <t>RS - E4 Atención Primaria Salud - L3 Cuidado de la Salud - Transferencias Afiliación</t>
  </si>
  <si>
    <t>Transversal a todos los núcleos</t>
  </si>
  <si>
    <t>Territorios saludables articulados y trabajando por la paz, la convivencia pacífica y la
resiliencia.</t>
  </si>
  <si>
    <t>Promocion de los mecanismos de participacion ciudadana para el control de la provicion de servicios de salud.</t>
  </si>
  <si>
    <t xml:space="preserve">1.    A 2027 las Entidades Municipales, Departamentales y Distritales responden a las necesidades en salud de la población con participación de los actores estratégicos del territorio.  </t>
  </si>
  <si>
    <t>CAMBIO EN LOS SERVICIOS DE SALUD</t>
  </si>
  <si>
    <t>Na</t>
  </si>
  <si>
    <t>Seguimiento y vigilancia a las Ese, EAPB,  SAC y SIAU municipales</t>
  </si>
  <si>
    <t>Realizar acciones de seguimiento y asistencias técnicas a los 29 munipios para garantizar la adecuada operatividad y cumplimiento de funciones en la atención al usuario y la gestión de servicios de salud.</t>
  </si>
  <si>
    <t>Realizar 14 asistencias técnicas, control , vigilancia y Seguimiento  a las Secretarias de Salud , ESES y EPS  en los 29 municipios del Departamento del Magdalena en el componente del SAC y SIAU en relacion a la operatividad en el marco de sus funciones.</t>
  </si>
  <si>
    <t>NUMERO</t>
  </si>
  <si>
    <t>MARIA HILARIA GONZALES</t>
  </si>
  <si>
    <t>Seguimiento  a la implementación de la Política de Participación Social en Salud ( PPSS</t>
  </si>
  <si>
    <t xml:space="preserve">Apoyo a la ejecución de las acciones colectivas y gestión de la salud pública para el cumplimento y fortalecimiento de Participación Social en Salud al 100% de los SIAU Y SAC municipales </t>
  </si>
  <si>
    <t>Creación y seguiiento de la PPSS vigente según decreto 2063 del 2017 con los actores involucrados en el proceso enfatizando los SAC y SIAU en los 29 municipios del departamento del Magdalena.</t>
  </si>
  <si>
    <t>NÚMERO</t>
  </si>
  <si>
    <t>Aplicación y análisis de ecuentras de satisfacción</t>
  </si>
  <si>
    <t>Seguimiento de la PPSS vigente según decreto 2063 del 2017 con 100% de  los actores involucrados en el proceso enfatizando los SAC y SIAU en los 29 municipios del departamento del Magdalena.</t>
  </si>
  <si>
    <t>porcentaje</t>
  </si>
  <si>
    <t>Ejercer seguimiento y control  en el 100%, a la conformación  y activación de los mecanismos de participación social en salud (COPACOS, veedurías, comités de ética hospitalaria y consejo territoriales) en los 29 municipios del departamento del Magdalena.</t>
  </si>
  <si>
    <t>PORCENTAJE</t>
  </si>
  <si>
    <t xml:space="preserve">Evaluar la calidad de la atención en salud y servicio prestado por 100% de las Instituciones Prestadoras de Servicios de Salud y Entidades Administradoras de Planes de Beneficio 
</t>
  </si>
  <si>
    <t>Aplicar, consolidar y hacer análisis de las 400 encuestas de satisfacción aplicada  al usuarios del Departamento del Magdalena y mujeres en estado de embarazo para conocer la calidad en la atención en salud  brindada por las ESE, EPS e IPS,  asimismo, ejercer el control  y velar  por la aplicación de las mismas en los 29 municipio de  manera trimestral.</t>
  </si>
  <si>
    <t>SPC - E1 Gobernabilidad y Gobernanza - L1 Desarrollo Institucional y Sectorial - Planeación Integral en Salud</t>
  </si>
  <si>
    <t>Ejercer el seguimiento y dar respuesta a 100 de las PQRD radicadas ante la secretaría seccional de salud, asimismo, realizar acciones de control al cumplimiento del mismo las oficinas SAC y SIAU de los  29 Municipios del Departamento del Magdalena, con base en  los lineamientos vigentes.</t>
  </si>
  <si>
    <t>Inseguridad alimentaria y Desnutrición</t>
  </si>
  <si>
    <t xml:space="preserve">Gestión territorial para el cuidado de la salud basado
en la atención primaria en salud. </t>
  </si>
  <si>
    <t>CAMBIO POR LA SALUD</t>
  </si>
  <si>
    <t xml:space="preserve">CAMBIO EN LA RED PÚBLICA HOSPITALARIA </t>
  </si>
  <si>
    <t>Ejecutar el 80% las actividades contempladas en el Plan de reducción de la mortalidad en menores de 5 años por Desnutrición, de competencia del área de prestación de servicios</t>
  </si>
  <si>
    <t xml:space="preserve">Realizar una  asistencia técnica por subregión, en lo relacionado con las acciones contempladas en la Resolución 2350 de 2020 y 2465 de 2016, en las E.S.E / IPS y EPS                                                                                                                                                                                 </t>
  </si>
  <si>
    <t>ARIADGNA CASTRO</t>
  </si>
  <si>
    <t>Realizar visitas de I.V.C , en lo relacionado con las acciones contempladas en la Resolución 2350 de 2020 y 2465 de 2016, en las E.S.E / IPS, Secretarías municipales de salud y EPS, y a las instituciones que presenten mortalidad por DNT en menores de 5 años</t>
  </si>
  <si>
    <t>Prestación y Calidad de servicios</t>
  </si>
  <si>
    <t xml:space="preserve">A 2027, reducir a 52 por 100.000 nacidos vivos la
razón de mortalidad materna </t>
  </si>
  <si>
    <t>Operativizar el Plan de Desaceleración de la Mortalidad Materna -PARE MM, en las E.S.Es de los 29 Municipios del Departamento del Magdalena</t>
  </si>
  <si>
    <t>Ejecutar el 80% de las actividades contempladas en las 6 líneas del PARE-MM 2026, aprobado por el MSPS</t>
  </si>
  <si>
    <t>Condiciones de vida, estilos de vida saludables y enfermedades crónicas</t>
  </si>
  <si>
    <t xml:space="preserve">Implementación de mecanismos para la coordinación y gestión de la operación de las redes integrales e integradas territoriales de salud en el marco de un modelo preventivo, predictivo y resolutivo basado en la APS.  </t>
  </si>
  <si>
    <t xml:space="preserve">Entidades Territoriales Departamentales, Distritales que organizan la prestación de servicios de salud en redes integrales e integradas territoriales bajo un modelo de salud predictivo, preventivo y resolutivo fundamentado en la Atención Primaria en Salud – APS con criterios de subsidiaridad y complementariedad.   </t>
  </si>
  <si>
    <t xml:space="preserve">A 2031 el 100% de los Departamentos y Distritos tendrán en operación una red integral e integrada territorial de salud – RIITS conforme al modelo de salud preventivo, predictivo y resolutivo basado en la Atención Primaria en Salud – APS  </t>
  </si>
  <si>
    <t>23-A 2031, el 70% de las mujeres entre 25 y 29 años son tamizadas para cáncer de cuello uterino con citología cervicouterina.</t>
  </si>
  <si>
    <t>A 2031 el 80% de las necesidades en salud de la población Colombiana se resuelven en el nivel primario de atención en salud</t>
  </si>
  <si>
    <t>Realizar seguimiento a los indicadores de oportunidad de los procesos de detección temprana de cancer de cancer de cuello uterino en las EAPB e IPS, teniendo en cuenta la Ruta de Promoción y Mantenimiento de la Salud.</t>
  </si>
  <si>
    <t>Realizar seguimiento trimestral a los indicadores de oportunidad de los procesos de detección temprana de cancer de cancer de cuello uterino en las EAPB e IPS, teniendo en cuenta la Ruta de Promoción y Mantenimiento de la Salud.</t>
  </si>
  <si>
    <t>Enfermedades transmisibles por vectores y cambio climático</t>
  </si>
  <si>
    <t xml:space="preserve">A 2027 el 100% de los Departamentos y Distritos tendrán en operación una red integral e integrada territorial de salud – RIITS conforme al modelo de salud preventivo, predictivo y resolutivo basado en la Atención Primaria en Salud – APS  </t>
  </si>
  <si>
    <t xml:space="preserve">A 2027, en el Departamento del Magdalena se reducirá la letalidad por dengue grave al 10%. </t>
  </si>
  <si>
    <t>Realizar  acciones de I.V para la evaluación de la adherencia a los lineamientos y GPC, para la atención de los eventos de Enfermedades Transmitidas por Vectores -E.T.V, priorizando la red pública</t>
  </si>
  <si>
    <t>Realizar visitas de I.V a los prestadores de servicios de salud de los 29 municipios del departamento, para la evaluación de la adherencia a los lineamientos y GPC, para la atención de los eventos de Enfermedades Transmitidas por Vectores -E.T.V, priorizando la red pública</t>
  </si>
  <si>
    <t>Primera infancia</t>
  </si>
  <si>
    <t>RICARDO RUIZ ROMERO</t>
  </si>
  <si>
    <t>Realizar  visitas para la verificación de disposición de insumos necesarios para la atención de los eventos de Enfermedades Transmitidas por Vectores -E.T.V, priorizando la red pública</t>
  </si>
  <si>
    <t>Realizar visitas de I.V a los prestadores de servicios de salud de los 29 municipios del departamento, para  la verificación de disposición de insumos necesarios para la atención de los eventos de Enfermedades Transmitidas por Vectores -E.T.V, priorizando la red pública</t>
  </si>
  <si>
    <t>Realizar, mínimo el 70% de las visitas de verificación de condiciones de habilitación, contempladas en el Plan anual,  a los prestadores de servicios de salud que operen en el Departamento del Magdalena</t>
  </si>
  <si>
    <t>Realizar visitas de verificación de condiciones de habilitación al 70% de entidades contempladas en el Plan anual,  de los prestadores de servicios de salud que operen en el Departamento del Magdalena.</t>
  </si>
  <si>
    <t>Población materno perinatal</t>
  </si>
  <si>
    <t>LIZETH AGUIRRE</t>
  </si>
  <si>
    <t xml:space="preserve">Realizar el 100% de las  visitas de IVC , de acuerdo a las solicitudes recibidas y/o de oficio </t>
  </si>
  <si>
    <t>Realizar visitas de IVC , de acuerdo a 100 % de las solicitudes recibidas por entes competentes y/o de oficio, PQR, y demas situaciones que impliquen la vigilancia y control del ente territorial</t>
  </si>
  <si>
    <t>LIZETH AGUIRRE -RICARDO RUIZ ROMERO</t>
  </si>
  <si>
    <t xml:space="preserve">Realizar Asistencias Técnica a los Prestadores de Servicios de Salud del Departamente en el Sistema Obligatorio de Garantía de Calidad </t>
  </si>
  <si>
    <t xml:space="preserve">Realizar cuatro (4) Asistencias Técnica a los Prestadores de Servicios de Salud del Departamente en el Sistema Obligatorio de Garantía de Calidad </t>
  </si>
  <si>
    <t>Realizar seguimiento períodico al reporte y resultados de los indicadores de calidad establecidos en la Resolución 256 de 2016,   al 100% de las  Instituciones Prestadoras de Servicios de Salud y los servicios de transporte especial de pacientes del Departamento</t>
  </si>
  <si>
    <t>Consolidar y analizar la información de 100% de los Prestadores de Servicios de Salud-IPS y Transporte Asistencial de Pacientes; en lo relacionado con  el reporte y resultados de los indicadores de calidad establecidos en la Resolución 256 de 2016.</t>
  </si>
  <si>
    <t>MARI LUZ CABRERA</t>
  </si>
  <si>
    <t>Realizar  asistencia técnica por subregión para la implementación del Programa de Auditoria para el Mejoramiento de la Calidad en la Atención en Salud -PAMEC, a las Instituciones Prestadoras de Servicios de Salud del Departamento</t>
  </si>
  <si>
    <t>Realizar  asistencia técnica por subregión para la implementación del Programa de Auditoria para el Mejoramiento de la Calidad en la Atención en Salud -PAMEC, a las 100% de Instituciones Prestadoras de Servicios de Salud del Departamento</t>
  </si>
  <si>
    <t>Realizar  seguimiento a la implementación del Programa de Auditoria para el Mejoramiento de la Calidad en la Atención en Salud PAMEC, mínimo al 80% de los prestadores de servicios de salud de los 29 Municipios del Departamento</t>
  </si>
  <si>
    <t>Realizar  seguimiento a la implementación del Programa de Auditoria para el Mejoramiento de la Calidad en la Atención en Salud PAMEC del 80% o más de los prestadores de los 29 Municipios del Departamento</t>
  </si>
  <si>
    <t xml:space="preserve">Talento Humano en Salud formado para la gestión integral de la salud pública  </t>
  </si>
  <si>
    <t>Realizar la identificación y caracterización del Talento Humano en salud, de la red hospitalaria del Departamento del Magdalena</t>
  </si>
  <si>
    <t>Realizar y consolidar el censo del Talento Humano en salud, de cada una de las E.S.Es de la red hospitalaria del departamento del Magdalena</t>
  </si>
  <si>
    <t>PIEDAD DE LA HOZ</t>
  </si>
  <si>
    <t>Lograr el fortalecimiento de la autoridad sanitaria en los 29 municipios del departamento del Magdalena</t>
  </si>
  <si>
    <t>Seguimiento al sistema de transporte asistencial de la red publica y privada del Departamento del Magdalena</t>
  </si>
  <si>
    <t>No aplica</t>
  </si>
  <si>
    <t>tranversal a todos los nucleos</t>
  </si>
  <si>
    <t>Dotar y activar equipos de radiocomunicaciones al CRUE y a las 5 IPS de la red pública y activación de la antena repetidora</t>
  </si>
  <si>
    <t>Brindar asistencia tecnica, y seguimiento a la implementación de equipos de radio comunicación</t>
  </si>
  <si>
    <t xml:space="preserve">Abogacía e incidencia técnica y política en la agenda de otros sectores, a fin de generar acciones intersectoriales y transectoriales definiendo temas transversales y objetivos comunes.  </t>
  </si>
  <si>
    <t>Gestionar la adecuación y/o construcción de (12) puestos y centros de salud.</t>
  </si>
  <si>
    <t>Realizar apoyo al proceso de Planeación integral en salud a los 29 Municipios del Departamento del Magdalena  en las fases de  formulacion,implementacion  desarrollo, monitoreo y evaluacion  el Plan territorial de salud.</t>
  </si>
  <si>
    <t>Desarrollar una estretegia para que los hospitales y puestos y centro  de salud priorizados en el departamento del Magdalena cumplan con los estándares de infraestructura y dotación de 17 ambulancias del cambio para entornos seguros, funcionales y dignos.</t>
  </si>
  <si>
    <t>Desarrollar una estretegia para que los prestadores públicos de salud priorizados en el departamento del Magdalena, cumplan con los estándares de infraestructura y dotación de hospitales para entornos seguros, funcionales y dignos, adecuaciones menores a 2 Hospitales, en construccion de 2 hospitales nuevos</t>
  </si>
  <si>
    <t>Varias poblaciones de protección constitucional específica</t>
  </si>
  <si>
    <t>Desarrollar una estretegia de adecuaiones menores a 32  puestos y centro  de salud y seguimiento a 3 puestos de salud priorizados de zona rural, dispersa y urbana en el departamento del Magdalena cumplan con los estándares de infraestructura y dotación de puestos de salud para entornos seguros, funcionales y dignos</t>
  </si>
  <si>
    <t>Formular, Coordinar y desarrollar el COAI y PAS de la vigencia 2026 del departamento, relizar monitoreo, seguimiento, control y cargue al portal web del MSPS de manera trimestral, con el equipo integral de la Secretaria de Salud por cada una de las dimensiones del PDSP.</t>
  </si>
  <si>
    <t>MARCO DONADO</t>
  </si>
  <si>
    <t>Someter a la aprobaciòn por  el Consejo de Gobierno y la sensibilizacion del CTSS  del COAI y PAS de la vigencia 2026 del departamento,  ejercer los reportes y entrega de la informaciòn del desarrollo y ejecuciòn de los mismos a la Oficina Asesora de Planeaciòn del departamento, oficina de control interno, cargue al portal Web -SISPRO del MSPS de manera trimestral, con el equipo integral de la Secretaria de Salud por cada una de las dimensiones del PDSP, para su monitoreo, control, segimiento por los entes del nivel nacional, territorial y la propia seretaria de salud y demas autoidades que ejercen control y evalauciòn incluido las veedurias y  el control social.</t>
  </si>
  <si>
    <t>Brindar Asistencia Tecnica, desarrollo de capacidades, monitoreo y seguimiento, a los planes de accion Municipales de la vigencia 2026 al 100% de los 29 municpios del departamento por subregiones, por demanda individual y vigilancia y control por municipio.</t>
  </si>
  <si>
    <t>Apoyar el proceso de rendicion de cuentas del sector Salud   Departamental  mediante la operativizacion del 100%  los mecanismos de transparencia en la evaluacion y el control social, por lo menos una vez al año.</t>
  </si>
  <si>
    <t>Desarrollar capacidades al talento humano al 100% de las 29 entidades territoriales  responsables de la planificacion en salud; para la construcciòn, formulación, implementación, seguimiento, monitoreo y evaluación de políticas, planes, programas, estrategias y proyectos en salud y del PDSP 2022 -2031</t>
  </si>
  <si>
    <t>Ejercer el monitoreo, seguimiento, control y evaluacion trimestral a los planes de accion Municipales de la vigencia 2026, incluido al cargue en el portal Web del MSPS al 100% de los 29 municipios del departamento por subregiones, por demanda individual y vigilancia y control por municipios.</t>
  </si>
  <si>
    <t>Ejercer la vigilancia y el control de la capacidad de gestion de los 5 municpios certificados en salud decreto 780 DE 2016 ART. 5 Y SIGUEIENTES, con base en los lineamientos y la herramienta implementada para su evaluaciòn en la prestacion de los servicios de salud vigencia 2022.</t>
  </si>
  <si>
    <t>mantener actulalizada las repuestas y de manera oportuna a los procesos juridicos, respuestas de las acciones de tutela y los procesos administartativos sansionatorios y de cumplimineto a las visitas de verifcacioón de la red de prestadores dell departamento</t>
  </si>
  <si>
    <t>JURIDICA</t>
  </si>
  <si>
    <t xml:space="preserve">Mantener actualizado el flujo, analisis y cargue de los sistemas de informacion para la salud, los RIPS  del 100% de las empresas prestadoras y los informes de  en la prestacion de los servicios de salud a la PPNA del departamento de manera eficiente y oportuna. </t>
  </si>
  <si>
    <t>KAREN RAMIREZ</t>
  </si>
  <si>
    <t>Brindar Asistencia Tecnica y Capacitación  del flujo, analisis y cargue de los sistemas de información para la salud, los RIPS  de las empresas prestadoras y los informes de la resolución  202 en la prestación de los servicios de salud a la PPNA del departamento de manera eficiente y oportuna a 100% de prestadores del departameto y municpios certificados que prestan servicios de salud.</t>
  </si>
  <si>
    <t>Ejercer monitoreo, seguimiento y control al flujo ,analisis y cargue de los sistemas de informacion para la salud de la circular única, círcular 030 y 2193 en los proceos de inversion de infraestrutura, el plan bienal, Plan de Mantenimienrto, proyectos de inversion y actualizacion Catastro Fisico del deparatamento de manera eficiente y oportuna a todos los prestadores y municpios certificados que prestan servicios de salud.plan bienal AT y Control dos veces al año</t>
  </si>
  <si>
    <t>Ejercer monitoreo, seguimiento y control al flujo, análisis  plan de mantenimiento del departamento de manera eficiente y oportuna a todos los prestadores de los municipios Control dos veces al año.</t>
  </si>
  <si>
    <t>número</t>
  </si>
  <si>
    <t xml:space="preserve">Ejercer al catastro fisico de los municpios y ESE; AT e IVC y formulaciòn, viabiidad y evaluaciòn de proyectos  de infraestructura y dotacion de los 29 municpios semestralmente </t>
  </si>
  <si>
    <t>númeo</t>
  </si>
  <si>
    <t>ANDRES BELTRAN</t>
  </si>
  <si>
    <t>revisar y viabilizar 100 % de los proyectos presentados por las ESE hospitales de infraestructura y dotacion. Con base en la normatividad vigente</t>
  </si>
  <si>
    <t>revisar y viabilizar  los proyectos presentados por las ESE hospitales de infraestructura y dotacion de 22 Ese con dotación de ambulancias. Con base en la normatividad vigente</t>
  </si>
  <si>
    <t>A 2027 el 100% de las entidades territoriales del orden departamental y municipal desarrollan mecanismos para el fortalecimiento de la rectoría en salud en su territorio, conforme a las competencias establecidas</t>
  </si>
  <si>
    <t>Apoyar la ejecucion del plan de IVC con servicio de transporte disponiendo de 1 vehiculos 24x7</t>
  </si>
  <si>
    <t>A 2027 el 100% de las entidades terriitoriales de orden departamental, distrital y municipal desarrollaran mecanismos para el fortalecimiento de la rectoria en salud en su territorio, conforme a las competencias establecidas</t>
  </si>
  <si>
    <t>Realizar inducción y reinducción para todo funcionario que ingrese al equipo PAI, dirigidos al talento humano y demás actores según su competencia, abarcando todos los módulos del PAI.</t>
  </si>
  <si>
    <t>Socializar los lineamientos para las jornadas nacionales de
 vacunación y planes de intensificación emitidos por el nivel nacional</t>
  </si>
  <si>
    <t>La falta de talento humano de planta, la alta rotación de personal contratista, la falta de vehículos, la falta de adherencia a lineamientos programáticos y misionales por parte del talento humano para brindar asistencia técnica a los actores, la complejidad y de organización de procesos administrativos que generan reprocesos; dificultan la ejecución de las acciones de orden misional perdiendo gobernanza y autoridad frente a os vigilados</t>
  </si>
  <si>
    <t>Realizar una auditoria externa para verificar el cumoplimiento de los requisitos de la norma NTC-ISO/IEC 17025 version vigente y/o criterios ONC</t>
  </si>
  <si>
    <t>Numero</t>
  </si>
  <si>
    <t>Realizar asistencias técnicas en las subregiones del Departamento sobre abordaje a trabajadores de la economia popular y cominitaria Magdalena UTIS Y GOTIS en: Riesgos – peligros, actos y condiciones seguras Incentivar la afiliación al sistema de riesgos laborales Prevención de enfermedades y accidentes relacionados con el trabajo Socialización de la ruta de atención en servicios de salud
  Socialización de factores de riesgo para condiciones crónicas no transmisibles y salud mental</t>
  </si>
  <si>
    <t>Realizar asistencia tecnica y mesas de trabajo con las EAPB, IPS, SSM y ESE de los 29 municipios del departamento en el desarrollo de jornadas de salud y seguimiento a los reportes de accidentes laborales en trabajadores informales</t>
  </si>
  <si>
    <t>No. de Estrategias del PTS que aportan por eje del PDSP 2022-2023</t>
  </si>
  <si>
    <t>% de Cumplimento Trimestral PAS</t>
  </si>
  <si>
    <t>(%) Porcentaje</t>
  </si>
  <si>
    <t>I Trimestre</t>
  </si>
  <si>
    <t>II Trimestre</t>
  </si>
  <si>
    <t>III Trimestre</t>
  </si>
  <si>
    <t>IV Trimestre</t>
  </si>
  <si>
    <t>Total Acumulado</t>
  </si>
  <si>
    <t>% Cumplimiento</t>
  </si>
  <si>
    <t>Naranja</t>
  </si>
  <si>
    <t>Amarillo</t>
  </si>
  <si>
    <t>Verde</t>
  </si>
  <si>
    <t>Morado</t>
  </si>
  <si>
    <t>% Cumplimiento del PAS según Eje del PDSP 2022 -2031</t>
  </si>
  <si>
    <t>Reporte de errores de validación</t>
  </si>
  <si>
    <t>Fila</t>
  </si>
  <si>
    <t>Columna</t>
  </si>
  <si>
    <t>Mensaje</t>
  </si>
  <si>
    <t>Campo Núcleo de Inequidad Socio-Sanitaria está vacio</t>
  </si>
  <si>
    <t>Campo Eje estrátegico  está vacio</t>
  </si>
  <si>
    <t>Campo Estrategias del Plan Territorial está vacio</t>
  </si>
  <si>
    <t>Campo Meta stratégica está vacio</t>
  </si>
  <si>
    <t>Campo Meta estratégica adaptada al territorio está vacio</t>
  </si>
  <si>
    <t>Campo Meta de resultados está vacio</t>
  </si>
  <si>
    <t>Campo Meta de resultados adaptadas al territorio está vacio</t>
  </si>
  <si>
    <t>Campo programa está vacio</t>
  </si>
  <si>
    <t>Campo subprograma está vacio</t>
  </si>
  <si>
    <t>Campo Proyecto BPI está vacio</t>
  </si>
  <si>
    <t>Campo Meta de Producto está vacio</t>
  </si>
  <si>
    <t>Campo linea operativa vacio</t>
  </si>
  <si>
    <t>Campo Cantidad está vacio</t>
  </si>
  <si>
    <t>Campo Cantidad no es número</t>
  </si>
  <si>
    <t>Campo unidad de medida está vacio</t>
  </si>
  <si>
    <t>Campo programado 1 está vacio</t>
  </si>
  <si>
    <t>Campo ejecutado 1 está vacio</t>
  </si>
  <si>
    <t>Campo programado 2 está vacio</t>
  </si>
  <si>
    <t>Campo ejecutado 2 está vacio</t>
  </si>
  <si>
    <t>Campo programado 3 está vacio</t>
  </si>
  <si>
    <t>Campo ejecutado 3 está vacio</t>
  </si>
  <si>
    <t>Campo programado 4 está vacio</t>
  </si>
  <si>
    <t>Campo ejecutado 4 está vacio</t>
  </si>
  <si>
    <t>Campo fecha inicio esta vacio</t>
  </si>
  <si>
    <t>Campo fecha inicio no es valido</t>
  </si>
  <si>
    <t>Campo fecha de terminación está vacio</t>
  </si>
  <si>
    <t>Campo fecha de terminación no es valido</t>
  </si>
  <si>
    <t>Campo rubro está vacio</t>
  </si>
  <si>
    <t>Campo fuente de financiación está vacio</t>
  </si>
  <si>
    <t>Campo total recursos está vacio</t>
  </si>
  <si>
    <t>Campo apropiación está vacio</t>
  </si>
  <si>
    <t>Campo compromiso está vacio</t>
  </si>
  <si>
    <t>Campo obligaciones está vacio</t>
  </si>
  <si>
    <t>Campo pagado está vacio</t>
  </si>
  <si>
    <t>Campo población sujeto está vacio</t>
  </si>
  <si>
    <t>Campo concepto gastos está vacio</t>
  </si>
  <si>
    <t>Campo responsable cumplimiento está vacio</t>
  </si>
  <si>
    <t>Campo avance cualitativo está vacio</t>
  </si>
  <si>
    <t>Eje</t>
  </si>
  <si>
    <t>OBJETIVOS</t>
  </si>
  <si>
    <t>NOMBRE_EJE_2024</t>
  </si>
  <si>
    <t>DESCRIPCION_OBJETIVO</t>
  </si>
  <si>
    <t xml:space="preserve">Desarrollar capacidades y liderazgo para la cogestión, y coadministración y cogobierno en un diálogo armónico con las formas organizativas de los pueblos y comunidades, organizaciones ciudadanas, sociales y comunitarias, a través del liderazgo y la generación de alianzas, acciones conjuntas, articuladas e integradas para el logro de resultados en salud, según la naturaleza de los problemas y las circunstancias sociales del territorio.  </t>
  </si>
  <si>
    <t>La gobernanza para alcanzar redes integradas de servicios de salud, con un modelo de atención centrado en las personas y las comunidades, requiere de cambios en la regulación de diferentes relaciones o procesos (Organización Panamericana de la Salud - OPS, s.f.). Para el ejercicio de una gobernanza se requiere fortalecer la gobernabilidad y autonomía en salud de los pueblos y comunidades a partir de las estructuras propias que guían los sistemas propios en salud y se constituyen en las instancias para las diferentes formas de participación y toma de decisiones colectivas</t>
  </si>
  <si>
    <t>Contar con elementos para la acción que le permita aproximarse a las condiciones de vida y salud de las diferentes poblaciones de acuerdo con sus particularidades y necesidades, mediante el respeto a la integridad y la participación social, y como garante en la construcción conjunta de intervenciones desde el dialogo horizontal y respetuoso de sus saberes, prácticas y creencias</t>
  </si>
  <si>
    <t>Transformar las circunstancias injustas relacionadas con peores resultados de salud de la población, mediante la definición de acciones de carácter inter y transectorial en los planes de desarrollo territorial, con el fin de avanzar en la reducción de brechas sociosanitarias</t>
  </si>
  <si>
    <t>Desarrollar acciones sectoriales e intersectoriales dirigidas a promover la salud, prevenir la enfermedad y recuperar la salud de la población, en escenarios como ciudades, espacios periurbanos, rurales, territorios indígenas y otros entornos donde las personas y colectivos desarrollan la vida cotidiana, aportando a la garantía del derecho fundamental a la salud</t>
  </si>
  <si>
    <t>Reducir los impactos de las emergencias, desastres y el cambio climático en la salud humana y ambiental, a través de la gestión integral del riesgo como un proceso que propende por la seguridad sanitaria, el bienestar y la calidad de vida de las personas, por medio de la formulación, ejecución, seguimiento y evaluación de políticas, planes, programas y proyectos; y fortaleciendo la detección, atención y los mecanismos de disponibilidad y acceso de las tecnologías, y servicios en salud necesarias para dar respuesta efectiva orienta la formulación, ejecución, seguimiento y evaluación de políticas, planes, programas y proyectos; y fortalecer la detección, atención y los mecanismos de disponibilidad y acceso a las tecnologías en salud necesaria para dar respuesta efectiva a un nuevo evento pandémico</t>
  </si>
  <si>
    <t>Establecer la soberanía sanitaria y la construcción colectiva de conocimiento en salud como una prioridad en la agenda pública que permita avanzar en la investigación, desarrollo, innovación y producción local de Tecnologías estratégicas en salud y el fortalecimiento de las capacidades en salud a nivel nacional y territorial</t>
  </si>
  <si>
    <t>Crear y desarrollar mecanismos para mejorar la distribución, disponibilidad, formación, educación continua, así como, las condiciones de empleo y trabajo digno y decente del personal de salud</t>
  </si>
  <si>
    <t>RESULTADO ESPERADO</t>
  </si>
  <si>
    <t>DESCRIPCION_RESULTADO</t>
  </si>
  <si>
    <t>Gobiernos departamentales, distritales y municipales que lideran el desarrollo de estrategias para el reconocimiento de contextos de inequidad social, étnica y de género y la generación de respuestas intersectoriales y transectoriales</t>
  </si>
  <si>
    <t>Entorno económico favorable para la salud</t>
  </si>
  <si>
    <t>Territorios saludables articulados y trabajando por la paz, la convivencia pacífica y la resiliencia.</t>
  </si>
  <si>
    <t>Integración del cuidado del ambiente y la salud en el marco de la adaptación al cambio climático.</t>
  </si>
  <si>
    <t>Entidades Territoriales Departamentales, Distritales y Municipales que conforman territorios de salud de acuerdo con las particularidades geográficas, socioculturales, político administrativas y ambientales donde se produce el proceso de salud.</t>
  </si>
  <si>
    <t>Instituciones de salud públicas de mediana y alta complejidad fortalecidas en infraestructura, insumos, dotación, equipos y personal de salud para resolver de manera efectiva y con calidad las necesidades en salud que requieren atención especializada a través de un trabajo coordinado en redes integrales e integradas territoriales de salud.</t>
  </si>
  <si>
    <t>Conocimiento producido y difundido y capacidades fortalecidas para prevenir y atender el impacto del cambio climático en la salud pública.</t>
  </si>
  <si>
    <t>Soberanía sanitaria fortalecida con la aplicación de Tecnologías Estratégicas en Salud (TES)</t>
  </si>
  <si>
    <t>Capacidades consolidadas para la gestión territorial de la salud pública</t>
  </si>
  <si>
    <t>Talento Humano en Salud formado para la gestión integral de la salud pública</t>
  </si>
  <si>
    <t>Sabedores ancestrales y personal de salud propio, reconocidos y articulados a los procesos de la gestión de la salud pública en los territorios.</t>
  </si>
  <si>
    <t>Talento humano en salud pública disponible y sostenible con garantía de trabajo digno y decente</t>
  </si>
  <si>
    <t>ESTRATEGIA</t>
  </si>
  <si>
    <t>DESCRIPCION_ESTRATEGIA</t>
  </si>
  <si>
    <t xml:space="preserve">Desarrollo y fortalecimiento de capacidades para la planeación integral en salud y la gestión territorial en el marco del Modelo de Salud preventivo, predictivo y resolutivo basado en Atención Primaria en Salud - APS.  </t>
  </si>
  <si>
    <t xml:space="preserve">Promoción de capacidades y mecanismos para la gobernanza en salud pública y la incidencia sobre los determinantes sociales de la salud desde las diferentes instancias intersectoriales del orden nacional y territorial. </t>
  </si>
  <si>
    <t xml:space="preserve">Establecimiento de mecanismos de participación basada en atención primaria en salud – APS para la gobernanza propia en salud de los pueblos y comunidades.  </t>
  </si>
  <si>
    <t xml:space="preserve">Mecanismos de coordinación, dialogo y concertación con estructuras propias de los pueblos y comunidades indígenas para la gobernanza en salud pública.   </t>
  </si>
  <si>
    <t xml:space="preserve">Mecanismos de coordinación, dialogo y concertación con comunidades Negras, Afrocolombianas, Raizales, Palenqueras, Rrom y Campesinas para la gobernanza en salud pública.  </t>
  </si>
  <si>
    <t xml:space="preserve">Diseño e implementación de estrategias para la transversalización de los enfoques diferencial, de género y diversidad, curso de vida, salud familiar y comunitaria y psicosocial para pueblos y comunidades.   </t>
  </si>
  <si>
    <t xml:space="preserve">Posicionamiento del sistema único de información en salud parametrizado y estandarizado acorde con la normatividad vigente, que tenga la capacidad de articular los sistemas propios de información en salud de los pueblos y comunidades existentes.  </t>
  </si>
  <si>
    <t>Generación y adecuación de estrategias que promuevan capacidades institucionales para la garantía del derecho a la salud de la población de la economía popular y comunitaria en el territorio</t>
  </si>
  <si>
    <t xml:space="preserve">Conformación y fortalecimiento de las instancias organizativas para la participación de la población de economía popular y comunitaria, pueblos indígenas y otros grupos de protección especial.   </t>
  </si>
  <si>
    <t xml:space="preserve">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t>
  </si>
  <si>
    <t>Alineación y armonización del ordenamiento jurídico en materia de salud pública de cada entidad territorial de acuerdo con cada categoría administrativa y fiscal en el marco de las competencias fijadas por la ley</t>
  </si>
  <si>
    <t xml:space="preserve">Fortalecimiento de capacidades técnicas para el ejercicio de la rectoría en salud.   </t>
  </si>
  <si>
    <t xml:space="preserve">Desarrollo de estrategias para la organización y acompañamiento de la participación ciudadana dirigida a la identificación de problemáticas, análisis, comprensión y definición de decisiones que impacten de manera positiva la salud  </t>
  </si>
  <si>
    <t xml:space="preserve">Desarrollo de capacidades institucionales y sectoriales para el ejercicio de la participación social y comunitaria en salud como derecho en el marco de la estrategia de Atención Primaria en Salud, incluido el reconocimiento y respeto por los sistemas de conocimiento propio y los saberes de los pueblos y comunidades étnicas y campesinas acordes con el marco normativo.  </t>
  </si>
  <si>
    <t xml:space="preserve">Generación y fortalecimiento de espacios para la participación de personas y colectivos diferenciales, de género y diversidad y para pueblos y comunidades étnicos acordes con sus procesos políticos y organizativos  </t>
  </si>
  <si>
    <t xml:space="preserve">Conformación y fortalecimiento de las instancias organizativas para la participación de la población de economía popular y comunitaria, pueblos indígenas y otros grupos de protección especial.  </t>
  </si>
  <si>
    <t xml:space="preserve">Posicionamiento de los procesos participativos de rendición de cuentas incluyendo la evaluación del reconocimiento y respeto por los sistemas de conocimiento propio y los saberes de los pueblos y comunidades étnicas y campesinas, mujeres, sectores LGBTIQ+ y otras poblaciones por condición y/o situación en planes, programas y estrategias desarrolladas en el marco del Plan Territorial de Salud.  </t>
  </si>
  <si>
    <t xml:space="preserve">Socialización consulta y concertación con los pueblos indígenas los mecanismos para la expedición de la normativa desde los diferentes sectores de acuerdo con el contexto territorial, teniendo en cuenta la gobernanza propia, la dinámica y la particularidad de cada pueblo indígena.  </t>
  </si>
  <si>
    <t xml:space="preserve">Desarrollo de capacidades institucionales, sectoriales, intersectoriales y comunitarias para la transversalización del enfoque diferencial, de género y diversidad, curso de vida, salud familiar y comunitaria, psicosocial y el reconocimiento y respeto por los sistemas de conocimiento propio de pueblos y comunidades étnicas y campesinas en la planeación, formulación e implementación de planes, programas y estrategias orientados a la garantía del derecho fundamental a la salud.  </t>
  </si>
  <si>
    <t xml:space="preserve">Desarrollo de acciones que promuevan la transversalización de los enfoques para la implementación de políticas públicas, planes, programas y proyectos en salud.  </t>
  </si>
  <si>
    <t xml:space="preserve">Adopción e implementación de la estrategia de transversalización del enfoque de género en el sector salud para el cierre de brechas por razones de sexo, género, identidad de género y orientación sexual  </t>
  </si>
  <si>
    <t xml:space="preserve">Fortalecimiento de capacidades del talento humano para el desarrollo de acciones de cuidado de la salud desde la promoción hasta los cuidados paliativos con enfoque diferencial, de género y diversidad, curso de vida, salud familiar y comunitaria, psicosocial y reconocimiento y respeto por los sistemas de conocimiento propio de pueblos y comunidades étnicas y campesinas considerando además el determinante social relacionado con la ocupación.   </t>
  </si>
  <si>
    <t xml:space="preserve">Identificación, reconocimiento, fortalecimiento, promoción y garantía de la participación como derecho e incidencia de personas y colectivos en los procesos de planeación, implementación, seguimiento y evaluación de políticas públicas, planes, programas, proyectos e intervenciones en salud.  </t>
  </si>
  <si>
    <t>Gestión territorial para la transversalización de los enfoques y la integración de los sistemas de conocimiento propio de pueblos y comunidades étnicas y campesinas en espacios e instancias intersectoriales</t>
  </si>
  <si>
    <t xml:space="preserve">Gestión de los determinantes sociales y ambientales de la salud mediante el reconocimiento de las condiciones de vida y salud.  </t>
  </si>
  <si>
    <t xml:space="preserve">Implementación de un sistema con capacidad de respuesta, comprensión de problemáticas y planteamiento de soluciones en relación con la respuesta intersectorial y transectorial en salud.   </t>
  </si>
  <si>
    <t>Implementación de acciones dirigidas a mejorar la relación salud-ambiente-territorio para promover acciones dirigidas a mejorar las condiciones de vida.</t>
  </si>
  <si>
    <t xml:space="preserve">Reconocimiento de contextos de inequidad social, étnica y de género que afectan a las personas y colectivos en un territorio.  </t>
  </si>
  <si>
    <t xml:space="preserve">Generación de respuestas intersectoriales para la reducción y eliminación de situaciones de inequidad social, étnica y de género en el territorio.  </t>
  </si>
  <si>
    <t xml:space="preserve">Identificación, disminución y superación de barreras de acceso a la atención integral en salud de personas y colectivos.   </t>
  </si>
  <si>
    <t xml:space="preserve">Caracterización de actores comunitarios, estructuras organizativas, y recursos humanos propios entre otros, para la organización y adecuación de los protocolos propios interculturales en el marco de la atención integral.  </t>
  </si>
  <si>
    <t xml:space="preserve">Reconocimiento y legitimación de los espacios e instancias de diálogo y concertación para para la construcción colectiva de sistemas propios, a través de saberes, prácticas y conocimientos de y con las personas y colectivos.   </t>
  </si>
  <si>
    <t xml:space="preserve">Garantizar los mecanismos para salvaguardar el conocimiento relacionado con las formas, experiencias, prácticas y acciones en salud de las personas y colectivos, con el fin de fortalecer la transmisión intergeneracional.  </t>
  </si>
  <si>
    <t xml:space="preserve">Fortalecimiento de la toma de decisiones que conlleven a la prevención de contingencias derivadas de las ocupaciones, considerando los saberes, creencias y prácticas de las personas y los colectivos.  </t>
  </si>
  <si>
    <t xml:space="preserve">Reconocer los riesgos ocupacionales desde las prácticas costumbres y conocimiento propios para incidir en decisiones políticas y técnicas y disminuir el riesgo ocupacional en las personas y colectivos  </t>
  </si>
  <si>
    <t xml:space="preserve">Mejoramiento de las condiciones de vida y trabajo precario de las poblaciones sujeto de los territorios, con especial atención en los municipios PDET y Programa Nacional Integral de Sustitución de Cultivos de Uso Ilícitos -PNIS-.-, y territorios con presencia de pueblos y comunidades indígenas, o aquellos que tengan altos índices de nivel de pobreza y desempleo.    </t>
  </si>
  <si>
    <t xml:space="preserve">Entorno económico favorable para la salud   </t>
  </si>
  <si>
    <t xml:space="preserve">Gestionar los mecanismos administrativos, financieros y de pertinencia sociocultural, para disminuir las barreras de acceso en salud respecto a la atención a los niños, niñas y adolescentes, en particular en escenarios de vulnerabilidad socioeconómica para la permanencia escolar que incluya los pueblos y comunidades de acuerdo con sus planes de vida o el que haga sus veces.  </t>
  </si>
  <si>
    <t xml:space="preserve">Gestionar los mecanismos técnicos, administrativos y políticos para mejorar de las condiciones de trabajo u ocupación que deterioran la salud, en el marco de la política de trabajo decente y para la generación de ingresos a las comunidades con atención particular en las mujeres rurales y de pueblos y comunidades étnicas, población LGBTIQ+, personas con discapacidad y personas de 60 y más años, independiente de la nacionalidad.  </t>
  </si>
  <si>
    <t xml:space="preserve">Caracterización y gestión de las opciones de intervención respecto de las condiciones de salud, ambiente de trabajo u ocupación que se relacionan con peores resultados en la salud y la vulneración de la población, en particular en lo relacionado con procesos de salud mental, enfermedades transmisibles y enfermedades no trasmisibles.  </t>
  </si>
  <si>
    <t xml:space="preserve">Caracterizar y gestionar para mejorar las opciones de intervención respecto a las condiciones de salud de la población que hace parte de la economía popular y  de actividades de auto subsistencia y comunitaria de acuerdo con el contexto territorial   </t>
  </si>
  <si>
    <t xml:space="preserve">Gestión de acuerdos con las instituciones del cuidado no sanitario para ampliar los mecanismos de protección de las cuidadoras en el marco del sistema nacional de cuidado.  </t>
  </si>
  <si>
    <t xml:space="preserve">Establecer acuerdos y gestionar mecanismos de acuerdo  al marco normativo Gestionar acuerdos con los sectores  relacionados con la protección de la inseguridad física, en salud mental y económica de las personas mayores.  </t>
  </si>
  <si>
    <t xml:space="preserve">Gestión de la garantía progresiva del derecho humano a la alimentación, a partir de acuerdos en espacios intersectoriales.  </t>
  </si>
  <si>
    <t xml:space="preserve">Aporte en la generación de competencias sociales para la resolución no violenta de conflictividades comunitarias y la construcción de paz territorial que conlleve a mejores resultados en salud.  </t>
  </si>
  <si>
    <t xml:space="preserve">Creación de mecanismos de acceso a la educación y permanecía escolar de niños, niñas y jóvenes en contextos de prevalencia de grupos armados ilegales y bandas criminales.  </t>
  </si>
  <si>
    <t xml:space="preserve">Establecimiento de acuerdos y gestión de mecanismos para la creación de entornos seguros y saludables respecto de la presencia de trabajo sexual forzado de niños, niñas, mujeres y población LGBTIQ+   </t>
  </si>
  <si>
    <t xml:space="preserve">Generación de condiciones de salud, ambiente de trabajo u ocupación seguras y saludables para jóvenes y mujeres, independiente de su nacionalidad o pertenencia a pueblos o comunidades, en el marco de la Política de Primer Empleo.  </t>
  </si>
  <si>
    <t xml:space="preserve">Fortalecimiento de acciones dirigidas a   la prevención y atención de problemas y trastornos mentales de la población en todos los entornos y momentos del curso de vida (familia, escuela, trabajo y otros escenarios de protección social)  </t>
  </si>
  <si>
    <t xml:space="preserve">Generación de procesos de formación intersectorial y territorial en DDHH con énfasis en el respeto a la Misión Médica.  </t>
  </si>
  <si>
    <t xml:space="preserve">Fortalecimiento de procesos de movilización y organización social y popular en salud en los territorios de salud  </t>
  </si>
  <si>
    <t xml:space="preserve">Generación de procesos de territorios en salud que permitan la gestión para la afectación positiva determinantes sociales y avance en la garantía del derecho a la salud libre de violencias por la vida y la paz  </t>
  </si>
  <si>
    <t xml:space="preserve">Caracterización de modos, condiciones de vida, trabajo y salud en contextos de minería ilegal y otros procesos productivos ilegales establecer las medidas institucionales y socioculturales de cuidado respecto al factor negativo de que dañan y contaminan fuentes hídricas, suelos y subsuelos, cultivos de pan coger y genera impacto negativo sobre la salud de las poblaciones, pueblos y comunidades.  </t>
  </si>
  <si>
    <t xml:space="preserve">Integración del cuidado del ambiente y la salud en el marco de la adaptación al cambio climático. </t>
  </si>
  <si>
    <t xml:space="preserve">Gestión de los mecanismos para adoptar soluciones alternativas de cuidado integral en saneamiento básico,  agua potable, calidad del aire, la tenencia responsable de animales de compañía y de producción, impulsar la transición energética justa, la gestión racional de productos químicas,  la movilidad segura, saludable y sostenible y economías sociales y populares de cuidado comunitario en salud teniendo en cuenta los factores socioculturales del territorio.  </t>
  </si>
  <si>
    <t xml:space="preserve">Gestionar los mecanismos técnicos, políticos y administrativos para el desarrollo de estrategias Gestión del acceso a saneamiento básico y agua apta para consumo humano a través de procesos intersectoriales.  </t>
  </si>
  <si>
    <t xml:space="preserve">Gestión de los mecanismos técnicos, políticos y administrativos para dar alcance e incidencia de manera positiva en la transformación de condiciones de vida, movilidad, trabajo y vivienda para disminuir la producción de gases ambientales y materiales particulados.  </t>
  </si>
  <si>
    <t xml:space="preserve">Gestión de los mecanismos técnicos, políticos y administrativos para el desarrollo de estrategias entornos saludables integrales en contextos rurales, urbanos y periurbanos.  </t>
  </si>
  <si>
    <t xml:space="preserve">Caracterización y gestión del estado actual de los procesos propios del sector salud que producen afectaciones socioambientales que amplifican los efectos de la variabilidad y el cambio climático.   </t>
  </si>
  <si>
    <t xml:space="preserve">Fortalecimiento de la infraestructura, adaptación cultural y la incorporación de nuevas tecnologías y energías alternativas y el cambio de procesos del sector salud que generan impacto negativo socioambiental y amplifican los efectos del cambio climático por medio de estrategias de adaptación, considerando practicas propias de los pueblos y comunidades étnicas para el cuidado y preservación del ambiente.  </t>
  </si>
  <si>
    <t xml:space="preserve">Regionalización y territorialización del sistema de salud por áreas para la gestión en salud / territorios en salud con base en la estrategia atención primaria en salud, salud familiar y comunitaria, cuidado de la salud, gestión integral del riesgo en salud, y el enfoque diferencial poblacional y territorial.  </t>
  </si>
  <si>
    <t xml:space="preserve">Conformación de las Redes Integrales e Integradas Territoriales de Salud con base en la aplicación de criterios determinantes incluyendo el reconocimiento de las condiciones de vida y salud de personas, familias y comunidades bajo el liderazgo de las Entidades Territoriales Departamentales y Distritales.  </t>
  </si>
  <si>
    <t xml:space="preserve">Establecimiento de un sistema de monitoreo, seguimiento y evaluación del desempeño y resultados en salud de las redes integrales e integradas territoriales de salud – RIITS.  </t>
  </si>
  <si>
    <t xml:space="preserve">Desarrollo de las capacidades estructurales y organizacionales para el ejercicio de la autoridad sanitaria, la gobernanza, la conformación, organización, operación, monitoreo y evaluación de las Redes integrales e integradas territoriales de salud – RIITS.  </t>
  </si>
  <si>
    <t xml:space="preserve">Establecimiento de acuerdos sectoriales, intersectoriales y comunitarios para la concurrencia de recursos orientados a garantizar el acceso de la población, la longitudinalidad, la integralidad y continuidad de la atención en salud.  </t>
  </si>
  <si>
    <t>ortalecimiento de capacidades institucionales y comunitarias para el desarrollo de la APS con acciones territorializadas, universales, sistemáticas, permanentes y participativas bajo un enfoque familiar y comunitario.</t>
  </si>
  <si>
    <t xml:space="preserve">Reorientación de servicios e salud basado en atención primaria en salud.  </t>
  </si>
  <si>
    <t xml:space="preserve">Nivel primario de atención con equipos de salud territoriales y centros de atención primaria en salud fortalecidos en su infraestructura, insumos, dotación y personal de salud como puerta de entrada y primer contacto con el Sistema de Salud, para dar respuesta a las necesidades en salud de la población de su territorio.  </t>
  </si>
  <si>
    <t xml:space="preserve">Conformación y puesta en funcionamiento de los centros de atención primaria en salud -CAPS.  </t>
  </si>
  <si>
    <t xml:space="preserve">Conformación y operación de equipos básicos de salud o equipos de salud territoriales.  </t>
  </si>
  <si>
    <t xml:space="preserve">Fortalecimiento de la infraestructura pública en salud con condiciones de accesibilidad, aceptabilidad y pertinencia sociocultural   </t>
  </si>
  <si>
    <t xml:space="preserve">Integración de los dispositivos comunitarios, estructuras y formas de cuidados propios en la operación de las redes integrales e integradas territoriales de salud  </t>
  </si>
  <si>
    <t xml:space="preserve">Reorganización de servicios de salud en complejidades y modalidades de prestación para mejoramiento de acceso, integralidad de la atención y continuidad del cuidado.   </t>
  </si>
  <si>
    <t xml:space="preserve">Instituciones de salud públicas de mediana y alta complejidad fortalecidas en infraestructura, insumos, dotación, equipos y personal de salud para resolver de manera efectiva y con calidad las necesidades en salud que requieren atención especializada a través de un trabajo coordinado en redes integrales e integradas territoriales de salud.  </t>
  </si>
  <si>
    <t xml:space="preserve">Fortalecimiento de las modalidades de prestación de servicios de salud de telemedicina y extramuralidad en integración con el nivel primario de atención.  </t>
  </si>
  <si>
    <t xml:space="preserve">Definición e implementación de mecanismos de coordinación asistencial entre el nivel primario y los servicios de mediana y alta complejidad.  </t>
  </si>
  <si>
    <t xml:space="preserve">Definición de estándares y modelos de gestión para el acceso con oportunidad a servicios de mediana y alta complejidad.  </t>
  </si>
  <si>
    <t xml:space="preserve">Diseño de los mecanismos pertinentes para garantizar el acceso y la continuidad de los medicamentos [incluye terapias alternativas que hayan sido reconocidas] en el marco de la red integral e integrada territorial de salud.  </t>
  </si>
  <si>
    <t xml:space="preserve">Redistribución de competencias del talento humano en salud basado en atención primaria en salud.  </t>
  </si>
  <si>
    <t xml:space="preserve">Formulación de políticas, planes, estrategias, lineamientos y guías que permitan establecer y orientar las acciones de adaptación y mitigación al cambio climático que deben implementarse en los diferentes territorios del país.  </t>
  </si>
  <si>
    <t xml:space="preserve">Políticas en salud pública para contribuir a la mitigación y adaptación al cambio climático.  </t>
  </si>
  <si>
    <t xml:space="preserve">Establecimiento de mecanismos para la comunicación del riesgo climático y la posible vulnerabilidad de la población, desde un enfoque territorial, que logre actuar a manera de sistemas de alerta temprana.  </t>
  </si>
  <si>
    <t xml:space="preserve">Fortalecimiento de las capacidades del personal de salud en todo lo relacionado con los posibles efectos de la variabilidad y el cambio climático.  </t>
  </si>
  <si>
    <t xml:space="preserve">Formulación de políticas que permitan la planeación de la gestión integral del riesgo de desastres en salud y el fortalecimiento de la capacidad sectorial y comunitaria para responder a eventos de crisis, emergencias y desastres de importancia nacional e internacional.  </t>
  </si>
  <si>
    <t xml:space="preserve">Socialización e Implementación del Plan de gestión integral de riesgos de emergencia y desastres en salud (PGIRED) en las Entidades Territoriales.  </t>
  </si>
  <si>
    <t xml:space="preserve">Incorporación del plan de gestión integral del riesgo de emergencias y desastres (PGIRED) en los planes Territoriales de Salud y Planes de Acción plurianuales territoriales.  </t>
  </si>
  <si>
    <t xml:space="preserve">Participación en las instancias de orientación y coordinación del Sistema Nacional de Gestión del Riesgo de Desastres, e incorporar las acciones del sector salud en los instrumentos de planificación, tales  cómo, Planes de Gestión del Riesgo y Estrategias de Respuesta a Emergencias.  </t>
  </si>
  <si>
    <t xml:space="preserve">Promoción de la atención en Salud mental al personal  que hace parte de la Misión Médica en situación de riesgo.  </t>
  </si>
  <si>
    <t xml:space="preserve">Implementación de estrategias de comunicación y divulgación sobre la Misión Medica con comunidades, personal sanitario y autoridades territoriales que mitiguen la vulnerabilidad de la misión médica.  </t>
  </si>
  <si>
    <t xml:space="preserve">Garantizar el derecho fundamental a la salud a las personas que han sido o pueden ser potencialmente afectadas por situaciones de urgencia, emergencias, desastres, brotes y epidemias, comprende la operación y fortalecimiento de los Centros Reguladores de Urgencias, Emergencias y Desastres -CRUE, los Sistemas de Emergencias Médicas y las acciones de  conocimiento, reducción del riesgo y manejo de desastres en salud.  </t>
  </si>
  <si>
    <t xml:space="preserve">Fortalecimiento en todos los niveles las capacidades técnicas operativas de alerta y respuesta.  </t>
  </si>
  <si>
    <t xml:space="preserve">Fortalecimiento de la capacidad sectorial, transectorial y comunitaria para detectar y responder a eventos inusuales en salud pública que afecten la salud de la población.  </t>
  </si>
  <si>
    <t xml:space="preserve">Fortalecimiento de la red Nacional de Laboratorios  </t>
  </si>
  <si>
    <t xml:space="preserve">Fortalecimiento de la red Nacional de Toxicología   </t>
  </si>
  <si>
    <t xml:space="preserve">Fortalecimiento de la red Nacional de Bancos de Sangre y Servicios Transfusionales.  </t>
  </si>
  <si>
    <t xml:space="preserve">Fortalecimiento del Programa Hospitales Seguros.  </t>
  </si>
  <si>
    <t xml:space="preserve">Incorporación de la información compilada y analizada en una red integrada de fuentes de información en la planificación estratégica del territorio frente a los riesgos de emergencias y desastres que afecten la salud pública.  </t>
  </si>
  <si>
    <t xml:space="preserve">Conocimiento producido y difundido y capacidades fortalecidas para prevenir y atender el impacto del cambio climático en la salud pública.  </t>
  </si>
  <si>
    <t xml:space="preserve">Análisis, evaluación, monitoreo y seguimiento del riesgo de incidentes e infracciones a la misión médica con enfoque de género.  </t>
  </si>
  <si>
    <t xml:space="preserve">Fortalecimiento de la cooperación internacional frente a la trasferencia de tecnología y capacitación en la preparación y respuesta a pandemias.  </t>
  </si>
  <si>
    <t xml:space="preserve">Fortalecimiento de los Sistemas de Información de vigilancia a nivel nacional, departamental y municipal.  </t>
  </si>
  <si>
    <t xml:space="preserve">Gestión Intersectorial para el mantenimiento y fortalecimiento de las capacidades básicas a nivel departamental frente a la preparación y respuesta necesarias con respecto al Reglamento Sanitario Internacional-RSI 2005, incluyendo el enfoque de “Una Salud”  </t>
  </si>
  <si>
    <t xml:space="preserve">Generación de programas de formación continua de personal en los niveles departamentales y municipales en las acciones de preparación y repuesta ante pandemias.  </t>
  </si>
  <si>
    <t xml:space="preserve">Actualización y prueba de los planes de preparación frente a futuras pandemias en todos los niveles.  </t>
  </si>
  <si>
    <t xml:space="preserve">Producción, organización, depuración y reporte de la información en salud pública  </t>
  </si>
  <si>
    <t xml:space="preserve">Disposición de la información como bien público mediante el acceso a través de bibliotecas virtuales, repositorios virtuales y demás servicios e información.  </t>
  </si>
  <si>
    <t xml:space="preserve">Análisis de la información que permita la comprensión de las condiciones de salud de la población y sus determinantes sociales a nivel territorial.   </t>
  </si>
  <si>
    <t xml:space="preserve">Construcción de forma colectiva e intercultural los saberes que aporten a la producción y análisis de la información en salud pública.  </t>
  </si>
  <si>
    <t xml:space="preserve">Uso de la información para la formulación de la planeación territorial y la toma de decisiones en salud pública (estudios y evaluaciones)  </t>
  </si>
  <si>
    <t xml:space="preserve">Desarrollo de estrategias de comunicación para la difusión y el uso adecuado de la información en salud pública.  </t>
  </si>
  <si>
    <t xml:space="preserve">Desarrollo de estrategias de comunicación, educación para el cambio de comportamiento y de acción colectiva que favorezcan la trasformación de la cultura de seguridad social en salud y promover los entornos saludables y protectores.  </t>
  </si>
  <si>
    <t xml:space="preserve">Desarrollo de otras estrategias de divulgación para la transferencia y apropiación del conocimiento en salud pública a nivel territorial tales como charlas, talleres, seminarios, entre otros.  </t>
  </si>
  <si>
    <t xml:space="preserve">Desarrollo de estrategias de articulación sectorial e intersectorial para la divulgación, traducción social, uso y apropiación de la información en salud pública.  </t>
  </si>
  <si>
    <t xml:space="preserve">Fortalecimiento de los sistemas de información necesarios para la gestión de la información en salud pública, incluyendo alertas tempranas  </t>
  </si>
  <si>
    <t>Fortalecimiento de las capacidades del Talento Humano para un adecuado proceso de producción, organización, depuración y reporte de la información en salud pública</t>
  </si>
  <si>
    <t xml:space="preserve">Fortalecimiento de las capacidades del Talento Humano en el acceso y uso de la oferta actual de información pública de salud y de otros sectores.  </t>
  </si>
  <si>
    <t xml:space="preserve">Fortalecimiento de las capacidades del Talento Humano para la generación de conocimiento a través de herramientas estadísticas y cualitativas de análisis de la información.  </t>
  </si>
  <si>
    <t xml:space="preserve">Fortalecimiento de las capacidades del Talento Humano para la generación de conocimiento con enfoques diferenciales, de género y diversidad y para pueblos y comunidades étnicas.  </t>
  </si>
  <si>
    <t xml:space="preserve">Fortalecimiento de las capacidades del Talento Humano en la implementación de estrategias para la generación de conocimiento de las condiciones de salud de la población y sus determinantes tales como observatorios, ASIS, unidades de análisis, seminarios, entre otras.  </t>
  </si>
  <si>
    <t xml:space="preserve">Fortalecer el papel de la Comisión Intersectorial para el Desarrollo y Producción de Tecnologías Estratégicas en Salud (CIDPTES) como ente de gobernanza que guíe las acciones que lleven a Colombia a convertirse en un centro de desarrollo y producción de TES, a través de la articulación de las propuestas que, desde los diferentes sectores (gobierno, industria, academia y sociedad), puedan aportar para este fin.    </t>
  </si>
  <si>
    <t xml:space="preserve">Soberanía sanitaria fortalecida con la aplicación de Tecnologías Estratégicas en Salud (TES)   </t>
  </si>
  <si>
    <t xml:space="preserve">Fomentar la inversión en investigación, desarrollo, innovación (I+D+i) y producción local de TES.  </t>
  </si>
  <si>
    <t xml:space="preserve">Caracterización del talento humano en salud pública  </t>
  </si>
  <si>
    <t xml:space="preserve">Capacidades consolidadas para la gestión territorial de la salud pública  </t>
  </si>
  <si>
    <t xml:space="preserve">Fortalecimiento de las capacidades institucionales y sociales para la gestión territorial de la salud pública, en el marco de la Estrategia Nacional de Formación Territorial, Intercultural de Atención Primaria en Salud, Salud Pública y Salud Colectiva.  </t>
  </si>
  <si>
    <t xml:space="preserve">Fortalecimiento de la gobernanza sanitaria por medio del acompañamiento regional y la consolidación de alianzas académicas en los territorios formadores del THS  </t>
  </si>
  <si>
    <t>Desarrollo de las capacidades en el Talento Humano en Salud para la identificación, diagnóstico y prevención de los riesgos relacionados con la ocupación</t>
  </si>
  <si>
    <t xml:space="preserve">Concertación de los mínimos de formación del THS y las prácticas pedagógicas a nivel técnico, tecnológico, universitaria, posgradual y formación de formadores con relación a: territorio, territorialidad, interculturalidad en salud, atención primaria en salud, salud pública y salud colectiva.  </t>
  </si>
  <si>
    <t xml:space="preserve">Planificación con enfoque territorial la educación continua del THS con énfasis en territorio, territorialidad, interculturalidad en salud, atención primaria en salud, salud pública y salud colectiva  </t>
  </si>
  <si>
    <t xml:space="preserve">Desarrollo de metodologías pedagógicas específicas para la salud pública  </t>
  </si>
  <si>
    <t xml:space="preserve">Fortalecimiento del desarrollo de capacidades en el Talento Humano en Salud para la identificación, diagnóstico y prevención de los riesgos relacionados con la ocupación.  </t>
  </si>
  <si>
    <t>Concertación de los mínimos de formación del THS y las prácticas pedagógicas a nivel técnico, tecnológico, universitaria, posgradual y formación de formadores con relación a: territorio, territorialidad, interculturalidad en salud, atención primaria en salud, salud pública y salud colectiva.</t>
  </si>
  <si>
    <t xml:space="preserve">Sabedores ancestrales y personal de salud propio, reconocidos y articulados a los procesos de la gestión de la salud pública en los territorios.  </t>
  </si>
  <si>
    <t>Planificación con enfoque territorial la educación continua del THS con énfasis en territorio, territorialidad, interculturalidad en salud, atención primaria en salud, salud pública y salud colectiva</t>
  </si>
  <si>
    <t>Desarrollo de metodologías pedagógicas específicas para la salud pública</t>
  </si>
  <si>
    <t>Fortalecimiento del desarrollo de capacidades en el Talento Humano en Salud para la identificación, diagnóstico y prevención de los riesgos relacionados con la ocupación.</t>
  </si>
  <si>
    <t xml:space="preserve">Definición de estrategias territoriales e intersectoriales para la mejora de la disponibilidad y distribución del THS con énfasis en los que realizan acciones y gestión de la salud pública  </t>
  </si>
  <si>
    <t xml:space="preserve">Talento humano en salud pública disponible y sostenible con garantía de trabajo digno y decente   </t>
  </si>
  <si>
    <t xml:space="preserve">Implementación de acciones intersectoriales con enfoque territorial para la integración de incentivos y mecanismos de retención del THS en el marco del trabajo digno y decente, incluyendo el TH de salud ambiental  </t>
  </si>
  <si>
    <t xml:space="preserve">Avance en la protección del talento humano en contexto de crisis humanitaria  </t>
  </si>
  <si>
    <t xml:space="preserve">Gestión de la apertura territorial de las Instituciones de Educación del THS con los actores de la región para ser parte de la transformación requerida a escala mayor: con prácticas académicas y participación de las comunidades  </t>
  </si>
  <si>
    <t>METAS</t>
  </si>
  <si>
    <t>DESCRIPCION_METAS_ESTRATEGICAS_2024</t>
  </si>
  <si>
    <t xml:space="preserve">A 2031 el 100% de las Entidades Territoriales del orden departamental, distrital y municipal garantizan el derecho a la participación social de acuerdo con las competencias establecidas en la política de participación social en salud.  </t>
  </si>
  <si>
    <t xml:space="preserve">A 2031 el 100% de las Entidades territoriales departamentales y distritales contaran con una participación de organizaciones de base comunitaria y estructuras o formas de cuidado provenientes de saberes populares, tradiciones culturales, y saberes propios de pueblos y comunidades étnicas como parte de la red integral e integrada territorial de salud según disposiciones del Ministerio de Salud y protección Social.   </t>
  </si>
  <si>
    <t xml:space="preserve">A 2031 el 100% de los escenarios de participación existentes en los departamentos, distritos y municipios   inciden en la gestión y la toma de decisiones en la inversión pública del sector salud y la garantía del derecho fundamental a la salud.  </t>
  </si>
  <si>
    <t xml:space="preserve">A 2031 el 100% de entidades territoriales Departamentales, Distritales y Municipales que tienen en su territorio pueblos y comunidades indígenas, comunidades negras, afrocolombianas, raizales y palenqueras y pueblo Rrom han establecido acuerdos para la garantía del derecho fundamental a la salud y la respuesta a las necesidades de la salud propia e intercultural.  </t>
  </si>
  <si>
    <t xml:space="preserve">A 2031 el 100% de entidades territoriales Departamentales, Distritales y Municipales que tienen en su territorio pueblos y comunidades indígenas, comunidades negras, afrocolombianas, raizales y palenqueras y pueblo Rrom integran en sus planes territoriales de salud los acuerdos resultantes para la garantía del derecho fundamental a la salud y la respuesta a las necesidades de la salud propia e intercultural.  </t>
  </si>
  <si>
    <t xml:space="preserve">A 2031 el 100% de entidades territoriales Departamentales, Distritales y Municipales han implementado la Estrategia de Transversalización del Enfoque de Género en la Planeación Integral en Salud.  </t>
  </si>
  <si>
    <t xml:space="preserve">A 2031 el 100% de los espacios e instancias intersectoriales incluyen en sus planes de acción la transversalización de los enfoques de pueblos y comunidades, género y diferencial e integran los sistemas de conocimiento propio de los pueblos y comunidades étnicas.  </t>
  </si>
  <si>
    <t xml:space="preserve">A 2031 el 100% de los Gobiernos departamentales, distritales y municipales lideran el desarrollo de estrategias para el reconocimiento de contextos de desventaja social, étnica y de género y la generación de respuestas intersectoriales.  </t>
  </si>
  <si>
    <t xml:space="preserve">A 2031 el 100% las entidades territoriales Departamentales, Distritales han implementado las medidas de atención para la atención a las mujeres víctimas de violencia de género.  </t>
  </si>
  <si>
    <t xml:space="preserve">A 2031 el 100% las entidades territoriales Departamentales, Distritales y Municipales han adoptado la Política de Salud Plena para las Mujeres que Garantice el Goce Pleno de sus Derechos.  </t>
  </si>
  <si>
    <t xml:space="preserve">A 2031 de entidades territoriales Departamentales, Distritales y Municipales han adoptado los Lineamientos para la Superación de Barreras de Acceso y Atención para el Ejercicio del Derecho a la Salud de las Personas OSIGD-LGBTI.  </t>
  </si>
  <si>
    <t xml:space="preserve">A 2031 de entidades territoriales Departamentales, Distritales y Municipales han adoptado la Estrategia Sectorial de Lucha Contra la Trata.  </t>
  </si>
  <si>
    <t xml:space="preserve">A 2031 los Centros de Atención Socio-sanitaria para personas habitantes de la calle, personas mayores, mujeres víctimas de violencia, se encuentran inscritos en el registro de entidades prestadores de servicios socio-sanitarios-REPSO.  </t>
  </si>
  <si>
    <t>A 2031 los Centros de Larga Estancia cuentan con estándares mínimos de funcionamiento para la garantía de los derechos de las personas mayores.</t>
  </si>
  <si>
    <t xml:space="preserve">A 2031 las entidades territoriales implementan el Plan de Atención Sectorial a Población Migrante Colombianos retornados y comunidades de acogida.  </t>
  </si>
  <si>
    <t xml:space="preserve">A 2031, el 100% de las entidades territoriales implementan la estrategia de Rehabilitación Basada en Comunidad (RBC) en los territorios  </t>
  </si>
  <si>
    <t xml:space="preserve">A 2031 se fortalecerá por lo menos el 50 % de la infraestructura pública en salud que se identifique y priorice para incrementar la oferta equitativa de servicios de baja, mediana y alta complejidad fortaleciendo la atención primaria en salud.  </t>
  </si>
  <si>
    <t xml:space="preserve">A 2031 operarán en el territorio nacional el 100% de los equipos básicos interdisciplinarios proyectados con base en las dinámicas poblacionales y territoriales para el fortalecimiento del modelo de salud basado en la atención primaria.  </t>
  </si>
  <si>
    <t xml:space="preserve">A 2031 los servicios de salud de mediana y alta complejidad han mejorado   la eficiencia, efectividad y oportunidad de la atención en salud como dimensiones de la calidad en el marco del Modelo de Salud Preventivo, Predictivo y Resolutivo.   </t>
  </si>
  <si>
    <t xml:space="preserve">A 2031 se fortalecerán en el 100% de los Departamentos y Distritos, las capacidades de los profesionales del sector salud en lo relacionado con los posibles efectos de la variabilidad y el cambio climático.  </t>
  </si>
  <si>
    <t xml:space="preserve">A 2031 se fortalecerá en el 100% de los territorios la apropiación social del conocimiento en salud pública y el desarrollo de investigaciones que den respuesta a las necesidades en salud de cada territorio  </t>
  </si>
  <si>
    <t xml:space="preserve">A 2031 se fortalecerán en el 100% de los Departamentos y Distritos las capacidades técnicas y de investigación en salud pública del personal de salud.  </t>
  </si>
  <si>
    <t xml:space="preserve">A 2031 en el 100% de los departamentos y distritos se fortalecerá la generación, recuperación y divulgación de conocimientos científicos, conocimientos tradicionales y saberes ancestrales.  </t>
  </si>
  <si>
    <t xml:space="preserve">A 2031 estarán en producción el 80 % de las Tecnologías Estratégicas en Salud (TES) para enfermedades desatendidas, huérfanas, tropicales, y transmitidas por vectores, entre otras priorizadas.  </t>
  </si>
  <si>
    <t xml:space="preserve">A 2031 se logrará el abastecimiento del 80% de las tecnologías estratégicas en salud de difícil consecución.  </t>
  </si>
  <si>
    <t xml:space="preserve">Aumentar la densidad a 44,5 profesionales de la salud por 10.000 habitantes en municipios con alta dispersión descritos en la resolución 2809 de 2022  </t>
  </si>
  <si>
    <t xml:space="preserve">Reducir a la mitad la brecha de ingresos entre profesionales de la salud que realizan actividades en municipios con alta dispersión con respecto a zonas urbanas y entre los géneros.  </t>
  </si>
  <si>
    <t xml:space="preserve">Reducir en un 50% la brecha territorial del THS entre áreas urbanas y rurales  </t>
  </si>
  <si>
    <t xml:space="preserve">Incrementar al doble el número de cargos de planta de las Entidades territoriales de orden departamental, distritales y municipales contribuyendo al fortalecimiento de la autoridad sanitaria y la salud pública  </t>
  </si>
  <si>
    <t xml:space="preserve">Incrementar al doble el número de cargos de planta para el Talento Humano en Salud que realiza la prestación de los servicios de salud en las Empresas Sociales del Estado  </t>
  </si>
  <si>
    <t xml:space="preserve">Se contará con al menos un promotor de salud por cada Equipo Básico de Salud reconocidos por las comunidades, formados y vinculados en el marco del fortalecimiento del Modelo de Salud basado en la Atención Primaria en Salud.  </t>
  </si>
  <si>
    <t xml:space="preserve">Lograr que el 100% de las secretarias de salud Departamentales y Distritales establezcan una estructura organizacional para la planificación y gestión estratégica del THS  </t>
  </si>
  <si>
    <t xml:space="preserve">Implementación del 100% de los acuerdos regionales para la definición de los mínimos de formación del THS, enfoques pedagógicos con énfasis en la educación interprofesional y practicas formativos acordes con realidades y necesidades de las poblaciones en el marco de la Estrategia Nacional de Formación territorial, Intercultural de APS, salud pública y salud colectiva.  </t>
  </si>
  <si>
    <t>COD_FUENTE_RECURSOS_2024</t>
  </si>
  <si>
    <t>NOMBRE_FUENTE_RECURSOS_2024</t>
  </si>
  <si>
    <t>SGP</t>
  </si>
  <si>
    <t>TRANSFERECIAS NACIONALES</t>
  </si>
  <si>
    <t>RECUSROS PROPIOS</t>
  </si>
  <si>
    <t>COLJUEGOS</t>
  </si>
  <si>
    <t>REGALÍAS</t>
  </si>
  <si>
    <t>SERVICIOS DE LABORATORIO</t>
  </si>
  <si>
    <t>COOPERACIÓN INTERNACIONAL</t>
  </si>
  <si>
    <t>SISTEMA GENERAL DE PARTICIPACIONES - SALUD PÚBLICA</t>
  </si>
  <si>
    <t>SALUD PÚBLICA</t>
  </si>
  <si>
    <t>SISTEMA GENERAL DE PARTICIPACIONES - SALUD PÚBLICA - RECURSOS NO COMPROMETIDOS DE VIGENCIAS ANTERIORES</t>
  </si>
  <si>
    <t>SISTEMA GENERAL DE PARTICIPACIONES - SALUD PÚBLICA - RENDIMIENTOS FINANCIEROS</t>
  </si>
  <si>
    <t>TRANSFERENCIAS NACIONALES ETV</t>
  </si>
  <si>
    <t>TRANSFERENCIAS NACIONALES LEPRA</t>
  </si>
  <si>
    <t xml:space="preserve">TRANSFERENCIAS NACIONALES TBC </t>
  </si>
  <si>
    <t>TRANSFERENCIAS NACIONALES OTROS ACCIONES EN SALUD PUBLICA</t>
  </si>
  <si>
    <t>INGRESOS VENTA DE SERVICIOS LABORATORIO DE SALUD PÚBLICA</t>
  </si>
  <si>
    <t>RECURSOS PROPIOS</t>
  </si>
  <si>
    <t xml:space="preserve">INGRESOS CORRIENTES DE LIBRE DESTINACIÓN </t>
  </si>
  <si>
    <t>RECURSOS DEL BALANCE DIFERENTES AL SGP SALUD PÚBLICA</t>
  </si>
  <si>
    <t xml:space="preserve">OTROS RECURSOS </t>
  </si>
  <si>
    <t>SISTEMA GENERAL DE PARTICIPACIONES REGIMEN SUBSIDIADO</t>
  </si>
  <si>
    <t>RECURSOS DEL BALANCE DEL SISTEMA GENERAL DE PARTICIPACIONES REGIMEN SUBSIDIADO</t>
  </si>
  <si>
    <t>RENDIMIENTOS FINANCIEROS DEL SISTEMA GENERAL DE PARTICIPACIONES REGIMEN SUBSIDIADO</t>
  </si>
  <si>
    <t>RENTAS CEDIDAS</t>
  </si>
  <si>
    <t>RECURSOS DEL BALANCE DEL RÉGIMEN SUBSIDIADO</t>
  </si>
  <si>
    <t>CAJAS DE COMPENSACIÓN FAMILIAR. (ARTÍCULO 217, LEY 100 DE 1993)</t>
  </si>
  <si>
    <t>ADRES Y PGN</t>
  </si>
  <si>
    <t>OTROS RECURSOS DE LA NACIÓN</t>
  </si>
  <si>
    <t>OTROS RECURSOS</t>
  </si>
  <si>
    <t>SISTEMA GENERAL DE PARTICIPACIONES - PNA</t>
  </si>
  <si>
    <t>SUBCUENTA DE PRESTACIÓN DE SERVICIOS DE SALUD EN LO NO CUBIERTO CON SUBSIDIOS A LA DEMANDA</t>
  </si>
  <si>
    <t>RECURSOS DESTINADOS POR LA LEY 1608 DE 2013</t>
  </si>
  <si>
    <t xml:space="preserve">RECURSOS EXCEDENTES DE FONPET – LOTTO EN LÍNEA (DECRETO 728 DE 2013) </t>
  </si>
  <si>
    <t xml:space="preserve">RECURSOS DEL BALANCE PRESTACIÓN DE SERVICIOS DE SALUD </t>
  </si>
  <si>
    <t>RENTAS TERRITORIALES PARA LA FINANCIACIÓN DE LAS ACCIONES DE SALUD PÚBLICA COLECTIVA</t>
  </si>
  <si>
    <t>SISTEMA GENERAL DE REGALÍAS</t>
  </si>
  <si>
    <t>EXCEDENTES DE LA CUENTA MAESTRA DEL RÉGIMEN SUBSIDIADO</t>
  </si>
  <si>
    <t>SGP - SUBSIDIO A LA OFERTA</t>
  </si>
  <si>
    <t>RECURSOS ASIGNADOS POR LA NACIÓN PARA LA ATENCIÓN DE URGENCIAS DE LA POBLACIÓN MIGRANTE NO AFILIADA</t>
  </si>
  <si>
    <t>RECURSOS DESTINADOS POR LA ET PARA EL PAGO DE LOS SERVICIOS QUE SE PRESTEN POR CONCEPTO DE URGENCIAS A LA POBLACIÓN MIGRANTE NO AFILIADA</t>
  </si>
  <si>
    <t>EXCEDENTES DEL SGP DE PRESTACIÓN DE SERVICIOS</t>
  </si>
  <si>
    <t>EXCEDENTES DE RENTAS CEDIDAS</t>
  </si>
  <si>
    <t>COMPONENTE</t>
  </si>
  <si>
    <t xml:space="preserve">LINEAS OPERATIVAS </t>
  </si>
  <si>
    <t>Urbano</t>
  </si>
  <si>
    <t>Rural</t>
  </si>
  <si>
    <t>FUENTES DE FINANCIACION</t>
  </si>
  <si>
    <t>Descripción</t>
  </si>
  <si>
    <t>Código</t>
  </si>
  <si>
    <t>DISPONIBILIDAD INICIAL (1.1.0.0.00)</t>
  </si>
  <si>
    <t>1.1.0.0.00</t>
  </si>
  <si>
    <t>INGRESOS CORRIENTES DE LIBRE DESTINACION (1.2.1.0.00)</t>
  </si>
  <si>
    <t>1.2.1.0.00</t>
  </si>
  <si>
    <t>INGRESOS CORRIENTES DE DESTINACION ESPECIFICA POR ACTO ADMINISTRATIVO (1.2.2.0.00)</t>
  </si>
  <si>
    <t>1.2.2.0.00</t>
  </si>
  <si>
    <t>SOBRETASA - PARTICIPACION AMBIENTAL - CORPORACIONES AUTONOMAS REGIONALES (1.2.3.1.01)</t>
  </si>
  <si>
    <t>1.2.3.1.01</t>
  </si>
  <si>
    <t>SOBRETASA AMBIENTAL AREAS METROPOLITANAS (1.2.3.1.02)</t>
  </si>
  <si>
    <t>1.2.3.1.02</t>
  </si>
  <si>
    <t>IMPUESTO SOBRE VEHICULOS AUTOMOTORES CON DESTINACION ESPECIFICA LEGAL (1.2.3.1.03)</t>
  </si>
  <si>
    <t>1.2.3.1.03</t>
  </si>
  <si>
    <t>IMPUESTO A GANADORES DE SORTEOS ORDINARIOS Y EXTRAORDINARIOS (1.2.3.1.04)</t>
  </si>
  <si>
    <t>1.2.3.1.04</t>
  </si>
  <si>
    <t>IMPUESTO - SOBRETASA POR EL ALUMBRADO PUBLICO (1.2.3.1.05)</t>
  </si>
  <si>
    <t>1.2.3.1.05</t>
  </si>
  <si>
    <t>IMPUESTO DE REGISTRO (1.2.3.1.06)</t>
  </si>
  <si>
    <t>1.2.3.1.06</t>
  </si>
  <si>
    <t>IMPUESTO DE LOTERIAS FORANEAS (1.2.3.1.07)</t>
  </si>
  <si>
    <t>1.2.3.1.07</t>
  </si>
  <si>
    <t>IMPUESTO AL CONSUMO DE LICORES, VINOS, APERITIVOS Y SIMILARES (1.2.3.1.08)</t>
  </si>
  <si>
    <t>1.2.3.1.08</t>
  </si>
  <si>
    <t>IMPUESTO AL CONSUMO DE CERVEZAS, SIFONES, REFAJOS Y MEZCLAS (1.2.3.1.09)</t>
  </si>
  <si>
    <t>1.2.3.1.09</t>
  </si>
  <si>
    <t>IMPUESTO AL CONSUMO DE CIGARRILLOS Y TABACO (1.2.3.1.10)</t>
  </si>
  <si>
    <t>1.2.3.1.10</t>
  </si>
  <si>
    <t>SOBRETASA FONDO DEPARTAMENTAL DE BOMBEROS (1.2.3.1.11)</t>
  </si>
  <si>
    <t>1.2.3.1.11</t>
  </si>
  <si>
    <t>IMPUESTO DE ESPECTACULOS PUBLICOS NACIONAL CON DESTINO AL DEPORTE (1.2.3.1.12)</t>
  </si>
  <si>
    <t>1.2.3.1.12</t>
  </si>
  <si>
    <t>IMPUESTO SOBRE APUESTAS MUTUAS (1.2.3.1.13)</t>
  </si>
  <si>
    <t>1.2.3.1.13</t>
  </si>
  <si>
    <t>SOBRETASA BOMBERIL (1.2.3.1.14)</t>
  </si>
  <si>
    <t>1.2.3.1.14</t>
  </si>
  <si>
    <t>SOBRETASA FONDO DE SEGURIDAD (1.2.3.1.15)</t>
  </si>
  <si>
    <t>1.2.3.1.15</t>
  </si>
  <si>
    <t>IMPUESTO DE TRANSPORTE POR OLEODUCTOS Y GASODUCTOS (1.2.3.1.16)</t>
  </si>
  <si>
    <t>1.2.3.1.16</t>
  </si>
  <si>
    <t>SOBRETASA DE SOLIDARIDAD SERVICIOS PUBLICOS ACUEDUCTO, ASEO Y ALCANTARILLADO (1.2.3.1.17)</t>
  </si>
  <si>
    <t>1.2.3.1.17</t>
  </si>
  <si>
    <t>TASA PRODEPORTE Y RECREACION (1.2.3.1.18)</t>
  </si>
  <si>
    <t>1.2.3.1.18</t>
  </si>
  <si>
    <t>ESTAMPILLAS (1.2.3.1.19)</t>
  </si>
  <si>
    <t>1.2.3.1.19</t>
  </si>
  <si>
    <t>CONTRIBUCIONES SOCIALES - SALUD (1.2.3.2.01)</t>
  </si>
  <si>
    <t>1.2.3.2.01</t>
  </si>
  <si>
    <t>CONTRIBUCIONES SOCIALES - PENSION (1.2.3.2.02)</t>
  </si>
  <si>
    <t>1.2.3.2.02</t>
  </si>
  <si>
    <t>CONTRIBUCIONES SOCIALES - RIESGOS LABORALES (1.2.3.2.03)</t>
  </si>
  <si>
    <t>1.2.3.2.03</t>
  </si>
  <si>
    <t>CONTRIBUCIONES SOCIALES - SUBSIDIO FAMILIAR (1.2.3.2.04)</t>
  </si>
  <si>
    <t>1.2.3.2.04</t>
  </si>
  <si>
    <t>CONTRIBUCIONES AGROPECUARIAS Y PESQUERAS (1.2.3.2.05)</t>
  </si>
  <si>
    <t>1.2.3.2.05</t>
  </si>
  <si>
    <t>CONTRIBUCION SOBRE CONTRATOS DE OBRA PUBLICA (1.2.3.2.06)</t>
  </si>
  <si>
    <t>1.2.3.2.06</t>
  </si>
  <si>
    <t>CONTRIBUCION DEL SECTOR ELECTRICO (1.2.3.2.07)</t>
  </si>
  <si>
    <t>1.2.3.2.07</t>
  </si>
  <si>
    <t>COPAGOS Y CUOTAS MODERADORAS (1.2.3.2.08)</t>
  </si>
  <si>
    <t>1.2.3.2.08</t>
  </si>
  <si>
    <t>OTRAS CONTRIBUCIONES CON DESTINACION ESPECIFICA LEGAL (1.2.3.2.09)</t>
  </si>
  <si>
    <t>1.2.3.2.09</t>
  </si>
  <si>
    <t>TASAS RETRIBUTIVAS (1.2.3.2.10)</t>
  </si>
  <si>
    <t>1.2.3.2.10</t>
  </si>
  <si>
    <t>TASAS COMPENSATORIAS (1.2.3.2.11)</t>
  </si>
  <si>
    <t>1.2.3.2.11</t>
  </si>
  <si>
    <t>EVALUACION DE LICENCIAS Y TRAMITES AMBIENTALES (1.2.3.2.12)</t>
  </si>
  <si>
    <t>1.2.3.2.12</t>
  </si>
  <si>
    <t>SEGUIMIENTO A LICENCIAS Y TRAMITES AMBIENTALES (1.2.3.2.13)</t>
  </si>
  <si>
    <t>1.2.3.2.13</t>
  </si>
  <si>
    <t>DERECHO DE INGRESO AREAS PROTEGIDAS (1.2.3.2.14)</t>
  </si>
  <si>
    <t>1.2.3.2.14</t>
  </si>
  <si>
    <t>TASA POR EL USO DEL AGUA (1.2.3.2.15)</t>
  </si>
  <si>
    <t>1.2.3.2.15</t>
  </si>
  <si>
    <t>TASA POR APROVECHAMIENTO FORESTAL (1.2.3.2.16)</t>
  </si>
  <si>
    <t>1.2.3.2.16</t>
  </si>
  <si>
    <t>TASA COMPENSATORIA POR CAZA DE FAUNA SILVESTRE (1.2.3.2.17)</t>
  </si>
  <si>
    <t>1.2.3.2.17</t>
  </si>
  <si>
    <t>SOBRETASA AMBIENTAL - PEAJES (1.2.3.2.18)</t>
  </si>
  <si>
    <t>1.2.3.2.18</t>
  </si>
  <si>
    <t>TASA COMPENSATORIA POR LA UTILIZACION PERMANENTE DE LA RESERVA FORESTAL PROTECTORA BOSQUE ORIENTAL DE BOGOTA (1.2.3.2.19)</t>
  </si>
  <si>
    <t>1.2.3.2.19</t>
  </si>
  <si>
    <t>SALVOCONDUCTO UNICO NACIONAL (1.2.3.2.20)</t>
  </si>
  <si>
    <t>1.2.3.2.20</t>
  </si>
  <si>
    <t>DERECHOS DE TRANSITO (1.2.3.2.21)</t>
  </si>
  <si>
    <t>1.2.3.2.21</t>
  </si>
  <si>
    <t>OTRAS TASAS Y DERECHOS ADMINISTRATIVOS CON DESTINACION ESPECIFICA LEGAL (1.2.3.2.22)</t>
  </si>
  <si>
    <t>1.2.3.2.22</t>
  </si>
  <si>
    <t>MULTAS AMBIENTALES (1.2.3.2.23)</t>
  </si>
  <si>
    <t>1.2.3.2.23</t>
  </si>
  <si>
    <t>MULTAS CODIGO NACIONAL DE POLICIA Y CONVIVENCIA (1.2.3.2.24)</t>
  </si>
  <si>
    <t>1.2.3.2.24</t>
  </si>
  <si>
    <t>OTRAS MULTAS, SANCIONES E INTERESES DE MORA CON DESTINACION ESPECIFICA LEGAL (1.2.3.2.25)</t>
  </si>
  <si>
    <t>1.2.3.2.25</t>
  </si>
  <si>
    <t>DERECHOS ECONOMICOS POR USO DE RECURSOS NATURALES  CON DESTINACION ESPECIFICA LEGAL (1.2.3.2.26)</t>
  </si>
  <si>
    <t>1.2.3.2.26</t>
  </si>
  <si>
    <t>VENTA DE BIENES Y SERVICIOS CON DESTINACION ESPECIFICA LEGAL (1.2.3.2.27)</t>
  </si>
  <si>
    <t>1.2.3.2.27</t>
  </si>
  <si>
    <t>DERECHOS POR LA EXPLOTACION JUEGOS DE SUERTE Y AZAR (1.2.3.2.28)</t>
  </si>
  <si>
    <t>1.2.3.2.28</t>
  </si>
  <si>
    <t>PARTICIPACION Y DERECHOS DE EXPLOTACION DEL EJERCICIO DEL MONOPOLIO DE LICORES DESTILADOS Y ALCOHOLES POTABLES (1.2.3.2.29)</t>
  </si>
  <si>
    <t>1.2.3.2.29</t>
  </si>
  <si>
    <t>PARTICIPACIONES DISTINTAS DEL SGP CON DESTINACION ESPECIFICA LEGAL (1.2.3.3.01)</t>
  </si>
  <si>
    <t>1.2.3.3.01</t>
  </si>
  <si>
    <t>COMPENSACIONES DE INGRESOS TRIBUTARIOS Y NO TRIBUTARIOS CON DESTINACION ESPECIFICA LEGAL (1.2.3.3.02)</t>
  </si>
  <si>
    <t>1.2.3.3.02</t>
  </si>
  <si>
    <t>APORTES NACION - ALIMENTACION ESCOLAR (1.2.3.3.03)</t>
  </si>
  <si>
    <t>1.2.3.3.03</t>
  </si>
  <si>
    <t>OTRAS TRANSFERENCIAS CORRIENTES DE OTRAS ENTIDADES CON DESTINACION ESPECIFICA LEGAL DEL GOBIERNO GENERAL (1.2.3.3.04)</t>
  </si>
  <si>
    <t>1.2.3.3.04</t>
  </si>
  <si>
    <t>SUBVENCIONES CON DESTINACION ESPECIFICA LEGAL (1.2.3.3.05)</t>
  </si>
  <si>
    <t>1.2.3.3.05</t>
  </si>
  <si>
    <t>DIFERENTES DE SUBVENCIONES CON DESTINACION ESPECIFICA LEGAL (1.2.3.3.06)</t>
  </si>
  <si>
    <t>1.2.3.3.06</t>
  </si>
  <si>
    <t>SISTEMA GENERAL DE SEGURIDAD SOCIAL EN SALUD - OTROS RECURSOS ADMINISTRADOS POR ADRES (1.2.3.3.07)</t>
  </si>
  <si>
    <t>1.2.3.3.07</t>
  </si>
  <si>
    <t>SISTEMA GENERAL DE SEGURIDAD SOCIAL EN SALUD - RECURSOS DE ENTIDADES TERRITORIALES (1.2.3.3.08)</t>
  </si>
  <si>
    <t>1.2.3.3.08</t>
  </si>
  <si>
    <t>SISTEMA GENERAL DE SEGURIDAD SOCIAL EN SALUD - RECURSOS DE CAJAS DE COMPENSACION (1.2.3.3.09)</t>
  </si>
  <si>
    <t>1.2.3.3.09</t>
  </si>
  <si>
    <t>SISTEMA GENERAL DE SEGURIDAD SOCIAL EN SALUD - FONDOS ESPECIALES DEL MINISTERIO DE SALUD Y PROTECCION SOCIAL (1.2.3.3.10)</t>
  </si>
  <si>
    <t>1.2.3.3.10</t>
  </si>
  <si>
    <t>SISTEMA GENERAL DE SEGURIDAD SOCIAL EN SALUD - RECURSOS DE LA COMPENSACION DEL RC (1.2.3.3.11)</t>
  </si>
  <si>
    <t>1.2.3.3.11</t>
  </si>
  <si>
    <t>SISTEMA GENERAL DE SEGURIDAD SOCIAL EN SALUD - RECURSOS DE LA UPC RS (1.2.3.3.12)</t>
  </si>
  <si>
    <t>1.2.3.3.12</t>
  </si>
  <si>
    <t>SISTEMA GENERAL DE SEGURIDAD SOCIAL EN SALUD - SERVICIOS Y TECNOLOGIAS NO FINANCIADOS CON UPC (1.2.3.3.13)</t>
  </si>
  <si>
    <t>1.2.3.3.13</t>
  </si>
  <si>
    <t>SISTEMA GENERAL DE PENSIONES - CUOTAS PARTES PENSIONALES (1.2.3.3.14)</t>
  </si>
  <si>
    <t>1.2.3.3.14</t>
  </si>
  <si>
    <t>SISTEMA GENERAL DE PENSIONES - OTROS (1.2.3.3.15)</t>
  </si>
  <si>
    <t>1.2.3.3.15</t>
  </si>
  <si>
    <t>SISTEMA GENERAL DE RIESGOS LABORALES (1.2.3.3.16)</t>
  </si>
  <si>
    <t>1.2.3.3.16</t>
  </si>
  <si>
    <t>SENTENCIAS Y CONCILIACIONES (1.2.3.3.17)</t>
  </si>
  <si>
    <t>1.2.3.3.17</t>
  </si>
  <si>
    <t>INDEMNIZACIONES RELACIONADAS CON SEGUROS NO DE VIDA (1.2.3.3.18)</t>
  </si>
  <si>
    <t>1.2.3.3.18</t>
  </si>
  <si>
    <t>ICLD DEPARTAMENTOS PARA FONPET (1.2.3.4.01)</t>
  </si>
  <si>
    <t>1.2.3.4.01</t>
  </si>
  <si>
    <t>ICLD LEY 99 - DESTINO AMBIENTAL (1.2.3.4.02)</t>
  </si>
  <si>
    <t>1.2.3.4.02</t>
  </si>
  <si>
    <t>SAN ANDRES CON DESTINO A PROVIDENCIA (1.2.3.4.03)</t>
  </si>
  <si>
    <t>1.2.3.4.03</t>
  </si>
  <si>
    <t>SGP-EDUCACION-PRESTACION DE SERVICIOS (1.2.4.1.01)</t>
  </si>
  <si>
    <t>1.2.4.1.01</t>
  </si>
  <si>
    <t>SGP-EDUCACION-CANCELACION DE PRESTACIONES SOCIALES DEL MAGISTERIO (1.2.4.1.02)</t>
  </si>
  <si>
    <t>1.2.4.1.02</t>
  </si>
  <si>
    <t>SGP-EDUCACION-CALIDAD  POR MATRICULA OFICIAL (1.2.4.1.03)</t>
  </si>
  <si>
    <t>1.2.4.1.03</t>
  </si>
  <si>
    <t>SGP-EDUCACION-CALIDAD  POR GRATUIDAD (1.2.4.1.04)</t>
  </si>
  <si>
    <t>1.2.4.1.04</t>
  </si>
  <si>
    <t>1.2.4.2.01</t>
  </si>
  <si>
    <t>SGP-SALUD-PRESTACION DEL SERVICIO DE SALUD (1.2.4.2.03)</t>
  </si>
  <si>
    <t>1.2.4.2.03</t>
  </si>
  <si>
    <t>SGP-SALUD-SUBSIDIO A LA OFERTA (1.2.4.2.04)</t>
  </si>
  <si>
    <t>1.2.4.2.04</t>
  </si>
  <si>
    <t>SGP-PROPOSITO GENERAL-DEPORTE Y RECREACION (1.2.4.3.01)</t>
  </si>
  <si>
    <t>1.2.4.3.01</t>
  </si>
  <si>
    <t>SGP-PROPOSITO GENERAL-CULTURA (1.2.4.3.02)</t>
  </si>
  <si>
    <t>1.2.4.3.02</t>
  </si>
  <si>
    <t>SGP-PROPOSITO GENERAL-PROPOSITO GENERAL LIBRE INVERSION (1.2.4.3.03)</t>
  </si>
  <si>
    <t>1.2.4.3.03</t>
  </si>
  <si>
    <t>SGP-PROPOSITO GENERAL-LIBRE DESTINACION MUNICIPIOS CATEGORIAS 4, 5 Y 6 (1.2.4.3.04)</t>
  </si>
  <si>
    <t>1.2.4.3.04</t>
  </si>
  <si>
    <t>SGP-ASIGNACION ESPECIAL-PROGRAMAS DE ALIMENTACION ESCOLAR (1.2.4.4.01)</t>
  </si>
  <si>
    <t>1.2.4.4.01</t>
  </si>
  <si>
    <t>SGP-ASIGNACION ESPECIAL-MUNICIPIOS DE LA RIBERA DEL RIO MAGDALENA (1.2.4.4.02)</t>
  </si>
  <si>
    <t>1.2.4.4.02</t>
  </si>
  <si>
    <t>SGP-ASIGNACION-ATENCION INTEGRAL DE LA PRIMERA INFANCIA (1.2.4.4.03)</t>
  </si>
  <si>
    <t>1.2.4.4.03</t>
  </si>
  <si>
    <t>SGP-AGUA POTABLE Y SANEAMIENTO BASICO (1.2.4.6.00)</t>
  </si>
  <si>
    <t>1.2.4.6.00</t>
  </si>
  <si>
    <t>DISPOSICION DE ACTIVOS (1.3.1.1.01)</t>
  </si>
  <si>
    <t>1.3.1.1.01</t>
  </si>
  <si>
    <t>EXCEDENTES FINANCIEROS (1.3.1.1.02)</t>
  </si>
  <si>
    <t>1.3.1.1.02</t>
  </si>
  <si>
    <t>DIVIDENDOS Y UTILIDADES POR OTRAS INVERSIONES DE CAPITAL (1.3.1.1.03)</t>
  </si>
  <si>
    <t>1.3.1.1.03</t>
  </si>
  <si>
    <t>RECURSOS DE CREDITO EXTERNO (1.3.1.1.04)</t>
  </si>
  <si>
    <t>1.3.1.1.04</t>
  </si>
  <si>
    <t>RECURSOS DE CREDITO INTERNO (1.3.1.1.05)</t>
  </si>
  <si>
    <t>1.3.1.1.05</t>
  </si>
  <si>
    <t>DONACIONES (1.3.1.1.06)</t>
  </si>
  <si>
    <t>1.3.1.1.06</t>
  </si>
  <si>
    <t>TRANSFERENCIAS DE CAPITAL DE OTRAS ENTIDADES DEL GOBIERNO GENERAL (1.3.1.1.07)</t>
  </si>
  <si>
    <t>1.3.1.1.07</t>
  </si>
  <si>
    <t>OTRAS TRANSFERENCIAS DE CAPITAL (1.3.1.1.08)</t>
  </si>
  <si>
    <t>1.3.1.1.08</t>
  </si>
  <si>
    <t>RECUPERACION DE CARTERA - PRESTAMOS (1.3.1.1.09)</t>
  </si>
  <si>
    <t>1.3.1.1.09</t>
  </si>
  <si>
    <t>RETIROS FONPET (1.3.1.1.10)</t>
  </si>
  <si>
    <t>1.3.1.1.10</t>
  </si>
  <si>
    <t>REINTEGROS Y OTROS RECURSOS NO APROPIADOS (1.3.1.1.11)</t>
  </si>
  <si>
    <t>1.3.1.1.11</t>
  </si>
  <si>
    <t>RECURSOS DE TERCEROS (1.3.1.1.12)</t>
  </si>
  <si>
    <t>1.3.1.1.12</t>
  </si>
  <si>
    <t>CAPITALIZACIONES (1.3.1.1.13)</t>
  </si>
  <si>
    <t>1.3.1.1.13</t>
  </si>
  <si>
    <t>R.F. SOBRETASA - PARTICIPACION AMBIENTAL - CORPORACIONES AUTONOMAS REGIONALES (1.3.2.1.01)</t>
  </si>
  <si>
    <t>1.3.2.1.01</t>
  </si>
  <si>
    <t>R.F. CONTRIBUCIONES - SALUD (1.3.2.1.02)</t>
  </si>
  <si>
    <t>1.3.2.1.02</t>
  </si>
  <si>
    <t>R.F. CONTRIBUCIONES - PENSION (1.3.2.1.03)</t>
  </si>
  <si>
    <t>1.3.2.1.03</t>
  </si>
  <si>
    <t>R.F. CONTRIBUCIONES - RIESGOS LABORALES (1.3.2.1.04)</t>
  </si>
  <si>
    <t>1.3.2.1.04</t>
  </si>
  <si>
    <t>R.F. CONTRIBUCIONES - SUBSIDIO FAMILIAR (1.3.2.1.05)</t>
  </si>
  <si>
    <t>1.3.2.1.05</t>
  </si>
  <si>
    <t>R.F. CONTRIBUCIONES - AGROPECUARIAS Y PESQUERAS (1.3.2.1.06)</t>
  </si>
  <si>
    <t>1.3.2.1.06</t>
  </si>
  <si>
    <t>R.F. CONTRIBUCION DEL SECTOR ELECTRICO (1.3.2.1.07)</t>
  </si>
  <si>
    <t>1.3.2.1.07</t>
  </si>
  <si>
    <t>R.F. DE COPAGOS Y CUOTAS MODERADORAS (1.3.2.1.08)</t>
  </si>
  <si>
    <t>1.3.2.1.08</t>
  </si>
  <si>
    <t>R.F. DE OTRAS CONTRIBUCIONES (1.3.2.1.09)</t>
  </si>
  <si>
    <t>1.3.2.1.09</t>
  </si>
  <si>
    <t>R.F. DE TASAS RETRIBUTIVAS (1.3.2.1.10)</t>
  </si>
  <si>
    <t>1.3.2.1.10</t>
  </si>
  <si>
    <t>R.F. DE TASAS COMPENSATORIAS (1.3.2.1.11)</t>
  </si>
  <si>
    <t>1.3.2.1.11</t>
  </si>
  <si>
    <t>R.F.EVALUACION DE LICENCIAS Y TRAMITES AMBIENTALES (1.3.2.1.12)</t>
  </si>
  <si>
    <t>1.3.2.1.12</t>
  </si>
  <si>
    <t>R.F.SEGUIMIENTO A LICENCIAS Y TRAMITES AMBIENTALES (1.3.2.1.13)</t>
  </si>
  <si>
    <t>1.3.2.1.13</t>
  </si>
  <si>
    <t>R.F.DERECHO DE INGRESO AREAS PROTEGIDAS (1.3.2.1.14)</t>
  </si>
  <si>
    <t>1.3.2.1.14</t>
  </si>
  <si>
    <t>R.F.TASA POR EL USO DEL AGUA (1.3.2.1.15)</t>
  </si>
  <si>
    <t>1.3.2.1.15</t>
  </si>
  <si>
    <t>R.F.TASA POR APROVECHAMIENTO FORESTAL (1.3.2.1.16)</t>
  </si>
  <si>
    <t>1.3.2.1.16</t>
  </si>
  <si>
    <t>R.F.TASA COMPENSATORIA POR CAZA DE FAUNA SILVESTRE (1.3.2.1.17)</t>
  </si>
  <si>
    <t>1.3.2.1.17</t>
  </si>
  <si>
    <t>R.F.SOBRETASA AMBIENTAL - PEAJES (1.3.2.1.18)</t>
  </si>
  <si>
    <t>1.3.2.1.18</t>
  </si>
  <si>
    <t>R.F.TASA COMPENSATORIA POR LA UTILIZACION PERMANENTE DE LA RESERVA FORESTAL PROTECTORA BOSQUE ORIENTAL DE BOGOTA (1.3.2.1.19)</t>
  </si>
  <si>
    <t>1.3.2.1.19</t>
  </si>
  <si>
    <t>R.F.SALVOCONDUCTO UNICO NACIONAL (1.3.2.1.20)</t>
  </si>
  <si>
    <t>1.3.2.1.20</t>
  </si>
  <si>
    <t>R.F. DERECHOS DE TRANSITO (1.3.2.1.21)</t>
  </si>
  <si>
    <t>1.3.2.1.21</t>
  </si>
  <si>
    <t>R.F. DE OTRAS TASAS Y DERECHOS ADMINISTRATIVOS (1.3.2.1.22)</t>
  </si>
  <si>
    <t>1.3.2.1.22</t>
  </si>
  <si>
    <t>R.F.MULTAS AMBIENTALES (1.3.2.1.23)</t>
  </si>
  <si>
    <t>1.3.2.1.23</t>
  </si>
  <si>
    <t>R.F. SGP - EDUCACION-PRESTACION DE SERVICIO EDUCATIVO (1.3.2.2.01)</t>
  </si>
  <si>
    <t>1.3.2.2.01</t>
  </si>
  <si>
    <t>R.F. SGP - EDUCACION-CANCELACION DE PRESTACIONES SOCIALES DEL MAGISTERIO (1.3.2.2.02)</t>
  </si>
  <si>
    <t>1.3.2.2.02</t>
  </si>
  <si>
    <t>R.F. SGP - EDUCACION-CALIDAD  POR MATRICULA OFICIAL (1.3.2.2.03)</t>
  </si>
  <si>
    <t>1.3.2.2.03</t>
  </si>
  <si>
    <t>R.F. SGP - EDUCACION-CALIDAD  POR GRATUIDAD (1.3.2.2.04)</t>
  </si>
  <si>
    <t>1.3.2.2.04</t>
  </si>
  <si>
    <t>R.F. SGP - SALUD-REGIMEN SUBSIDIADO (1.3.2.2.05)</t>
  </si>
  <si>
    <t>1.3.2.2.05</t>
  </si>
  <si>
    <t>R.F. SGP - SALUD-SALUD PUBLICA (1.3.2.2.06)</t>
  </si>
  <si>
    <t>1.3.2.2.06</t>
  </si>
  <si>
    <t>R.F. SGP - SALUD-PRESTACION DEL SERVICIO DE SALUD (1.3.2.2.07)</t>
  </si>
  <si>
    <t>1.3.2.2.07</t>
  </si>
  <si>
    <t>R.F. SGP - PROPOSITO GENERAL (1.3.2.2.08)</t>
  </si>
  <si>
    <t>1.3.2.2.08</t>
  </si>
  <si>
    <t>R.F. SGP - ASIGNACION ESPECIAL-PROGRAMAS DE ALIMENTACION ESCOLAR (1.3.2.2.09)</t>
  </si>
  <si>
    <t>1.3.2.2.09</t>
  </si>
  <si>
    <t>R.F. SGP - ASIGNACION ESPECIAL-MUNICIPIOS DE LA RIBERA DEL RIO MAGDALENA (1.3.2.2.10)</t>
  </si>
  <si>
    <t>1.3.2.2.10</t>
  </si>
  <si>
    <t>R.F. SGP - ASIGNACION-ATENCION INTEGRAL DE LA PRIMERA INFANCIA (1.3.2.2.11)</t>
  </si>
  <si>
    <t>1.3.2.2.11</t>
  </si>
  <si>
    <t>R.F. SGP - AGUA POTABLE Y SANEAMIENTO BASICO (1.3.2.2.13)</t>
  </si>
  <si>
    <t>1.3.2.2.13</t>
  </si>
  <si>
    <t>R.F. DISTINTOS AL SGP (1.3.2.3.01)</t>
  </si>
  <si>
    <t>1.3.2.3.01</t>
  </si>
  <si>
    <t>R.F. DE SISTEMA GENERAL DE SEGURIDAD SOCIAL EN SALUD - OTROS RECURSOS ADMINISTRADOS POR ADRES (1.3.2.3.02)</t>
  </si>
  <si>
    <t>1.3.2.3.02</t>
  </si>
  <si>
    <t>R.F. DE SISTEMA GENERAL DE SEGURIDAD SOCIAL EN SALUD - RECURSOS DE ENTIDADES TERRITORIALES (1.3.2.3.03)</t>
  </si>
  <si>
    <t>1.3.2.3.03</t>
  </si>
  <si>
    <t>R.F. DE SISTEMA GENERAL DE SEGURIDAD SOCIAL EN SALUD - RECURSOS DE CAJAS DE COMPENSACION (1.3.2.3.04)</t>
  </si>
  <si>
    <t>1.3.2.3.04</t>
  </si>
  <si>
    <t>R.F. DE SISTEMA GENERAL DE SEGURIDAD SOCIAL EN SALUD - FONDOS ESPECIALES DEL MINISTERIO DE SALUD Y PROTECCION SOCIAL (1.3.2.3.05)</t>
  </si>
  <si>
    <t>1.3.2.3.05</t>
  </si>
  <si>
    <t>R.F. DE SISTEMA GENERAL DE SEGURIDAD SOCIAL EN SALUD - RECURSOS DE LA COMPENSACION DEL RC (1.3.2.3.06)</t>
  </si>
  <si>
    <t>1.3.2.3.06</t>
  </si>
  <si>
    <t>R.F. DE SISTEMA GENERAL DE SEGURIDAD SOCIAL EN SALUD - RECURSOS DE LA UPC RS (1.3.2.3.07)</t>
  </si>
  <si>
    <t>1.3.2.3.07</t>
  </si>
  <si>
    <t>R.F. DE SISTEMA GENERAL DE SEGURIDAD SOCIAL EN SALUD - SERVICIOS Y TECNOLOGIAS NO FINANCIADOS CON UPC (1.3.2.3.08)</t>
  </si>
  <si>
    <t>1.3.2.3.08</t>
  </si>
  <si>
    <t>R.F. DE SISTEMA GENERAL DE PENSIONES (1.3.2.3.09)</t>
  </si>
  <si>
    <t>1.3.2.3.09</t>
  </si>
  <si>
    <t>R.F. DE SISTEMA GENERAL DE RIESGOS LABORALES (1.3.2.3.10)</t>
  </si>
  <si>
    <t>1.3.2.3.10</t>
  </si>
  <si>
    <t>OTROS RENDIMIENTOS FINANCIEROS (1.3.2.3.11)</t>
  </si>
  <si>
    <t>1.3.2.3.11</t>
  </si>
  <si>
    <t>RECURSOS DEL BALANCE DE LIBRE DESTINACION (1.3.3.1.00)</t>
  </si>
  <si>
    <t>1.3.3.1.00</t>
  </si>
  <si>
    <t>R.B. SGP-AGUA POTABLE Y SANEAMIENTO BASICO (1.3.3.10.00)</t>
  </si>
  <si>
    <t>1.3.3.10.00</t>
  </si>
  <si>
    <t>R.B. DISPOSICION DE ACTIVOS (1.3.3.11.01)</t>
  </si>
  <si>
    <t>1.3.3.11.01</t>
  </si>
  <si>
    <t>R.B. EXCEDENTES FINANCIEROS (1.3.3.11.02)</t>
  </si>
  <si>
    <t>1.3.3.11.02</t>
  </si>
  <si>
    <t>R.B. DIVIDENDOS Y UTILIDADES POR OTRAS INVERSIONES DE CAPITAL (1.3.3.11.03)</t>
  </si>
  <si>
    <t>1.3.3.11.03</t>
  </si>
  <si>
    <t>R.B. RECURSOS DE CREDITO EXTERNO (1.3.3.11.04)</t>
  </si>
  <si>
    <t>1.3.3.11.04</t>
  </si>
  <si>
    <t>R.B. RECURSOS DE CREDITO INTERNO (1.3.3.11.05)</t>
  </si>
  <si>
    <t>1.3.3.11.05</t>
  </si>
  <si>
    <t>R.B. DONACIONES (1.3.3.11.06)</t>
  </si>
  <si>
    <t>1.3.3.11.06</t>
  </si>
  <si>
    <t>R.B. TRANSFERENCIAS DE CAPITAL DE OTRAS ENTIDADES DEL GOBIERNO GENERAL (1.3.3.11.07)</t>
  </si>
  <si>
    <t>1.3.3.11.07</t>
  </si>
  <si>
    <t>R.B. OTRAS TRANSFERENCIAS DE CAPITAL (1.3.3.11.08)</t>
  </si>
  <si>
    <t>1.3.3.11.08</t>
  </si>
  <si>
    <t>R.B. RECUPERACION DE CARTERA - PRESTAMOS (1.3.3.11.09)</t>
  </si>
  <si>
    <t>1.3.3.11.09</t>
  </si>
  <si>
    <t>R.B. RETIROS FONPET (1.3.3.11.10)</t>
  </si>
  <si>
    <t>1.3.3.11.10</t>
  </si>
  <si>
    <t>R.B. REINTEGROS Y OTROS RECURSOS NO APROPIADOS (1.3.3.11.11)</t>
  </si>
  <si>
    <t>1.3.3.11.11</t>
  </si>
  <si>
    <t>RECURSOS DEL BALANCE DE DESTINACION ESPECIFICA POR ACTO ADMINISTRATIVO (1.3.3.2.00)</t>
  </si>
  <si>
    <t>1.3.3.2.00</t>
  </si>
  <si>
    <t>R.B. SOBRETASA - PARTICIPACION AMBIENTAL - CORPORACIONES AUTONOMAS REGIONALES (1.3.3.3.01)</t>
  </si>
  <si>
    <t>1.3.3.3.01</t>
  </si>
  <si>
    <t>R.B. SOBRETASA AMBIENTAL AREAS METROPOLITANAS (1.3.3.3.02)</t>
  </si>
  <si>
    <t>1.3.3.3.02</t>
  </si>
  <si>
    <t>R.B. IMPUESTO SOBRE VEHICULOS AUTOMOTORES (1.3.3.3.03)</t>
  </si>
  <si>
    <t>1.3.3.3.03</t>
  </si>
  <si>
    <t>R.B. IMPUESTO A GANADORES DE SORTEOS ORDINARIOS Y EXTRAORDINARIOS (1.3.3.3.04)</t>
  </si>
  <si>
    <t>1.3.3.3.04</t>
  </si>
  <si>
    <t>R.B. SOBRETASA POR EL ALUMBRADO PUBLICO (1.3.3.3.05)</t>
  </si>
  <si>
    <t>1.3.3.3.05</t>
  </si>
  <si>
    <t>R.B. IMPUESTO DE REGISTRO (1.3.3.3.06)</t>
  </si>
  <si>
    <t>1.3.3.3.06</t>
  </si>
  <si>
    <t>R.B. IMPUESTO DE LOTERIAS FORANEAS (1.3.3.3.07)</t>
  </si>
  <si>
    <t>1.3.3.3.07</t>
  </si>
  <si>
    <t>R.B. IMPUESTO AL CONSUMO DE LICORES, VINOS, APERITIVOS Y SIMILARES (1.3.3.3.08)</t>
  </si>
  <si>
    <t>1.3.3.3.08</t>
  </si>
  <si>
    <t>R.B. IMPUESTO AL CONSUMO DE CERVEZAS, SIFONES, REFAJOS Y MEZCLAS (1.3.3.3.09)</t>
  </si>
  <si>
    <t>1.3.3.3.09</t>
  </si>
  <si>
    <t>R.B. IMPUESTO AL CONSUMO DE CIGARRILLOS Y TABACO (1.3.3.3.10)</t>
  </si>
  <si>
    <t>1.3.3.3.10</t>
  </si>
  <si>
    <t>R.B. SOBRETASA FONDO DEPARTAMENTAL DE BOMBEROS (1.3.3.3.11)</t>
  </si>
  <si>
    <t>1.3.3.3.11</t>
  </si>
  <si>
    <t>R.B. IMPUESTO DE ESPECTACULOS PUBLICOS NACIONAL CON DESTINO AL DEPORTE (1.3.3.3.12)</t>
  </si>
  <si>
    <t>1.3.3.3.12</t>
  </si>
  <si>
    <t>R.B. IMPUESTO SOBRE APUESTAS MUTUAS (1.3.3.3.13)</t>
  </si>
  <si>
    <t>1.3.3.3.13</t>
  </si>
  <si>
    <t>R.B. IMPUESTO DE ALUMBRADO PUBLICO (1.3.3.3.14)</t>
  </si>
  <si>
    <t>1.3.3.3.14</t>
  </si>
  <si>
    <t>R.B. SOBRETASA BOMBERIL (1.3.3.3.15)</t>
  </si>
  <si>
    <t>1.3.3.3.15</t>
  </si>
  <si>
    <t>R.B. SOBRETASA FONDO DE SEGURIDAD (1.3.3.3.16)</t>
  </si>
  <si>
    <t>1.3.3.3.16</t>
  </si>
  <si>
    <t>R.B. IMPUESTO DE TRANSPORTE POR OLEODUCTOS Y GASODUCTOS (1.3.3.3.17)</t>
  </si>
  <si>
    <t>1.3.3.3.17</t>
  </si>
  <si>
    <t>R.B. SOBRETASA DE SOLIDARIDAD SERVICIOS PUBLICOS ACUEDUCTO, ASEO Y ALCANTARILLADO (1.3.3.3.18)</t>
  </si>
  <si>
    <t>1.3.3.3.18</t>
  </si>
  <si>
    <t>R.B. TASA PRO DEPORTE (1.3.3.3.19)</t>
  </si>
  <si>
    <t>1.3.3.3.19</t>
  </si>
  <si>
    <t>R.B. ESTAMPILLAS (1.3.3.3.20)</t>
  </si>
  <si>
    <t>1.3.3.3.20</t>
  </si>
  <si>
    <t>R.B. CONTRIBUCION SOBRE CONTRATOS DE OBRA PUBLICA (1.3.3.4.01)</t>
  </si>
  <si>
    <t>1.3.3.4.01</t>
  </si>
  <si>
    <t>R.B.CONTRIBUCION DEL SECTOR ELECTRICO (1.3.3.4.02)</t>
  </si>
  <si>
    <t>1.3.3.4.02</t>
  </si>
  <si>
    <t>R.B. OTRAS CONTRIBUCIONES (1.3.3.4.03)</t>
  </si>
  <si>
    <t>1.3.3.4.03</t>
  </si>
  <si>
    <t>R.B. TASAS RETRIBUTIVAS (1.3.3.4.04)</t>
  </si>
  <si>
    <t>1.3.3.4.04</t>
  </si>
  <si>
    <t>R.B. TASAS COMPENSATORIAS (1.3.3.4.05)</t>
  </si>
  <si>
    <t>1.3.3.4.05</t>
  </si>
  <si>
    <t>R.B.EVALUACION DE LICENCIAS Y TRAMITES AMBIENTALES (1.3.3.4.06)</t>
  </si>
  <si>
    <t>1.3.3.4.06</t>
  </si>
  <si>
    <t>R.B.SEGUIMIENTO A LICENCIAS Y TRAMITES AMBIENTALES (1.3.3.4.07)</t>
  </si>
  <si>
    <t>1.3.3.4.07</t>
  </si>
  <si>
    <t>R.B.DERECHO DE INGRESO AREAS PROTEGIDAS (1.3.3.4.08)</t>
  </si>
  <si>
    <t>1.3.3.4.08</t>
  </si>
  <si>
    <t>R.B.TASA POR EL USO DEL AGUA (1.3.3.4.09)</t>
  </si>
  <si>
    <t>1.3.3.4.09</t>
  </si>
  <si>
    <t>R.B.TASA POR APROVECHAMIENTO FORESTAL (1.3.3.4.10)</t>
  </si>
  <si>
    <t>1.3.3.4.10</t>
  </si>
  <si>
    <t>R.B.TASA COMPENSATORIA POR CAZA DE FAUNA SILVESTRE (1.3.3.4.11)</t>
  </si>
  <si>
    <t>1.3.3.4.11</t>
  </si>
  <si>
    <t>R.B.SOBRETASA AMBIENTAL - PEAJES (1.3.3.4.12)</t>
  </si>
  <si>
    <t>1.3.3.4.12</t>
  </si>
  <si>
    <t>R.B.TASA COMPENSATORIA POR LA UTILIZACION PERMANENTE DE LA RESERVA FORESTAL PROTECTORA BOSQUE ORIENTAL DE BOGOTA (1.3.3.4.13)</t>
  </si>
  <si>
    <t>1.3.3.4.13</t>
  </si>
  <si>
    <t>R.B.SALVOCONDUCTO UNICO NACIONAL (1.3.3.4.14)</t>
  </si>
  <si>
    <t>1.3.3.4.14</t>
  </si>
  <si>
    <t>R.B.DERECHOS DE TRANSITO (1.3.3.4.15)</t>
  </si>
  <si>
    <t>1.3.3.4.15</t>
  </si>
  <si>
    <t>R.B. OTRAS TASAS Y DERECHOS ADMINISTRATIVOS (1.3.3.4.16)</t>
  </si>
  <si>
    <t>1.3.3.4.16</t>
  </si>
  <si>
    <t>R.B. MULTAS CODIGO NACIONAL DE POLICIA Y CONVIVENCIA (1.3.3.4.17)</t>
  </si>
  <si>
    <t>1.3.3.4.17</t>
  </si>
  <si>
    <t>R.B.MULTAS AMBIENTALES (1.3.3.4.18)</t>
  </si>
  <si>
    <t>1.3.3.4.18</t>
  </si>
  <si>
    <t>R.B. OTRAS MULTAS, SANCIONES E INTERESES DE MORA (1.3.3.4.19)</t>
  </si>
  <si>
    <t>1.3.3.4.19</t>
  </si>
  <si>
    <t>R.B. DERECHOS ECONOMICOS POR USO DE RECURSOS NATURALES (1.3.3.4.20)</t>
  </si>
  <si>
    <t>1.3.3.4.20</t>
  </si>
  <si>
    <t>R.B. VENTA DE BIENES Y SERVICIOS (1.3.3.4.21)</t>
  </si>
  <si>
    <t>1.3.3.4.21</t>
  </si>
  <si>
    <t>R.B. DERECHOS POR LA EXPLOTACION JUEGOS DE SUERTE Y AZAR (1.3.3.4.22)</t>
  </si>
  <si>
    <t>1.3.3.4.22</t>
  </si>
  <si>
    <t>R.B. PARTICIPACION Y DERECHOS DE EXPLOTACION DEL EJERCICIO DEL MONOPOLIO DE LICORES DESTILADOS Y ALCOHOLES POTABLES (1.3.3.4.23)</t>
  </si>
  <si>
    <t>1.3.3.4.23</t>
  </si>
  <si>
    <t>R.B. PARTICIPACIONES DISTINTAS DEL SGP (1.3.3.5.01)</t>
  </si>
  <si>
    <t>1.3.3.5.01</t>
  </si>
  <si>
    <t>R.B. COMPENSACIONES DE INGRESOS TRIBUTARIOS Y NO TRIBUTARIOS (1.3.3.5.02)</t>
  </si>
  <si>
    <t>1.3.3.5.02</t>
  </si>
  <si>
    <t>R.B. APORTES NACION - ALIMENTACION ESCOLAR (1.3.3.5.03)</t>
  </si>
  <si>
    <t>1.3.3.5.03</t>
  </si>
  <si>
    <t>R.B. OTRAS TRANSFERENCIAS CORRIENTES DE OTRAS ENTIDADES DEL GOBIERNO GENERAL (1.3.3.5.04)</t>
  </si>
  <si>
    <t>1.3.3.5.04</t>
  </si>
  <si>
    <t>R.B. SUBVENCIONES (1.3.3.5.05)</t>
  </si>
  <si>
    <t>1.3.3.5.05</t>
  </si>
  <si>
    <t>R.B. DIFERENTES DE SUBVENCIONES (1.3.3.5.06)</t>
  </si>
  <si>
    <t>1.3.3.5.06</t>
  </si>
  <si>
    <t>R.B. RECURSOS DEL SISTEMA DE SEGURIDAD SOCIAL INTEGRAL - SALUD (1.3.3.5.07)</t>
  </si>
  <si>
    <t>1.3.3.5.07</t>
  </si>
  <si>
    <t>R.B. RECURSOS DEL SISTEMA DE SEGURIDAD SOCIAL INTEGRAL - PENSIONES (1.3.3.5.08)</t>
  </si>
  <si>
    <t>1.3.3.5.08</t>
  </si>
  <si>
    <t>R.B. RECURSOS DEL SISTEMA DE SEGURIDAD SOCIAL INTEGRAL - RIESGOS LABORALES (1.3.3.5.09)</t>
  </si>
  <si>
    <t>1.3.3.5.09</t>
  </si>
  <si>
    <t>R.B. SENTENCIAS Y CONCILIACIONES (1.3.3.5.10)</t>
  </si>
  <si>
    <t>1.3.3.5.10</t>
  </si>
  <si>
    <t>R.B. INDEMNIZACIONES RELACIONADAS CON SEGUROS NO DE VIDA (1.3.3.5.11)</t>
  </si>
  <si>
    <t>1.3.3.5.11</t>
  </si>
  <si>
    <t>R.B. SGP-EDUCACION-PRESTACIÓN DE SERVICIO EDUCATIVO (1.3.3.6.01)</t>
  </si>
  <si>
    <t>1.3.3.6.01</t>
  </si>
  <si>
    <t>R.B. SGP-EDUCACION-CANCELACION DE PRESTACIONES SOCIALES DEL MAGISTERIO (1.3.3.6.02)</t>
  </si>
  <si>
    <t>1.3.3.6.02</t>
  </si>
  <si>
    <t>R.B. SGP-EDUCACION-CALIDAD  POR MATRICULA OFICIAL (1.3.3.6.03)</t>
  </si>
  <si>
    <t>1.3.3.6.03</t>
  </si>
  <si>
    <t>R.B. SGP-EDUCACION-CALIDAD  POR GRATUIDAD (1.3.3.6.04)</t>
  </si>
  <si>
    <t>1.3.3.6.04</t>
  </si>
  <si>
    <t>R.B. SGP-SALUD-REGIMEN SUBSIDIADO (1.3.3.7.01)</t>
  </si>
  <si>
    <t>R.B. SGP-SALUD-SALUD PUBLICA (1.3.3.7.02)</t>
  </si>
  <si>
    <t>1.3.3.7.02</t>
  </si>
  <si>
    <t>R.B. SGP-SALUD-PRESTACION DEL SERVICIO DE SALUD (1.3.3.7.03)</t>
  </si>
  <si>
    <t>1.3.3.7.03</t>
  </si>
  <si>
    <t>R.B. SGP-SALUD-SUBSIDIO A LA OFERTA (1.3.3.7.04)</t>
  </si>
  <si>
    <t>1.3.3.7.04</t>
  </si>
  <si>
    <t>R.B. SGP-PROPOSITO GENERAL-DEPORTE Y RECREACION (1.3.3.8.01)</t>
  </si>
  <si>
    <t>1.3.3.8.01</t>
  </si>
  <si>
    <t>R.B. SGP-PROPOSITO GENERAL-CULTURA (1.3.3.8.02)</t>
  </si>
  <si>
    <t>1.3.3.8.02</t>
  </si>
  <si>
    <t>R.B. SGP-PROPOSITO GENERAL-PROPOSITO GENERAL LIBRE INVERSION (1.3.3.8.03)</t>
  </si>
  <si>
    <t>1.3.3.8.03</t>
  </si>
  <si>
    <t>R.B. SGP-PROPOSITO GENERAL-LIBRE DESTINACION MUNICIPIOS CATEGORIAS 4, 5 Y 6 (1.3.3.8.04)</t>
  </si>
  <si>
    <t>1.3.3.8.04</t>
  </si>
  <si>
    <t>R.B. SGP-ASIGNACION ESPECIAL-PROGRAMAS DE ALIMENTACION ESCOLAR (1.3.3.9.01)</t>
  </si>
  <si>
    <t>1.3.3.9.01</t>
  </si>
  <si>
    <t>R.B. SGP-ASIGNACION ESPECIAL-MUNICIPIOS DE LA RIBERA DEL RIO MAGDALENA (1.3.3.9.02)</t>
  </si>
  <si>
    <t>1.3.3.9.02</t>
  </si>
  <si>
    <t>R.B. SGP-ASIGNACION-ATENCION INTEGRAL DE LA PRIMERA INFANCIA (1.3.3.9.03)</t>
  </si>
  <si>
    <t>1.3.3.9.03</t>
  </si>
  <si>
    <t>Población sujeto</t>
  </si>
  <si>
    <t>Infancia</t>
  </si>
  <si>
    <t>Juventud</t>
  </si>
  <si>
    <t>Adultez</t>
  </si>
  <si>
    <t>Victimas del conflicto armado</t>
  </si>
  <si>
    <t>Población habitante de calle</t>
  </si>
  <si>
    <t>Población migrante</t>
  </si>
  <si>
    <t>Población campesina</t>
  </si>
  <si>
    <t>Mujeres</t>
  </si>
  <si>
    <t>Población LGBTIQ+</t>
  </si>
  <si>
    <t>Indígenas</t>
  </si>
  <si>
    <t>Negros, afrocolombianos, raizales y palenqueros-NARP</t>
  </si>
  <si>
    <t>Pueblo Rrom- gitano</t>
  </si>
  <si>
    <t>Metas (Campo 20)</t>
  </si>
  <si>
    <t>MR= Meta Resultados</t>
  </si>
  <si>
    <t>6-A 2031, se logra reducir la tasa de incidencia de la sífilis congénita (incluidos los mortinatos) a 0,5 casos o menos por cada 1.000 nacidos vivos</t>
  </si>
  <si>
    <t>7-A 2031, se logra mantener el porcentaje de transmisión materno infantil del VIH al 2% o menos, en niños y niñas menores de 2 años</t>
  </si>
  <si>
    <t>8-A 2031, reducir en 50% la tasa de mortalidad por IRA en menores de 5 años</t>
  </si>
  <si>
    <t>13-A 2031, contar con 600 Entidades públicas y empresas que según la Ley 1823 de 2007, adaptan espacios para la implementación de las salas de lactancia materna en el entorno laboral.</t>
  </si>
  <si>
    <t>21-A 2031, Colombia reducirá a menos del 14 % el porcentaje de embarazos subsiguientes en adolescentes de 15 a 19 años.</t>
  </si>
  <si>
    <t>22-A 2031, la prevalencia del uso actual de métodos anticonceptivos de larga duración reversibles en mujeres de 13 a 49 años será superior al 25 %.</t>
  </si>
  <si>
    <t>24-A 2031, el 55% de hombres entre 50 y 75 años son tamizados para cáncer de próstata</t>
  </si>
  <si>
    <t>25-A 2031, el 40% de personas entre 50 y 75 años son tamizadas para cáncer de colon y recto con sangre oculta en heces por inmunoquímica</t>
  </si>
  <si>
    <t>26-A 2031 incrementar a 60% la proporción de casos de cáncer de mama detectados en estadios tempranos I a IIA</t>
  </si>
  <si>
    <t>27-A 2031, el 70% de las mujeres de 30 a 65 años son tamizadas para cáncer de cuello uterino con pruebas de ADN-VPH</t>
  </si>
  <si>
    <t>28-A 2031, el 70% de las mujeres de 50 a 69 años son tamizadas para cáncer de mama con mamografía bienal.</t>
  </si>
  <si>
    <t>29-A 2031, incrementar por encima del 35% la proporción de casos de cáncer de colon y recto diagnosticados en estadios tempranos</t>
  </si>
  <si>
    <t>30-A 2031, aumentar al 80% las personas diabetes controladas</t>
  </si>
  <si>
    <t>31-A 2031, aumentar en un 70% el porcentaje de captación de personas con hipertensión arterial.</t>
  </si>
  <si>
    <t>32-A 2031 garantizar la supervivencia global en niños, niñas y adolescentes con leucemias por encima del 70%.</t>
  </si>
  <si>
    <t>33-A 2031 garantizar la supervivencia global en niños, niñas y adolescentes con linfoma por encima del 85%.</t>
  </si>
  <si>
    <t>34-A 2031 garantizar la supervivencia global en niños, niñas y adolescentes con cáncer infantil del sistema nervioso central por encima de 60%.</t>
  </si>
  <si>
    <t>35-A 2031, se garantiza que entre la sospecha médica y la confirmación diagnóstica de cáncer de colon y recto transcurran en promedio 30 días o menos</t>
  </si>
  <si>
    <t>36-A 2031, garantizar la oportunidad de acceso al tratamiento en 5 días en los menores de 18 años con diagnóstico de LAP.</t>
  </si>
  <si>
    <t>37-A 2031 incrementar a 69% la proporción de casos de cáncer de próstata diagnosticados en estadios tempranos</t>
  </si>
  <si>
    <t>38-A 2031, se garantiza que entre la confirmación diagnóstica y el inicio de tratamiento de cáncer de colon y recto transcurran en promedio 30 días o menos</t>
  </si>
  <si>
    <t>39-A 2031, reducir la tasa ajustada de mortalidad por cáncer de colon y recto a 5 por 100.000 habitantes</t>
  </si>
  <si>
    <t>41-A 2031, se garantiza que entre la confirmación diagnóstica y el inicio de tratamiento de cáncer de cuello uterino transcurran en promedio 30 días o menos</t>
  </si>
  <si>
    <t>42-A 2031, reducir la tasa ajustada de mortalidad por cáncer de cuello uterino a 5,5 por 100.000</t>
  </si>
  <si>
    <t>43-A 2031, se garantiza que entre la confirmación diagnóstica y el inicio de tratamiento de cáncer de mama transcurran en promedio 30 días o menos</t>
  </si>
  <si>
    <t>44-A 2031, mantener la tasa ajustada de mortalidad por cáncer de mama en 14 por 100.000</t>
  </si>
  <si>
    <t>45-A 2031, se garantiza que entre la sospecha médica y la confirmación diagnóstica de cáncer de próstata transcurran en promedio 30 días o menos</t>
  </si>
  <si>
    <t>46-A 2031, se garantiza que entre la confirmación diagnóstica y el inicio de tratamiento de cáncer de próstata transcurran en promedio 30 días o menos</t>
  </si>
  <si>
    <t>47-A 2031, reducir a 10,9 casos por 100.000 habitantes la mortalidad de cáncer de próstata</t>
  </si>
  <si>
    <t>48-A 2031, mantener la tasa ajustada de mortalidad por melanoma en 0,7 por 100.000 habitantes</t>
  </si>
  <si>
    <t>49-A 2031, reducir la tasa ajustada de mortalidad por cáncer de pulmón a 7 por 100.000 habitantes</t>
  </si>
  <si>
    <t>51-A 2031, reducir la mortalidad ajustada por cáncer de estómago a 8 por 100.000 habitantes</t>
  </si>
  <si>
    <t>52-A 2031, garantizar al 50% que las personas con cáncer accedan a consulta inicial de cuidado paliativo</t>
  </si>
  <si>
    <t>53-A 2031 garantizar la supervivencia global en niños, niñas y adolescentes con leucemias por encima del 70%.</t>
  </si>
  <si>
    <t>55-A 2031, reducir la prevalencia de consumo de tabaco en población general de 12 a 65 años por debajo de 6%</t>
  </si>
  <si>
    <t>56-A 2031, triplicar los impuestos específicos indexados al IPC para productos de tabaco y sus derivados.</t>
  </si>
  <si>
    <t>57-A 2031, Colombia aumentará la edad de inicio de consumo de sustancias ilícitas a más de 14 años en población en edad escolar.</t>
  </si>
  <si>
    <t>58-A 2031, Colombia aumentará la edad inicio de consumo de alcohol a más de 14 años en población en edad escolar.</t>
  </si>
  <si>
    <t>59-A 2031, Colombia reducirá en 10% la prevalencia de último año el consumo de marihuana en población escolar</t>
  </si>
  <si>
    <t>60-A 2031, Colombia disminuirá en 10% la prevalencia año del consumo de alcohol en población escolar.</t>
  </si>
  <si>
    <t>63-A 2031 el 30% de los niños y niñas entre 3 y 5 años cumplen las recomendaciones de actividad física a través del juego activo</t>
  </si>
  <si>
    <t>64-A 2031, incrementar el 10% de los niños y niñas entre 6 y 12 años cumplan las recomendaciones de actividad física</t>
  </si>
  <si>
    <t>65-A 2031, el 17.3% de los adolescentes cumplen las recomendaciones de actividad física</t>
  </si>
  <si>
    <t>66-A 2031, el 25% de la población entre 18 y 64 años cumple las recomendaciones de actividad física en tiempo libre</t>
  </si>
  <si>
    <t>70-A 2031, se formularán acciones de adaptación en promoción de la salud y prevención de la enfermedad que aporten a reducir los casos de enfermedades sensibles al clima en el 100% de las Entidades Territoriales en el sector salud, del nivel departamental, distrital y estarán implementadas en un 40% de éstas.</t>
  </si>
  <si>
    <t>71-A 2031, en el 100 % de las entidades territoriales departamentales y distritales implementarán el Plan Nacional de Gestión Enfermedades Huérfanas/Raras</t>
  </si>
  <si>
    <t>72-A 2031, el 15% de municipios logran condiciones de eliminación de enfermedad de Chagas congénito acorde a los lineamientos emitidos por la OPS</t>
  </si>
  <si>
    <t>73-A 2031 se alcanzarán coberturas de desparasitación masiva para el complejo teniasis/cisticercosis en la población en riesgo de cada foco priorizado, de al menos el 80% en cada ronda anual de tratamiento.</t>
  </si>
  <si>
    <t>76-A 2031, 130 municipios han logrado la certificación internacional de la interrupción de la transmisión de T. cruzi por vectores domiciliados acorde a los lineamientos emitidos por la OPS.</t>
  </si>
  <si>
    <t>78-A 2031, el 100% de las IPS de mediana y alta complejidad, implementan las estrategias de prevención y control de las IAAS y RAM, en todos sus componentes.</t>
  </si>
  <si>
    <t>80-A 2031, el 20% de los municipios de los focos de leishmaniasis visceral logran condiciones de eliminación como problema de salud pública acorde a los lineamientos emitidos por la OPS.</t>
  </si>
  <si>
    <t>81-A 2031, se reduce el 15% los casos de Leishmaniasis cutánea acumulados (2022-2031) en menores de 10 años de edad.</t>
  </si>
  <si>
    <t>83-A 2031, se logra disminuir en un 50%, la tasa de incidencia de lepra o enfermedad de Hansen</t>
  </si>
  <si>
    <t>86-A 2031, 30% de Departamentos desarrollan acciones de control relacionadas con la rabia humana asociada a los linajes del ciclo silvestre</t>
  </si>
  <si>
    <t>87-A 2031, 25% de municipios endémicos para malaria pasan de categoría de riesgo 5 a 4</t>
  </si>
  <si>
    <t>89-A 2031, el 100% de los departamentos endémicos realizan la caracterización epidemiológica y serológica del pian y se realizan intervenciones.</t>
  </si>
  <si>
    <t>91-A 2031, el 100% de las entidades territoriales departamentales, endémicas para tracoma, logran cada año coberturas de administración masiva de azitromicina iguales o superiores al 80% según lineamiento nacional</t>
  </si>
  <si>
    <t>92-A 2031, se reducirá el 20% la prevalencia anual acumulada de personas con Triquiasis Tracomatosa (TT)</t>
  </si>
  <si>
    <t>96-A 2031, disminuir la tasa de homicidios a 16,4 por 100.000 habitantes.</t>
  </si>
  <si>
    <t>EJE PDSP 2022-2031</t>
  </si>
  <si>
    <t>PILARES DEL MODELOS DE SALUD PREVENTIVO, PREDICTIVO Y RESOLUTIVO</t>
  </si>
  <si>
    <t>OBJETIVO POR EJE ESTRATÉGICO</t>
  </si>
  <si>
    <t>RESULTADOS ESPERADOS POR EJE PDSP  2022-2031</t>
  </si>
  <si>
    <t>Gobernabilidad y gobernanza de la Salud Pública</t>
  </si>
  <si>
    <t>i) Gobernabilidad, Gobernanza y Territorialización</t>
  </si>
  <si>
    <t>Desarrollar capacidades y liderazgo para la cogestión, coadministración y
cogobierno en un diálogo armónico con las formas organizativas de los pueblos
y comunidades, organizaciones ciudadanas, sociales y comunitarias, a través del
liderazgo y la generación de alianzas, acciones conjuntas, articuladas e
integradas para el logro de resultados en salud, según la naturaleza de los problemas y las circunstancias sociales del territorio.</t>
  </si>
  <si>
    <t xml:space="preserve">Entidades Territoriales Departamentales, Distritales y Municipales con mecanismos fortalecidos para el ejercicio de la Rectoría en Salud. </t>
  </si>
  <si>
    <t>Pueblos y comunidades étnicas y campesina, mujeres, sectores LGBTIQ+ y otras poblaciones por condicion y/o situación.</t>
  </si>
  <si>
    <t xml:space="preserve">Políticas, planes, programas y estrategias en salud con transversalización de los
enfoques de pueblos y comunidades, género y diferencial e integración de los
sistemas de conocimiento  propio y saberes de los pueblos y comunidades étnicas y
campesinas. 
</t>
  </si>
  <si>
    <t xml:space="preserve">Gobiernos departamentales, distritales y municipales que lideran el desarrollo de
estrategias para el reconocimiento de contextos de inequidad social, étnica y de
género y la generación de respuestas I ntersectoriales v - transectori ales. </t>
  </si>
  <si>
    <t>Espacios e instancias intersectoriales que incluyen en sus planes de acción la
transversal izaci ón de los .enfoques de pueblos y comunidades, género y
diferencial e integran los sistemas de conocimiento propio de los pueblos y
comunidades étnicas  y campesinas.</t>
  </si>
  <si>
    <t xml:space="preserve">Prácticas, saberes y conocimientos para la salud pública reconocidos y
fortalecidos para Pueblos y comunidades étnicas, mujeres, población campesina, LBGTIQ+
y otras poblaciones por condición y/o situación. </t>
  </si>
  <si>
    <t>Determinantes sociales de la salud</t>
  </si>
  <si>
    <t>Transformar las circunstancias injustas relacionadas con peores resultados de salud de la población, mediante la definición de acciones de carácter inter y transectorial en los planes de desarrollo territorial, con el fin de avanzar en la reducción de brechas sociosanitarias.</t>
  </si>
  <si>
    <t xml:space="preserve">Entorno económico favorable para la salud  </t>
  </si>
  <si>
    <t>Desarrollar acciones sectoriales e intersectoriales dirigidas a promover la salud, prevenir la enfermedad y recuperar la salud de la población, en escenarios como ciudades, espacios periurbanos, rurales, territorios indígenas y otros entornos donde las personas y colectivos desarrollan la vida cotidiana, aportando a la garantía del derecho fundamental a la salud.</t>
  </si>
  <si>
    <t xml:space="preserve">Entidades Territoriales Departamentales, Distritales y Municipales que conforman territorios de salud de acuerdo con las particularidades geográficas, socioculturales, político administrativas y ambientales donde se produce el proceso de salud. </t>
  </si>
  <si>
    <t xml:space="preserve">Entidades Territoriales Departamentales, Distritales que organizan la prestación de servicios de salud en redes integrales e integradas territoriales bajo un modelo de salud predictivo, preventivo y resolutivo fundamentado en la Atención Primaria en Salud — APS con criterios de subsidiaridad y complementariedad, </t>
  </si>
  <si>
    <t xml:space="preserve">Agentes del sistema de salud que garantizan el acceso de la población con criterios de
longitudinalidad, continuidad, puerta de entrada, enfoques familiar y comunitario con
acciones, universales,sistemáticas, permanentes y participativas bajo un enfoque
familiar y comunitario fundamentado en la Atención Primaria en Salud - APS. </t>
  </si>
  <si>
    <t>Nivel primario de atención con equipos de salud territoriales y centros de atención primaria en
salud fortalecidos en su infraestructura, insumos, dotación y personal de salud como puerta de entrada y primer contacto con el Sistema de Salud, para dar respuesta a las necesidades en salud de la población de su territorio,</t>
  </si>
  <si>
    <t xml:space="preserve">Instituciones de salud públicas de mediana y alta complejidad fortalecidas en infraestructura,
insumos, dotación, equipos y personal de salud para resolver  de manera efectiva y con calidad las necesidades en salud que requieren atención especializada a través de un trabajo coordinado
en redes integrales e integradas territoriales de salud. </t>
  </si>
  <si>
    <t>iv) Soberanía sanitaria y gestión del conocimiento</t>
  </si>
  <si>
    <t>Reducir los impactos de las emergencias, desastres y el cambio climático en la salud humana y ambiental, a través de la gestión integral del riesgo (como un proceso que propende por la seguridad sanitaria, el bienestar y la calidad de vida de las personas), por medio de la formulación, ejecución, seguimiento y evaluación de políticas, planes, programas y proyectos; y fortaleciendo la detección, atención y los mecanismos de disponibilidad y acceso de las tecnologías, y servicios en salud necesarias para dar respuesta efectiva   a un nuevo evento pandémico.</t>
  </si>
  <si>
    <t xml:space="preserve"> Políticas en salud pública para contribuir a la mitigación y adaptación al cambio climático.</t>
  </si>
  <si>
    <t xml:space="preserve">Nivel Nacional y entes territoriales preparados y fortalecidos para la gestión del conocimiento, prevención, y atención sectorial e intersectorial de emergencias, desastres y pandemias. </t>
  </si>
  <si>
    <t xml:space="preserve">Conocimiento producido y difundido y capacidades fortalecidas para prevenir y atender el impacto del cambio climático en la salud pública, </t>
  </si>
  <si>
    <t>Conocimiento en Salud Pública y soberanía sanitaria</t>
  </si>
  <si>
    <t>iv) Soberanía sanitaria y gestión del conocimiento.</t>
  </si>
  <si>
    <t>Establecer la soberanía sanitaria y la construcción colectiva de conocimiento en salud como una prioridad en la agenda pública que permita avanzar en la investigación, desarrollo, innovación y producción local de Tecnologías estratégicas en salud y el fortalecimiento de las capacidades en salud a nivel nacional y territorial.</t>
  </si>
  <si>
    <t>Decisiones en salud públicabasadas en información, investigación y el máximo desarrollo del conocimiento científico lo que incluye reconocer la cosmovisión y los saberes propios los pueblos y comunidades,</t>
  </si>
  <si>
    <t>Soberanía sanitaria fortalecida con tecnologías  estratégicas en salud-TES.</t>
  </si>
  <si>
    <t>v) Calidad y Sistema Integrado de Información de la Atención Primaria en Salud SI-APS.</t>
  </si>
  <si>
    <t xml:space="preserve">Capacidades fortalecidas para la gestión del conocimiento en salud pública </t>
  </si>
  <si>
    <t>Crear y desarrollar mecanismos para mejorar la distribución, disponibilidad, formación, educación continua, así como, las condiciones de empleo y trabajo digno y decente del personal de salud.</t>
  </si>
  <si>
    <t xml:space="preserve">Capacidades consolidadas para la gestión territorial de la salud pública </t>
  </si>
  <si>
    <t xml:space="preserve">Sabedores ancestrales y personal de salud propio, reconocidos y articulados a los procesos de la gestión de la salud pública en los territorios, </t>
  </si>
  <si>
    <t>Talento humano en Salud  Publica disponible y sostenible con garantía de trabajo digno y decente</t>
  </si>
  <si>
    <t>Gestion territorial integral para la salud pública</t>
  </si>
  <si>
    <r>
      <rPr>
        <sz val="11"/>
        <color theme="1"/>
        <rFont val="Calibri"/>
        <family val="2"/>
      </rPr>
      <t>PIC(</t>
    </r>
    <r>
      <rPr>
        <b/>
        <sz val="11"/>
        <color theme="1"/>
        <rFont val="Calibri"/>
        <family val="2"/>
      </rPr>
      <t>Anexo técnico</t>
    </r>
    <r>
      <rPr>
        <sz val="11"/>
        <color theme="1"/>
        <rFont val="Calibri"/>
        <family val="2"/>
      </rPr>
      <t>)</t>
    </r>
  </si>
  <si>
    <t>Información para el campo Concepto de Gasto</t>
  </si>
  <si>
    <t>Componente Fondo de Salud</t>
  </si>
  <si>
    <t>Programa</t>
  </si>
  <si>
    <t>Componente</t>
  </si>
  <si>
    <t>Régimen Subsidiado</t>
  </si>
  <si>
    <t>01</t>
  </si>
  <si>
    <t>02</t>
  </si>
  <si>
    <t>Prestación de Servicios</t>
  </si>
  <si>
    <t>03</t>
  </si>
  <si>
    <t>04</t>
  </si>
  <si>
    <t>Otros Gastos en Salud</t>
  </si>
  <si>
    <t>05</t>
  </si>
  <si>
    <r>
      <rPr>
        <sz val="11"/>
        <color theme="1"/>
        <rFont val="Calibri"/>
        <family val="2"/>
      </rPr>
      <t>PIC(</t>
    </r>
    <r>
      <rPr>
        <b/>
        <sz val="11"/>
        <color theme="1"/>
        <rFont val="Calibri"/>
        <family val="2"/>
      </rPr>
      <t>Anexo técnico</t>
    </r>
    <r>
      <rPr>
        <sz val="11"/>
        <color theme="1"/>
        <rFont val="Calibri"/>
        <family val="2"/>
      </rPr>
      <t>)</t>
    </r>
  </si>
  <si>
    <t>Consecutivo</t>
  </si>
  <si>
    <t>Subcuenta</t>
  </si>
  <si>
    <t>Línea</t>
  </si>
  <si>
    <t>Concepto</t>
  </si>
  <si>
    <t>Concepto 2</t>
  </si>
  <si>
    <t>Definición</t>
  </si>
  <si>
    <t>Sustento Legal</t>
  </si>
  <si>
    <t>17</t>
  </si>
  <si>
    <t>19.01.17</t>
  </si>
  <si>
    <t>RS</t>
  </si>
  <si>
    <t>E4 Atención Primaria Salud</t>
  </si>
  <si>
    <t>L3 Cuidado de la Salud</t>
  </si>
  <si>
    <t>Transferencias Afiliación</t>
  </si>
  <si>
    <t>Corresponde a los recursos ejecutados para financiar y cofinanciar la UPC de los afiliados al Régimen Subsidiado y girados a la ADRES, de acuerdo con lo establecido en el Decreto 780 de 2016 adicionado por el Decreto 2265 de 2017 y sus modificatorias. Atendiendo los lineamientos para la administración de los recursos  en el Fondo Local de Salud de acuerdo con lo establecido en los artículos 11 y 14 de la Resolución 3042 de 2007 y sus modificatorias.
Corresponde a los recursos ejecutados para financiar y cofinanciar la UPC de los afiliados al Régimen Subsidiado y girados directamente a la red, cuando no se cumpla con el giro a la ADRES o la entidad que la sustituya, en los términos definidos en el Decreto 780 de 2016 adicionado por el Decreto 2265 de 2017 y sus modificatorias.
Corresponde a los recursos ejecutados para financiar y cofinanciar la UPC de los afiliados al régimen subsidiado y girados a sus municipios, cuando no se cumpla con el giro a la adres o la entidad que la sustituya. Aplica cuando el departamento no tiene implementando el modelo de giro directo.</t>
  </si>
  <si>
    <t>Ley 1438 de 2011
Decreto 971 de 2011
Decreto 780 de 2016
Decreto 2265 de 2017
Decreto 1355 de 2018
Decreto 2497 de 2018
Decreto 1437 de 2021</t>
  </si>
  <si>
    <t>18</t>
  </si>
  <si>
    <t>19.01.18</t>
  </si>
  <si>
    <t>E1 Gobernabilidad y Gobernanza</t>
  </si>
  <si>
    <t>L1 Desarrollo Institucional y Sectorial</t>
  </si>
  <si>
    <t>Interventoría</t>
  </si>
  <si>
    <t>RS - E1 Gobernabilidad y Gobernanza - L1 Desarrollo Institucional y Sectorial - Interventoría</t>
  </si>
  <si>
    <t>Equivale al 0.4% de los recursos del régimen subsidiado que los municipios y distritos deben destinar a los servicios de interventoría conforme a la Liquidación Mensual de Afiliados validada a través de la Base de Datos Única de Afiliados - BDUA.</t>
  </si>
  <si>
    <t>Artículo 119 de la Ley 1438 de 2011.</t>
  </si>
  <si>
    <t>19</t>
  </si>
  <si>
    <t>19.01.19</t>
  </si>
  <si>
    <t>Supersalud</t>
  </si>
  <si>
    <t>RS - E1 Gobernabilidad y Gobernanza - L1 Desarrollo Institucional y Sectorial - Supersalud</t>
  </si>
  <si>
    <t>0.4% de los recursos del monto total destinados al régimen subsidiado en cada entidad territorial con destino a la inspección, vigilancia y control que realiza la Superintendencia Nacional de Salud (SNS) en nombre de las entidades territoriales. Los recursos son girados directamente por la ADRES a la SNS.</t>
  </si>
  <si>
    <t>Artículo 119 de la Ley 1438 de 2011.
Decreto 780 de 2011.
Decreto 2265 de 2017.</t>
  </si>
  <si>
    <t>20</t>
  </si>
  <si>
    <t>19.01.20</t>
  </si>
  <si>
    <t>Liquidación Contratos</t>
  </si>
  <si>
    <t>RS - E1 Gobernabilidad y Gobernanza - L1 Desarrollo Institucional y Sectorial - Liquidación Contratos</t>
  </si>
  <si>
    <t>Transferencia directa realizada por los municipios a los departamentos por efectos de los saldos de liquidación de los contratos celebrados del régimen subsidiado en cumplimiento del artículo 39 de la Ley 1393 de 2010</t>
  </si>
  <si>
    <t>Artículo 39 de la Ley 1393 de 2010</t>
  </si>
  <si>
    <t>21</t>
  </si>
  <si>
    <t>19.01.21</t>
  </si>
  <si>
    <t>Prueba piloto UPC S</t>
  </si>
  <si>
    <t>RS - E4 Atención Primaria Salud - L3 Cuidado de la Salud - Prueba piloto UPC S</t>
  </si>
  <si>
    <t>Prueba piloto en municipios y distritos categorías 1 y 2  para ajuste upc régimen subsidiado financiada con excedentes cuenta maestra régimen subsidiado según lo establecido en el numeral 2 del articulo 2 de la Ley 1608 de 2013.</t>
  </si>
  <si>
    <t>Numeral 2 del artículo 2 de la Ley 1608 de 2013.</t>
  </si>
  <si>
    <t>84</t>
  </si>
  <si>
    <t>19.02.84</t>
  </si>
  <si>
    <t>SPC</t>
  </si>
  <si>
    <t>Planeación Integral en Salud</t>
  </si>
  <si>
    <t xml:space="preserve">Este concepto de gasto incluye la Planeación Integral en Salud entendida como proceso estratégico y operativo para la garantía del derecho fundamental a la salud en los territorios, que permite a las entidades territoriales del orden departamental, distrital y municipal definir las acciones de formulación, implementación, monitoreo, evaluación y rendición de cuentas del Plan Territorial de Salud bajo los principios y elementos establecidos en la Ley 1751 de 2015 estatutaria de salud y demás normas concordantes.
Este proceso integra: i). La formulación y aprobación del Plan Territorial de Salud, ii). La formulación y aprobación del Componente Operativo y de Inversiones en Salud del Plan Territorial de Salud, iii) La formulación y aprobación del Plan de Acción en Salud, iv). La implementación del Plan Territorial de Salud, v) El Monitoreo y evaluación del Plan Territorial de Salud y vi) La rendición de cuentas. Todo lo anterior en el marco de los ejes estratégicos del Plan Decenal de Salud Pública 2022-2031, en armonía con el modelo de salud preventivo y predictivo y con participación de los actores del sistema de salud, los otros sectores y los actores sociales y comunitarios. 
</t>
  </si>
  <si>
    <t>Ley 2294 de 2023 - Plan Nacional de Desarrollo.
Resolución 2367 de 2023.
Resolución 100 de 2024.
Resolución 518 de 2015.
Resolución 3280 de 2018.</t>
  </si>
  <si>
    <t>85</t>
  </si>
  <si>
    <t>19.02.85</t>
  </si>
  <si>
    <t>Desarrollo de  capacidades para la Gobernanza en Salud Pública</t>
  </si>
  <si>
    <t>SPC - E1 Gobernabilidad y Gobernanza - L1 Desarrollo Institucional y Sectorial - Desarrollo de  capacidades para la Gobernanza en Salud Pública</t>
  </si>
  <si>
    <t xml:space="preserve">Este concepto de gasto incluye: 
Desarrollo de  capacidades en las instituciones del Sistema General de Seguridad Social en Salud que contribuyan a la gestión técnica, administrativa y financiera de las políticas en salud que incorporan: 
a. Gestión para la atención integral en salud materno-perinatal y para la promoción y el mantenimiento de la salud. 
b. Derecho Humano a la Alimentación, Nutrición e inocuidad en el marco de los determinantes sociales en salud.   
c. Lactancia materna y alimentación complementaria. 
d. Cuidado integral de la salud mental. 
e. Prevención y tratamiento integral de los problemas, trastornos mentales y neurocognitivos.
f. Prevención de violencias.
g. Prevención de violencia por razones de género y violencias sexuales.
h. Abordaje integral del consumo de sustancias psicoactivas. 
i. Salud Ambiental. 
j. Acciones de inspección, vigilancia y control sanitarios. 
k. Rehabilitación e inclusión social de las personas con problemas, trastornos mentales y neurocognitivos.
l. Sexualidad, derechos sexuales y derechos reproductivos. 
m. Promoción de modos, condiciones y estilos de vida saludable (Prevención  del consumo de tabaco,  sus derivados y sucedáneos, Promoción de la Actividad Física), 
n. Salud en el entorno laboral. 
o. Riesgo en salud por variabilidad y cambio climático. 
p. Fortalecimiento del Consejo Nacional de Salud Mental y sus mesas técnicas.
q.  Actualización de la Política Nacional de Salud Mental.
r. Abordaje integral de las enfermedades crónicas no transmisibles, alteraciones de la salud bucal, visual, auditiva y enfermedades huérfanas.
s. Seguimiento nominal papa la desnutrición aguda, moderada y severa en menores de 5 años. 
t. Seguimiento de la gestión territorial en salud ambiental (SGETSA).
u. Implementación y desarrollo del modelo Inspección, Vigilancia y Control en alimentos y bebidas incluyendo al sector de la económica popular.  
v. Adopción e implementación del modelo Inspección, Vigilancia y Control sanitario y aseguramiento de cadenas productivas. 
w. Seguimiento a la atención integral en salud. 
x. estrategia Ciudades, Entornos y Ruralidades Saludables y Sostenibles CERSS.
y. Otros temas de interés en Salud Pública. </t>
  </si>
  <si>
    <t>Ley 715 de 2001.
Ley 1335 de 2009.
Ley 1414 de 2010.
Ley 1616 de 2013.
Ley 2120 de 2021.
Ley 2294 de 2023 - Plan Nacional de Desarrollo.
Resolución 518 de 2015.
Resolución 1229 de 2013.
Resolución 3280 de 2018.
Resolución 3496 de 2019.
Resolución 2367 de 2023.
Resolución 100 de 2024.
Plan Decenal de Lactancia Materna.
Resolución 367 de 2023
CONPES 4100
Convenio Marco para el control del tabaco
Política Nacional de Salud Mental
Política Integral para la Prevención y Atención del consumo de Sustancias Psicoactivas
Decreto Número 2698: "Por el cual se crea la Comisión Nacional Intersectorial para la promoción y garantía de los Derechos Sexuales y Reproductivos".
Política Nacional de Sexualidad, derechos sexuales y derechos reproductivos.</t>
  </si>
  <si>
    <t>86</t>
  </si>
  <si>
    <t>19.02.86</t>
  </si>
  <si>
    <t>Transferencias ETV</t>
  </si>
  <si>
    <t>SPC - E1 Gobernabilidad y Gobernanza - L1 Desarrollo Institucional y Sectorial - Transferencias ETV</t>
  </si>
  <si>
    <t>Este concepto de gasto incluye los aportes o asignaciones de recursos transferidos a las DTS por la nación para inversión o funcionamiento en el sector salud, con destinación específica al Programa de Enfermedades Transmitidas por Vectores.</t>
  </si>
  <si>
    <t>Constitución Política de Colombia- Artículo 288.
Ley 489 de 1998.
Ley 715 de 2001.
Ley general de presupuesto de la vigencia correspondiente, por medio de la cual se decreta el presupuesto, rentas y recursos de capital y ley de apropiaciones de la vigencia fiscal  respectiva (para 2024 es la Ley 2342 del 15 de diciembre de 2024).
Decreto 111 del 15 de enero de 1996. “Por la cual se compilan la Ley 38 de 1989, La Ley 179 de 1994 y la Ley 225 de 1995 que conforman el estatuto orgánico del presupuesto”
Decreto 4107 de 2011.
Resolución 5514 de 2013, artículo 1°.
Resolución 069 del 29 de diciembre de 2011. “por la cual se establece el Plan de Cuentas”. 
Resolución 5514 de 2013. 
Resolución 2361 de 2016. 
Resolución 1716 de 2019.</t>
  </si>
  <si>
    <t>87</t>
  </si>
  <si>
    <t>19.02.87</t>
  </si>
  <si>
    <t>Transferencias TB</t>
  </si>
  <si>
    <t>SPC - E1 Gobernabilidad y Gobernanza - L1 Desarrollo Institucional y Sectorial - Transferencias TB</t>
  </si>
  <si>
    <t>Este concepto de gasto incluye los aportes o asignaciones de recursos transferidos a las DTS por la nación para inversión en el sector salud, con destinación específica al Programa de Prevención y Control de Tuberculosis.</t>
  </si>
  <si>
    <t>88</t>
  </si>
  <si>
    <t>19.02.88</t>
  </si>
  <si>
    <t>Transferencias Lepra</t>
  </si>
  <si>
    <t>SPC - E1 Gobernabilidad y Gobernanza - L1 Desarrollo Institucional y Sectorial - Transferencias Lepra</t>
  </si>
  <si>
    <t>Este concepto de gasto incluye los aportes o asignaciones de recursos transferidos a las DTS por la nación para inversión en el sector salud, con destinación específica al Programa de Eliminación de la Lepra.</t>
  </si>
  <si>
    <t>89</t>
  </si>
  <si>
    <t>19.02.89</t>
  </si>
  <si>
    <t>Otras transferencias</t>
  </si>
  <si>
    <t>SPC - E1 Gobernabilidad y Gobernanza - L1 Desarrollo Institucional y Sectorial - Otras transferencias</t>
  </si>
  <si>
    <t>Este concepto de gasto incluye aportes o asignaciones de recursos transferidos a las DTS por la nación para inversión en el sector salud, con destinación específica a programas, planes, estrategias y proyectos específico de salud pública.</t>
  </si>
  <si>
    <t>90</t>
  </si>
  <si>
    <t>19.02.90</t>
  </si>
  <si>
    <t>Gestión de insumos de interés en salud pública</t>
  </si>
  <si>
    <t>SPC - E1 Gobernabilidad y Gobernanza - L1 Desarrollo Institucional y Sectorial - Gestión de insumos de interés en salud pública</t>
  </si>
  <si>
    <t xml:space="preserve">Este concepto de gasto incluye la gestión de insumos de interés en salud pública para garantizar a la población de todo el territorio nacional que presenta eventos de interés en salud pública medicamentos, biológicos, reactivos de laboratorio, insecticidas, equipos y/o insumos para el control de riesgos, bajo principios de calidad y pertinencia. 
</t>
  </si>
  <si>
    <t xml:space="preserve">Ley 715 de 2001. 
Ley 2294 de 2023 - Plan Nacional de Desarrollo.
Resolución 2367 de 2023.
Resolución 100 de 2024.
Resolución 518 de 2015.
Resolución 3280 de 2018.
</t>
  </si>
  <si>
    <t>91</t>
  </si>
  <si>
    <t>19.02.91</t>
  </si>
  <si>
    <t>Vigilancia en Salud Pública y fortalecimiento de los laboratorios en salud pública</t>
  </si>
  <si>
    <t>SPC - E1 Gobernabilidad y Gobernanza - L1 Desarrollo Institucional y Sectorial - Vigilancia en Salud Pública y fortalecimiento de los laboratorios en salud pública</t>
  </si>
  <si>
    <t xml:space="preserve">Este concepto de gasto incluye:
a. La vigilancia en salud pública para generar información sobre los eventos que afecten o puedan afectar la salud de la población de forma sistemática y oportuna, con el fin de orientar las políticas y la planificación en salud pública; tomar las decisiones para la prevención y control de enfermedades y factores de riesgo en salud; optimizar el seguimiento y evaluación de las intervenciones: racionalizar y optimizar los recursos disponibles y lograr la efectividad de las acciones en esta materia, propendiendo por la protección de la salud individual y colectiva. 
b. El fortalecimiento de los laboratorios de salud pública departamentales y distritales.
</t>
  </si>
  <si>
    <t>92</t>
  </si>
  <si>
    <t>19.02.92</t>
  </si>
  <si>
    <t>Inspección, vigilancia y control sanitarios</t>
  </si>
  <si>
    <t>SPC - E1 Gobernabilidad y Gobernanza - L1 Desarrollo Institucional y Sectorial - Inspección, vigilancia y control sanitarios</t>
  </si>
  <si>
    <t>Este concepto de gasto incluye: 
a. Inspección, vigilancia y control sanitarios con el objetivo de identificar, eliminar o minimizar riesgos, daños e impactos negativos para la salud humana por el uso o consumo de bienes y servicios. 
b. Cumplimiento de las medidas regulatorias frente al expendio y consumo de tabaco sus derivados y sucedáneos y alcohol. 
c. Cumplimiento de las medidas sanitarias en los establecimientos objeto de IVC sanitario. 
d. Ejecución de  acciones propias de la fiscalización sanitaria y el aseguramiento de cadenas productivas.</t>
  </si>
  <si>
    <t>93</t>
  </si>
  <si>
    <t>19.02.93</t>
  </si>
  <si>
    <t>L2 Acuerdos Sociales y Comunitarios</t>
  </si>
  <si>
    <t>Participación social con enfoque diferencial para la gobernanza en salud pública</t>
  </si>
  <si>
    <t>SPC - E1 Gobernabilidad y Gobernanza - L2 Acuerdos Sociales y Comunitarios - Participación social con enfoque diferencial para la gobernanza en salud pública</t>
  </si>
  <si>
    <t xml:space="preserve">Este concepto de gasto incluye: 
a. El posicionamiento de la participación social como derecho. 
b. La incidencia en los escenarios de participación existentes en los departamentos, distritos y municipios para las decisiones públicas que afectan la salud y la garantía del derecho fundamental a la salud.
c. El acompañamiento y la promoción de la participación de organizaciones de base comunitaria y estructuras o formas de cuidado provenientes de saberes populares, tradiciones culturales, y saberes propios de pueblos y comunidades étnicas como parte de la gestión territorial para el cuidado de la salud y la red integral, integrada, territorial de servicios de salud.
d. El acompañamiento a la ciudadanía y la comunidad en la formulación, implementación, monitoreo, evaluación y rendición de cuentas en planes, programas y estrategias de interés en salud pública. </t>
  </si>
  <si>
    <t>94</t>
  </si>
  <si>
    <t>19.02.94</t>
  </si>
  <si>
    <t xml:space="preserve">Coordinación intersectorial como proceso para la generación de alianzas y acciones conjuntas para la garantía del derecho fundamental a la salud. </t>
  </si>
  <si>
    <t xml:space="preserve">SPC - E1 Gobernabilidad y Gobernanza - L2 Acuerdos Sociales y Comunitarios - Coordinación intersectorial como proceso para la generación de alianzas y acciones conjuntas para la garantía del derecho fundamental a la salud. </t>
  </si>
  <si>
    <t xml:space="preserve">Este concepto de gasto incluye la incidencia desde el sector salud en la generación de alianzas con otros sectores y el establecimiento de acciones conjuntas, articuladas e integradas para la garantía del derecho fundamental a la salud y el logro de los resultados en salud en los procesos de:
a. Compresión y planeación de la respuesta en salud en el territorio.
b. Respuesta territorial en salud.
d. Monitoreo y seguimiento de la respuesta territorial y los resultados en salud. </t>
  </si>
  <si>
    <t>95</t>
  </si>
  <si>
    <t>19.02.95</t>
  </si>
  <si>
    <t>Gestión de las políticas públicas en salud</t>
  </si>
  <si>
    <t>SPC - E1 Gobernabilidad y Gobernanza - L3 Cuidado de la Salud - Gestión de las políticas públicas en salud</t>
  </si>
  <si>
    <t xml:space="preserve">Este concepto de gasto incluye la gestión de las políticas públicas en salud de acuerdo con las prioridades territoriales en el marco de las intervenciones estructurales a cargo del sector salud por parte de las Entidades territoriales Departamentales, Distritales y Municipales. 
</t>
  </si>
  <si>
    <t>Ley 715 de 2001.
Ley 1355 de 2009.
Ley 1616 de 2013.
Ley 1414 de 2010.
Ley 2120 de 2021.
Ley 2294 de 2023 - Plan Nacional de Desarrollo.
Resolución 1229 de 2013.
Resolución 518 de 2015.
Resolución 3280 de 2018.
Resolución 3496 de 2019.
Resolución 367 de 2023.
Resolución 2367 de 2023.
Resolución 100 de 2024.
Plan Decenal de Lactancia Materna
CONPES 4100.
Convenio Marco para el control del tabaco.
Política Nacional de Salud Mental.
Política Integral para la Prevención y Atención del consumo de Sustancias Psicoactivas.
Decreto Número 2698: "Por el cual se crea la Comisión Nacional Intersectorial para la promoción y garantía de los Derechos Sexuales y Reproductivos".
Política Nacional de Sexualidad, derechos sexuales y derechos reproductivos.</t>
  </si>
  <si>
    <t>96</t>
  </si>
  <si>
    <t>19.02.96</t>
  </si>
  <si>
    <t>E2 Pueblos y comunidades</t>
  </si>
  <si>
    <t xml:space="preserve">Desarrollo de capacidades en salud pública para la transversalización del enfoque diferencial e interseccional. </t>
  </si>
  <si>
    <t xml:space="preserve">SPC - E2 Pueblos y comunidades - L1 Desarrollo Institucional y Sectorial - Desarrollo de capacidades en salud pública para la transversalización del enfoque diferencial e interseccional. </t>
  </si>
  <si>
    <t xml:space="preserve">Este concepto de gasto incluye desarrollo de capacidades para la transversalización del enfoque diferencial, de género y diversidad, curso de vida, salud familiar y comunitaria, psicosocial y el reconocimiento y respeto por los sistemas de conocimiento propio de pueblos y comunidades étnicas y campesinas en la planeación, formulación e implementación de planes, programas y estrategias orientados a la garantía del derecho fundamental a la salud. </t>
  </si>
  <si>
    <t>97</t>
  </si>
  <si>
    <t>19.02.97</t>
  </si>
  <si>
    <t xml:space="preserve">Participación social de pueblos y comunidades étnicas y campesinas, mujeres, sectores LGBTIQ+ y otras poblaciones por condición y/o situación. </t>
  </si>
  <si>
    <t xml:space="preserve">SPC - E2 Pueblos y comunidades - L2 Acuerdos Sociales y Comunitarios - Participación social de pueblos y comunidades étnicas y campesinas, mujeres, sectores LGBTIQ+ y otras poblaciones por condición y/o situación. </t>
  </si>
  <si>
    <t xml:space="preserve">Este concepto de gasto incluye el acompañamiento para el establecimiento de mecanismos institucionales, sectoriales, intersectoriales y comunitarios que garanticen la participación de las diferentes formas y expresiones organizativas de los pueblos y comunidades en la planeación y la respuesta en salud y la socialización consulta y concertación de las decisiones en salud pública  con los pueblos y comunidades étnicas y campesinas, mujeres, sectores LGBTIQ+ y otras poblaciones por condición y/o situación. </t>
  </si>
  <si>
    <t>98</t>
  </si>
  <si>
    <t>19.02.98</t>
  </si>
  <si>
    <t>Coord intersectorial transversalización enfoques de pueblos comunidades género diferencial e integración sistemas de conocimiento propio pueblos comunidades étnicas campesinas.</t>
  </si>
  <si>
    <t>SPC - E2 Pueblos y comunidades - L2 Acuerdos Sociales y Comunitarios - Coord intersectorial transversalización enfoques de pueblos comunidades género diferencial e integración sistemas de conocimiento propio pueblos comunidades étnicas campesinas.</t>
  </si>
  <si>
    <t xml:space="preserve">Este concepto de gasto incluye la incidencia del sector salud en espacios e instancias intersectoriales para: 
a. La transversalización de los enfoques e integración de los sistemas de conocimiento propio de pueblos y comunidades étnicas y campesinas en espacios e instancias intersectoriales; 
b. El reconocimiento de contextos de inequidad social, étnica y de género que afectan a las personas y colectivos en un territorio; y 
c. La generación de respuestas intersectoriales para la reducción y eliminación de situaciones de inequidad social, étnica y de género, la afectación positiva de los determinantes sociales de la salud. </t>
  </si>
  <si>
    <t>99</t>
  </si>
  <si>
    <t>19.02.99</t>
  </si>
  <si>
    <t xml:space="preserve">Garantía del derecho a la salud de pueblos y comunidades étnicas y campesinas, mujeres, sectores LGBTIQ+ y otras poblaciones por condición y/o situación. </t>
  </si>
  <si>
    <t xml:space="preserve">SPC - E2 Pueblos y comunidades - L3 Cuidado de la Salud - Garantía del derecho a la salud de pueblos y comunidades étnicas y campesinas, mujeres, sectores LGBTIQ+ y otras poblaciones por condición y/o situación. </t>
  </si>
  <si>
    <t xml:space="preserve">Este concepto de gasto incluye el desarrollo de intervenciones colectivas dirigidas a:
a. Comunidades Negra, Afrodescendiente, Raizal y Palenquera.
b. Pueblos y Comunidades Indígenas.
c. Comunidades ROM.
d. Género y Diversidad.
e. Personas Victimas Conflicto Armado.
f. Población campesina.
g. Personas con Discapacidad.
h. Población Migrantes, Colombianos Retornados y Comunidades de Acogida.
i. Población Inimputable. 
j. Personas Habitantes de Calle o en Riesgo.
k. Personas mayores.
l. Otras poblaciones por condición y situación. </t>
  </si>
  <si>
    <t>100</t>
  </si>
  <si>
    <t>19.02.100</t>
  </si>
  <si>
    <t>E3 Determinantes</t>
  </si>
  <si>
    <t>Desarrollo de capacidades en salud pública para la afectación positiva de los determinantes sociales de la salud.</t>
  </si>
  <si>
    <t>SPC - E3 Determinantes - L1 Desarrollo Institucional y Sectorial - Desarrollo de capacidades en salud pública para la afectación positiva de los determinantes sociales de la salud.</t>
  </si>
  <si>
    <t>Este concepto de gasto incluye el desarrollo de capacidades para: 
a. La consolidación de entornos económicos favorables para la salud; 
b. La transformación cultural, movilización y organización social y popular por la vida, salud y  la equidad en salud; 
c. La promoción y generación de territorios saludables articulados y trabajando por la paz, la convivencia pacífica y la resiliencia y 
d. La integración del cuidado del ambiente y la salud en el marco de la adaptación al cambio climático.</t>
  </si>
  <si>
    <t>101</t>
  </si>
  <si>
    <t>19.02.101</t>
  </si>
  <si>
    <t>Coordinación intersectorial para la afectación positiva de los determinantes sociales de la salud.</t>
  </si>
  <si>
    <t>SPC - E3 Determinantes - L2 Acuerdos Sociales y Comunitarios - Coordinación intersectorial para la afectación positiva de los determinantes sociales de la salud.</t>
  </si>
  <si>
    <t xml:space="preserve">Este concepto de gasto incluye la incidencia del sector salud en espacios e instancias intersectoriales para: 
a. La consolidación de entornos económicos favorables para la salud; 
b. La transformación cultural, movilización y organización social y popular por la vida, salud y  la equidad en salud; 
c. La promoción y generación de territorios saludables articulados y trabajando por la paz, la convivencia pacífica y la resiliencia, 
d. La integración del cuidado del ambiente y la salud en el marco de la adaptación al cambio climático, entre otros. 
Incluye acciones de política pública para la reducción de inequidades en salud, la afectación positiva de los determinantes sociales de la salud y la garantía del derecho fundamental a la salud.  
</t>
  </si>
  <si>
    <t>102</t>
  </si>
  <si>
    <t>19.02.102</t>
  </si>
  <si>
    <t>Participación social para la afectación positiva de los determinantes sociales de la salud.</t>
  </si>
  <si>
    <t>SPC - E3 Determinantes - L2 Acuerdos Sociales y Comunitarios - Participación social para la afectación positiva de los determinantes sociales de la salud.</t>
  </si>
  <si>
    <t xml:space="preserve">Este concepto de gasto incluye el acompañamiento del sector salud en espacios de participación para: 
a. La consolidación de entornos económicos favorables para la salud; 
b.La transformación cultural, movilización y organización social y popular por la vida, salud y  la equidad en salud; 
c. La promoción y generación de territorios saludables articulados y trabajando por la paz, la convivencia pacífica y la resiliencia y 
d. La integración del cuidado del ambiente y la salud en el marco de la adaptación al cambio climático, entre otros.  </t>
  </si>
  <si>
    <t>103</t>
  </si>
  <si>
    <t>19.02.103</t>
  </si>
  <si>
    <t>Información en salud para la afectación positiva de los determinantes sociales de la salud en el territorio.</t>
  </si>
  <si>
    <t>SPC - E3 Determinantes - L3 Cuidado de la Salud - Información en salud para la afectación positiva de los determinantes sociales de la salud en el territorio.</t>
  </si>
  <si>
    <t xml:space="preserve">Este concepto de gasto incluye el desarrollo de acciones estratégicas de información en salud para la afectación positiva de los determinantes sociales de la salud en el territorio, incluyendo las relacionadas con: 
a. Mitigación y adaptación al cambio climático desde el sector salud.
b. Aire y salud.
c. Movilidad saludable, segura y sostenible.  
d. Seguridad química. 
e. Zoonosis.
f. Entornos saludables.
g. Saneamiento básico.  
h. Territorios saludables articulados y trabajando por la paz, la convivencia pacífica y la resiliencia (Derechos humanos promoviendo su ejercicio pleno, resolución pacífica de conflictos, fortalecimiento de redes sociales de apoyo, Prevención de estigma y la discriminación). 
i. Transformación de representaciones sociales que validan las violencias en los distintos entornos. 
k. Derecho humano a la alimentación.
l. Otros Determinantes Sociales de la Salud. </t>
  </si>
  <si>
    <t>104</t>
  </si>
  <si>
    <t>19.02.104</t>
  </si>
  <si>
    <t xml:space="preserve">Desarrollo de capacidades en salud pública para la implementación de la estrategia de Atención Primaria en Salud </t>
  </si>
  <si>
    <t xml:space="preserve">SPC - E4 Atención Primaria Salud - L1 Desarrollo Institucional y Sectorial - Desarrollo de capacidades en salud pública para la implementación de la estrategia de Atención Primaria en Salud </t>
  </si>
  <si>
    <t>Este concepto de gasto incluye el desarrollo de capacidades locales para la implementación integral, participativa y continua de la Atención Primaria en Salud en los territorios, incluyendo entre otros aspectos:
a. La conformación de territorios de salud de acuerdo con las particularidades geográficas, socioculturales, político administrativas y ambientales donde se produce el proceso de salud.
b. La organización y puesta en marcha de redes integrales e integradas territoriales de salud. 
c. La garantía del acceso de la población a los servicios de salud con criterios de longitudinalidad, continuidad, puerta de entrada, enfoques familiar y comunitario. 
d. El fortalecimiento del nivel primario incluyendo la conformación de equipos básicos de salud y centros de atención primaria en salud. 
e. El fortalecimiento de las instituciones de salud públicas para el trabajo coordinado en redes integrales e integradas territoriales de salud.</t>
  </si>
  <si>
    <t>105</t>
  </si>
  <si>
    <t>19.02.105</t>
  </si>
  <si>
    <t xml:space="preserve">Coordinación intersectorial para el cuidado de la salud en los territorios en el marco de la Atención Primaria en Salud. </t>
  </si>
  <si>
    <t xml:space="preserve">SPC - E4 Atención Primaria Salud - L2 Acuerdos Sociales y Comunitarios - Coordinación intersectorial para el cuidado de la salud en los territorios en el marco de la Atención Primaria en Salud. </t>
  </si>
  <si>
    <t xml:space="preserve">Este concepto de gasto incluye la incidencia del sector salud en espacios de coordinación intersectorial para la gestión territorial del cuidado de la salud reconociendo las prioridades en relación con la garantía del derecho a la salud en conexidad con los otros derechos, las particularidades de los contextos y elementos propios del desarrollo de la población y el territorio y la configuración de actores y recursos que deben concurrir y complementarse en el marco de la Atención Primaria en Salud. </t>
  </si>
  <si>
    <t>106</t>
  </si>
  <si>
    <t>19.02.106</t>
  </si>
  <si>
    <t>Participación social como base de la Atención Primaria en Salud-APS</t>
  </si>
  <si>
    <t>SPC - E4 Atención Primaria Salud - L2 Acuerdos Sociales y Comunitarios - Participación social como base de la Atención Primaria en Salud-APS</t>
  </si>
  <si>
    <t xml:space="preserve">Este concepto de gasto incluye el acompañamiento del sector salud en espacios de participación para la implementación de la APS en el territorio. </t>
  </si>
  <si>
    <t>107</t>
  </si>
  <si>
    <t>19.02.107</t>
  </si>
  <si>
    <t>Cuidado de la Salud - familias, colectivos y comunidades</t>
  </si>
  <si>
    <t>SPC - E4 Atención Primaria Salud - L3 Cuidado de la Salud - Cuidado de la Salud - familias, colectivos y comunidades</t>
  </si>
  <si>
    <t xml:space="preserve">Este concepto de gasto incluye el desarrollo de acciones dirigidas a familias, colectivos y comunidades de para la promoción de la salud y la identificación, análisis e intervención de riesgos en salud en el marco de la Atención Primaria en Salud - APS. </t>
  </si>
  <si>
    <t>108</t>
  </si>
  <si>
    <t>19.02.108</t>
  </si>
  <si>
    <t>Cuidado de la salud - Población materna-perinatal</t>
  </si>
  <si>
    <t>SPC - E4 Atención Primaria Salud - L3 Cuidado de la Salud - Cuidado de la salud - Población materna-perinatal</t>
  </si>
  <si>
    <t xml:space="preserve">Este concepto de gasto incluye el desarrollo de acciones dirigidas a la población materno-perinatal para la promoción de la salud y la identificación, análisis e intervención de riesgos colectivos en salud en el marco de la Atención Primaria en Salud - APS. </t>
  </si>
  <si>
    <t>109</t>
  </si>
  <si>
    <t>19.02.109</t>
  </si>
  <si>
    <t>Cuidado de la salud - Primera infancia</t>
  </si>
  <si>
    <t>SPC - E4 Atención Primaria Salud - L3 Cuidado de la Salud - Cuidado de la salud - Primera infancia</t>
  </si>
  <si>
    <t xml:space="preserve">Este concepto de gasto incluye el desarrollo de acciones dirigidas a los niños y niñas en el momento de curso de vida de primera infancia, para la promoción de la salud y la identificación, análisis e intervención de riesgos colectivos en salud en el marco de la Atención Primaria en Salud - APS. </t>
  </si>
  <si>
    <t>110</t>
  </si>
  <si>
    <t>19.02.110</t>
  </si>
  <si>
    <t>Cuidado de la salud - Infancia</t>
  </si>
  <si>
    <t>SPC - E4 Atención Primaria Salud - L3 Cuidado de la Salud - Cuidado de la salud - Infancia</t>
  </si>
  <si>
    <t xml:space="preserve">Este concepto de gasto incluye el desarrollo de acciones dirigidas a los niños y niñas en el momento de curso de vida de infancia, para la promoción de la salud y la identificación, análisis e intervención de riesgos colectivos en salud en el marco de la Atención Primaria en Salud - APS. </t>
  </si>
  <si>
    <t>111</t>
  </si>
  <si>
    <t>19.02.111</t>
  </si>
  <si>
    <t>Cuidado de la salud - Adolescencia</t>
  </si>
  <si>
    <t>SPC - E4 Atención Primaria Salud - L3 Cuidado de la Salud - Cuidado de la salud - Adolescencia</t>
  </si>
  <si>
    <t xml:space="preserve">Este concepto de gasto incluye el desarrollo de acciones dirigidas a la población en el momento de curso de vida adolescencia, para la promoción de la salud y la identificación, análisis e intervención de riesgos colectivos en salud en el marco de la Atención Primaria en Salud - APS. </t>
  </si>
  <si>
    <t>112</t>
  </si>
  <si>
    <t>19.02.112</t>
  </si>
  <si>
    <t>Cuidado de la salud - Juventud</t>
  </si>
  <si>
    <t>SPC - E4 Atención Primaria Salud - L3 Cuidado de la Salud - Cuidado de la salud - Juventud</t>
  </si>
  <si>
    <t xml:space="preserve">Este concepto de gasto incluye el desarrollo de acciones dirigidas a la población en el momento de curso de vida juventud, para la promoción de la salud y la identificación, análisis e intervención de riesgos colectivos en salud en el marco de la Atención Primaria en Salud - APS. </t>
  </si>
  <si>
    <t>113</t>
  </si>
  <si>
    <t>19.02.113</t>
  </si>
  <si>
    <t>Cuidado de la salud - Adultez</t>
  </si>
  <si>
    <t>SPC - E4 Atención Primaria Salud - L3 Cuidado de la Salud - Cuidado de la salud - Adultez</t>
  </si>
  <si>
    <t xml:space="preserve">Este concepto de gasto incluye el desarrollo de acciones dirigidas a la población en el momento de curso de vida adultez, para la promoción de la salud y la identificación, análisis e intervención de riesgos colectivos en salud en el marco de la Atención Primaria en Salud - APS. </t>
  </si>
  <si>
    <t>114</t>
  </si>
  <si>
    <t>19.02.114</t>
  </si>
  <si>
    <t>Cuidado de la salud - Persona mayor</t>
  </si>
  <si>
    <t>SPC - E4 Atención Primaria Salud - L3 Cuidado de la Salud - Cuidado de la salud - Persona mayor</t>
  </si>
  <si>
    <t xml:space="preserve">Este concepto de gasto incluye el desarrollo de acciones dirigidas a la población en el momento de curso de vida vejez, para la promoción de la salud y la identificación, análisis e intervención de riesgos colectivos en salud en el marco de la Atención Primaria en Salud - APS. </t>
  </si>
  <si>
    <t>115</t>
  </si>
  <si>
    <t>19.02.115</t>
  </si>
  <si>
    <t>E5 Cambio Climático</t>
  </si>
  <si>
    <t>Desarrollo capacidades salud pública adaptación y mitigación variabilidad cambio climático y efectos en salud y gestión prevención atención emergencias desastres pandemias</t>
  </si>
  <si>
    <t>SPC - E5 Cambio Climático - L1 Desarrollo Institucional y Sectorial - Desarrollo capacidades salud pública adaptación y mitigación variabilidad cambio climático y efectos en salud y gestión prevención atención emergencias desastres pandemias</t>
  </si>
  <si>
    <t xml:space="preserve">Este concepto de gasto incluye el desarrollo de capacidades en los posibles efectos de la variabilidad y el cambio climático, planes de gestión integral de riesgos de emergencia y desastres en salud (PGIRED), misión médica, gestión del riesgo de emergencias y desastres, Reglamento Sanitario Internacional-RSI 2005, entre otros.  </t>
  </si>
  <si>
    <t>116</t>
  </si>
  <si>
    <t>19.02.116</t>
  </si>
  <si>
    <t>Coord intersectorial establecimiento acciones adaptación mitigación variabilidad cambio climático y efectos en salud y gestión prevención atención emergencias desastres pandemias</t>
  </si>
  <si>
    <t>SPC - E5 Cambio Climático - L2 Acuerdos Sociales y Comunitarios - Coord intersectorial establecimiento acciones adaptación mitigación variabilidad cambio climático y efectos en salud y gestión prevención atención emergencias desastres pandemias</t>
  </si>
  <si>
    <t xml:space="preserve">Este concepto de gasto incluye la coordinación intersectorial como proceso para la generación de alianzas y acciones conjuntas, articuladas e integradas que permitan el establecimiento de acciones de adaptación y mitigación de los efectos de la variabilidad y el cambio climático y la atención de eventos de interés en salud pública, emergencias, desastres y pandemias de manera integral y articulada. </t>
  </si>
  <si>
    <t>117</t>
  </si>
  <si>
    <t>19.02.117</t>
  </si>
  <si>
    <t>Participación social incidencia acciones adaptación mitigación la variabilidad cambio climático y efectos en salud gestión prevención atención emergencias desastres pandemias</t>
  </si>
  <si>
    <t>SPC - E5 Cambio Climático - L2 Acuerdos Sociales y Comunitarios - Participación social incidencia acciones adaptación mitigación la variabilidad cambio climático y efectos en salud gestión prevención atención emergencias desastres pandemias</t>
  </si>
  <si>
    <t xml:space="preserve">Este concepto de gasto incluye la participación social para la incidencia de la comunidad en el establecimiento de acciones de adaptación y mitigación de los efectos de la variabilidad y el cambio climático y la gestión, prevención y atención de emergencias, desastres y pandemias. </t>
  </si>
  <si>
    <t>118</t>
  </si>
  <si>
    <t>19.02.118</t>
  </si>
  <si>
    <t xml:space="preserve">Respuesta en salud pública ante los efectos en la salud generados por la variabilidad y el cambio climático y la ocurrencia de emergencias, desastres y pandemias. </t>
  </si>
  <si>
    <t xml:space="preserve">SPC - E5 Cambio Climático - L3 Cuidado de la Salud - Respuesta en salud pública ante los efectos en la salud generados por la variabilidad y el cambio climático y la ocurrencia de emergencias, desastres y pandemias. </t>
  </si>
  <si>
    <t xml:space="preserve">Este concepto de gasto incluye:
a. El desarrollo de acciones estratégicas de información en salud a nivel poblacional en prevención de los efectos en la salud generados por la variabilidad y el cambio climático, alertas tempranas, gestión del riesgo de emergencias, desastres y pandemias, entre otros.
b. Gestión de intervenciones colectivas ante los efectos en la salud generados por la variabilidad y el cambio climático y la ocurrencia de emergencias, desastres y pandemias. 
c. Vigilancia en Salud Pública ante los efectos en la salud generados por la variabilidad y el cambio climático y la ocurrencia de emergencias, desastres y pandemias. </t>
  </si>
  <si>
    <t>119</t>
  </si>
  <si>
    <t>19.02.119</t>
  </si>
  <si>
    <t>E6 Conocimiento salud</t>
  </si>
  <si>
    <t>Desarrollo de capacidades para el conocimiento en salud pública y la Soberanía Sanitaria.</t>
  </si>
  <si>
    <t>SPC - E6 Conocimiento salud - L1 Desarrollo Institucional y Sectorial - Desarrollo de capacidades para el conocimiento en salud pública y la Soberanía Sanitaria.</t>
  </si>
  <si>
    <t xml:space="preserve">Este concepto de gasto incluye el desarrollo de capacidades en gestión, producción y análisis de la información en salud pública con enfoques diferenciales, de género y diversidad y para pueblos y comunidades étnicas; acceso y uso de la oferta actual de información pública de salud y de otros sectores, entre otros. </t>
  </si>
  <si>
    <t>120</t>
  </si>
  <si>
    <t>19.02.120</t>
  </si>
  <si>
    <t>Gestión del conocimiento para la toma de decisiones en Salud Pública y la Soberanía Sanitaria</t>
  </si>
  <si>
    <t>SPC - E6 Conocimiento salud - L1 Desarrollo Institucional y Sectorial - Gestión del conocimiento para la toma de decisiones en Salud Pública y la Soberanía Sanitaria</t>
  </si>
  <si>
    <t xml:space="preserve">Este concepto de gasto incluye la gestión del conocimiento para la generación de información que oriente la toma de decisiones de acuerdo con las necesidades sociales en salud del territorio. </t>
  </si>
  <si>
    <t>121</t>
  </si>
  <si>
    <t>19.02.121</t>
  </si>
  <si>
    <t>Coordinación intersectorial  para la gestión del conocimiento en Salud Pública y la Soberanía Sanitaria</t>
  </si>
  <si>
    <t>SPC - E6 Conocimiento salud - L2 Acuerdos Sociales y Comunitarios - Coordinación intersectorial  para la gestión del conocimiento en Salud Pública y la Soberanía Sanitaria</t>
  </si>
  <si>
    <t>Este concepto de gasto la incidencia en espacios de coordinación intersectorial para: 
a. La generación de  estrategias de comunicación y educación para el cambio de comportamiento y de acción colectiva que favorezcan la trasformación de la cultura de seguridad social en salud y la promoción de entornos saludables y protectores.
b. El fortalecimiento de los sistemas de información necesarios para la gestión de la información en salud pública, incluyendo alertas tempranas.
c. Otras relacionadas con la gestión del conocimiento y la soberanía sanitaria</t>
  </si>
  <si>
    <t>122</t>
  </si>
  <si>
    <t>19.02.122</t>
  </si>
  <si>
    <t>Participación social para la incidencia en la gestión del conocimiento en Salud Pública y la Soberanía Sanitaria</t>
  </si>
  <si>
    <t>SPC - E6 Conocimiento salud - L2 Acuerdos Sociales y Comunitarios - Participación social para la incidencia en la gestión del conocimiento en Salud Pública y la Soberanía Sanitaria</t>
  </si>
  <si>
    <t>Este concepto de gasto incluye el acompañamiento del sector salud en espacios de participación para la construcción colectiva e intercultural e intercambio de saberes que aporten a la producción y análisis de la información en salud pública.</t>
  </si>
  <si>
    <t>123</t>
  </si>
  <si>
    <t>19.02.123</t>
  </si>
  <si>
    <t>Acciones estratégicas de información en salud</t>
  </si>
  <si>
    <t>SPC - E6 Conocimiento salud - L3 Cuidado de la Salud - Acciones estratégicas de información en salud</t>
  </si>
  <si>
    <t xml:space="preserve">Este concepto de gasto incluye el desarrollo de acciones estratégicas de divulgación, traducción social, uso y apropiación de la información en salud pública. </t>
  </si>
  <si>
    <t>124</t>
  </si>
  <si>
    <t>19.02.124</t>
  </si>
  <si>
    <t>E7 Personal Salud</t>
  </si>
  <si>
    <t>Desarrollo de  capacidades en el marco del trabajo digno y decente</t>
  </si>
  <si>
    <t>SPC - E7 Personal Salud - L1 Desarrollo Institucional y Sectorial - Desarrollo de  capacidades en el marco del trabajo digno y decente</t>
  </si>
  <si>
    <t>Este concepto de gasto incluye el desarrollo de capacidades para:
a. La gestión territorial de la salud pública, en el marco de la Estrategia Nacional de Formación Territorial, Intercultural de Atención Primaria en Salud, Salud Pública y Salud Colectiva.
b. La identificación, diagnóstico y prevención de los riesgos relacionados con la ocupación en el marco del Sistema de Seguridad y Salud en el Trabajo (SST) y del trabajo digno y decente de la OIT</t>
  </si>
  <si>
    <t>Ley 715 de 2001.
Ley 1355 de 2009.
Ley 1616 de 2013.
Ley 1414 de 2010.
Ley 2120 de 2021.
Ley 2294 de 2023 - Plan Nacional de Desarrollo.
Resolución 1229 de 2013.
Resolución 518 de 2015.
Resolución 3280 de 2018.
Resolución 3496 de 2019.
Resolución 367 de 2023.
Resolución 2367 de 2023.
Resolución 100 de 2024.
Plan Decenal de Lactancia Materna
CONPES 4100.
Convenio Marco para el control del tabaco.
Política Nacional de Salud Mental.
Política Integral para la Prevención y Atención del consumo de Sustancias Psicoactivas.
Decreto Número 2698: "Por el cual se crea la Comisión Nacional Intersectorial para la promoción y garantía de los Derechos Sexuales y Reproductivos".
Política Nacional de Sexualidad, derechos sexuales y derechos reproductivos.
Plan de aceleración para la reducción de la mortalidad materna.
Decreto 1072 del 2015 y la Resolución 0312 del 2019.</t>
  </si>
  <si>
    <t>125</t>
  </si>
  <si>
    <t>19.02.125</t>
  </si>
  <si>
    <t>Participación social para la incidencia en la Estrategia Nacional de Formación Territorial, Intercultural de Atención Primaria en Salud, Salud Pública y Salud Colectiva.</t>
  </si>
  <si>
    <t>SPC - E7 Personal Salud - L2 Acuerdos Sociales y Comunitarios - Participación social para la incidencia en la Estrategia Nacional de Formación Territorial, Intercultural de Atención Primaria en Salud, Salud Pública y Salud Colectiva.</t>
  </si>
  <si>
    <t>Este concepto de gasto incluye el acompañamiento del sector salud en espacios de participación para la incidencia en el diseño, implementación y evaluación de la Estrategia Nacional de Formación Territorial, Intercultural de Atención Primaria en Salud, Salud Pública y Salud Colectiva.</t>
  </si>
  <si>
    <t>Ley 715 de 2001.
Ley 1355 de 2009.
Ley 1616 de 2013.
Ley 1414 de 2010.
Ley 2120 de 2021.
Ley 2294 de 2023 - Plan Nacional de Desarrollo.
Resolución 1229 de 2013.
Resolución 518 de 2015.
Resolución 3280 de 2018.
Resolución 3496 de 2019.
Resolución 367 de 2023.
Resolución 2367 de 2023.
Resolución 100 de 2024.
Plan Decenal de Lactancia Materna
CONPES 4100.
Convenio Marco para el control del tabaco.
Política Nacional de Salud Mental.
Política Integral para la Prevención y Atención del consumo de Sustancias Psicoactivas.
Decreto Número 2698: "Por el cual se crea la Comisión Nacional Intersectorial para la promoción y garantía de los Derechos Sexuales y Reproductivos".
Política Nacional de Sexualidad, derechos sexuales y derechos reproductivos.
Plan de aceleración para la reducción de la mortalidad materna</t>
  </si>
  <si>
    <t>126</t>
  </si>
  <si>
    <t>19.02.126</t>
  </si>
  <si>
    <t>Coordinación Intersectorial en el marco de la política nacional de talento humano en salud.</t>
  </si>
  <si>
    <t>SPC - E7 Personal Salud - L2 Acuerdos Sociales y Comunitarios - Coordinación Intersectorial en el marco de la política nacional de talento humano en salud.</t>
  </si>
  <si>
    <t>Este concepto de gasto incluye la incidencia en espacios de coordinación intersectorial para:
a. La consolidación de alianzas académicas en los territorios formadores del THS. 
b. La planificación con enfoque territorial de la educación continua del THS con énfasis en territorio, territorialidad, interculturalidad en salud, atención primaria en salud, salud pública, salud colectiva, salud mental y centrada en la persona.
c. El desarrollo de metodologías pedagógicas específicas para la salud pública.
d. La definición de estrategias territoriales e intersectoriales para la mejora de la disponibilidad y distribución del THS con énfasis en áreas rurales, dispersas, de difícil acceso o desatendidas y particularmente en servicios de baja y mediana complejidad, para favorecer la distribución equitativa de todos los perfiles requeridos para la organización de los equipos, a fin de fortalecer la autonomía y la capacidad resolutiva del sistema de salud en el marco de la estrategia de Atención Primaria en Salud -APS</t>
  </si>
  <si>
    <t>127</t>
  </si>
  <si>
    <t>19.02.127</t>
  </si>
  <si>
    <t>Cuidado de la salud en el entorno laboral</t>
  </si>
  <si>
    <t>SPC - E7 Personal Salud - L3 Cuidado de la Salud - Cuidado de la salud en el entorno laboral</t>
  </si>
  <si>
    <t xml:space="preserve">Este concepto de gasto incluye el desarrollo de acciones para la promoción de la salud y la identificación, análisis e intervención de riesgos colectivos en salud en el entorno laboral.
</t>
  </si>
  <si>
    <t>Ley 715 de 2001.
Ley 1355 de 2009.
Ley 1616 de 2013.
Ley 1414 de 2010.
Ley 2120 de 2021.
Ley 2294 de 2023 - Plan Nacional de Desarrollo.
Resolución 1229 de 2013.
Resolución 518 de 2015.
Resolución 3280 de 2018.
Resolución 3496 de 2019.
Resolución 367 de 2023.
Resolución 2367 de 2023.
Resolución 100 de 2024.
Plan Decenal de Lactancia Materna
CONPES 4100.
Convenio Marco para el control del tabaco.
Política Nacional de Salud Mental.
Política Integral para la Prevención y Atención del consumo de Sustancias Psicoactivas.
Decreto Número 2698: "Por el cual se crea la Comisión Nacional Intersectorial para la promoción y garantía de los Derechos Sexuales y Reproductivos".
Política Nacional de Sexualidad, derechos sexuales y derechos reproductivos.
Decreto 1072 del 2015 y la Resolución 0312 del 2019</t>
  </si>
  <si>
    <t>19.03.22</t>
  </si>
  <si>
    <t>PS</t>
  </si>
  <si>
    <t>ESE Bajo Nivel Complejidad</t>
  </si>
  <si>
    <t>PS - E4 Atención Primaria Salud - L3 Cuidado de la Salud - ESE Bajo Nivel Complejidad</t>
  </si>
  <si>
    <t>Los gastos en salud que se deriven de la atención en urgencias en las Empresas Sociales del Estado de Baja complejidad, a la población pobre que no haya surtido el proceso de afiliación definido en el artículo 236 de la Ley 1955 de 2019, los cuales, serán asumidos por las entidades territoriales.</t>
  </si>
  <si>
    <t xml:space="preserve">a. Primer inciso artículo 236 de la Ley 1955 de 2019 
b. Fuentes para financiar la atención a PPNA Art. 2  Ley 1608/2013, Art. 4 y  21 Ley 1797/2016, Numeral 4  Art. 11  Resol 3042/2007 Modif. Resol 1127/2013  y demás recursos destinados de conformidad con lo dispuesto en el Art. 236 de la Ley 1955/2019.
</t>
  </si>
  <si>
    <t>19.03.23</t>
  </si>
  <si>
    <t>ESE Medio Nivel Complejidad</t>
  </si>
  <si>
    <t>PS - E4 Atención Primaria Salud - L3 Cuidado de la Salud - ESE Medio Nivel Complejidad</t>
  </si>
  <si>
    <t>Los gastos en salud que se deriven de la atención en urgencias en las Empresas Sociales del Estado de Mediana Complejidad, a la población pobre que no haya surtido el proceso de afiliación definido en el artículo 236 de la Ley 1955 de 2019, los cuales, serán asumidos por las entidades territoriales.</t>
  </si>
  <si>
    <t>19.03.24</t>
  </si>
  <si>
    <t>ESE Alto Nivel Complejidad</t>
  </si>
  <si>
    <t>PS - E4 Atención Primaria Salud - L3 Cuidado de la Salud - ESE Alto Nivel Complejidad</t>
  </si>
  <si>
    <t>Los gastos en salud que se deriven de la atención en urgencias en las Empresas Sociales del Estado de Alta Complejidad, a la población pobre que no haya surtido el proceso de afiliación definido en el artículo 236 de la Ley 1955 de 2019, los cuales, serán asumidos por las entidades territoriales.</t>
  </si>
  <si>
    <t>19.03.25</t>
  </si>
  <si>
    <t>Instituciones privadas y mixtas</t>
  </si>
  <si>
    <t>PS - E4 Atención Primaria Salud - L3 Cuidado de la Salud - Instituciones privadas y mixtas</t>
  </si>
  <si>
    <t>Los gastos en salud que se deriven de la atención a población pobre las Instituciones Prestadoras de Servicios de Salud de carácter privado que no haya surtido el proceso de afiliación definido en el artículo 236 de la Ley 1955 de 2019, los cuales, serán asumidos por las entidades territoriales.</t>
  </si>
  <si>
    <t xml:space="preserve">a. Primer inciso artículo 236 de la Ley 1955 de 2019. 
b. Fuentes para financiar la atención a PPNA Art. 2  Ley 1608/2013, Art. 4 y  21 Ley 1797/2016, Numeral 4  Art. 11  Resol 3042/2007 Modif. Resol 1127/2013  y demás recursos destinados de conformidad con lo dispuesto en el Art. 236 de la Ley 1955/2019.
</t>
  </si>
  <si>
    <t>19.03.26</t>
  </si>
  <si>
    <t>Saldos No Ejecutados Subsidio a la Oferta Vigencias Anteriores 2020</t>
  </si>
  <si>
    <t>PS - E4 Atención Primaria Salud - L3 Cuidado de la Salud - Saldos No Ejecutados Subsidio a la Oferta Vigencias Anteriores 2020</t>
  </si>
  <si>
    <t>Recursos del SGP de Prestación de Servicios, no ejecutados en el marco del artículo 2 de la Ley 1797 de 2016.</t>
  </si>
  <si>
    <t>Ley 1797 de 2016, artículo 2 - Decreto 762 de 2017 - Resolución 4669 de 2016 - Resolución 6346 de 2016</t>
  </si>
  <si>
    <t>19.03.27</t>
  </si>
  <si>
    <t>Prestación de servicios y tecnologías No UPC a los afiliados al régimen subsidiado</t>
  </si>
  <si>
    <t>PS - E1 Gobernabilidad y Gobernanza - L1 Desarrollo Institucional y Sectorial - Prestación de servicios y tecnologías No UPC a los afiliados al régimen subsidiado</t>
  </si>
  <si>
    <t>Recursos destinados para el pago de deudas por concepto de los servicios y tecnologías no financiados con cargo a la UPC del Régimen Subsidiado prestados hasta el 31 de diciembre de 2019.</t>
  </si>
  <si>
    <t>Ley 1955 de 2019, artículos 232 y 238.</t>
  </si>
  <si>
    <t>19.03.28</t>
  </si>
  <si>
    <t>Subsidio a la oferta - Empresas sociales del Estado</t>
  </si>
  <si>
    <t>PS - E4 Atención Primaria Salud - L3 Cuidado de la Salud - Subsidio a la oferta - Empresas sociales del Estado</t>
  </si>
  <si>
    <t>Son los recursos asignados para concurrir en la financiación de la operación de: la prestación de servicios y tecnologías efectuadas por Empresas Sociales del Estado, ubicadas en zonas alejadas o de difícil acceso que sean monopolio en servicios trazadores y no sostenibles por venta de servicios.</t>
  </si>
  <si>
    <t>a. Ley 1955 de 2019_ Artículo 235. DISTRIBUCIÓN DE LOS RECURSOS DEL COMPONENTE DE SALUD PÚBLICA Y SUBSIDIOS A LA OFERTA, que modifica el artículo 52 de la Ley 715 de 2001 Numeral 52.2. 
b. Decreto 268 de 2020.
c. Resolución 857 de 2020 y aquellas que modifiquen o sustituyan.
d. Listado publicado por el Ministerio de Salud y Protección Social en el siguiente link https://www.minsalud.gov.co/proteccionsocial/Financiamiento/Paginas/Sistema-General-de-Participaciones---Prestacion-de-servicios.aspx.</t>
  </si>
  <si>
    <t>19.03.29</t>
  </si>
  <si>
    <t>Subsidio a la oferta - Administradores de infraestructura pública</t>
  </si>
  <si>
    <t>PS - E4 Atención Primaria Salud - L3 Cuidado de la Salud - Subsidio a la oferta - Administradores de infraestructura pública</t>
  </si>
  <si>
    <t>Son los recursos asignados para concurrir en la financiación de la operación de: la prestación de servicios y tecnologías efectuadas por IPS administradoras de infraestructura pública de propiedad de la entidad territorial, ubicadas en zonas alejadas o de difícil acceso que sean monopolio en servicios trazadores y no sostenibles por venta de servicios.</t>
  </si>
  <si>
    <t>14</t>
  </si>
  <si>
    <t>19.04.14</t>
  </si>
  <si>
    <t>Atención Población Migrante Instituciones públicas</t>
  </si>
  <si>
    <t>PS - E2 Pueblos y comunidades - L3 Cuidado de la Salud - Atención Población Migrante Instituciones públicas</t>
  </si>
  <si>
    <t>Atenciones de urgencias prestada s a la población migrante regular no afiliada e irregular en instituciones públicas</t>
  </si>
  <si>
    <t>Numeral 43.2.11 del artículo 43 de la Ley 715 de 2001
Artículos 154, 155 y 156 de la Ley 2294 de 2023</t>
  </si>
  <si>
    <t>15</t>
  </si>
  <si>
    <t>19.04.15</t>
  </si>
  <si>
    <t>Atención Población Migrante Instituciones privadas y mixtas</t>
  </si>
  <si>
    <t>PS - E2 Pueblos y comunidades - L3 Cuidado de la Salud - Atención Población Migrante Instituciones privadas y mixtas</t>
  </si>
  <si>
    <t>Atenciones de urgencias prestada s a la población migrante regular no afiliada e irregular en instituciones privadas</t>
  </si>
  <si>
    <t>34</t>
  </si>
  <si>
    <t>19.05.34</t>
  </si>
  <si>
    <t>OGS</t>
  </si>
  <si>
    <t>Investigación en Salud</t>
  </si>
  <si>
    <t>OGS - Investigación en Salud</t>
  </si>
  <si>
    <t>Incluye gastos de inversión destinados a financiar investigación en salud, proyectos de inversión en salud, reorganización de redes de prestadores de servicios de salud, inversiones en equipos y dotaciones e infraestructura según el plan bienal e inversiones para implementar planes de contingencia</t>
  </si>
  <si>
    <t xml:space="preserve">Ley 643 de 2001, artículo 42. / Ley 1438 de 2011
Numeral 5 Resol 3042 de 2007, modificada por la Resol. 1127/ 2013 MSPS
a. Resolución 2514 de 2012, Resol 2053 de 2019 /b. Fuente de recursos Art. 2 Ley 1608/ 2013 y Numeral 7 Art. 11  Res. 3042/2007 , modificada por la Resol. 1127/ 2013 MSPS, ART. 4 Ley 1608/2013 y  Artículo 1 Decreto 728/ 2013.
Artículo 5 y 6 Decreto 538 de 2020 / Resolución 750 de 2020
</t>
  </si>
  <si>
    <t>35</t>
  </si>
  <si>
    <t>19.05.35</t>
  </si>
  <si>
    <t xml:space="preserve">Inversiones directas en la red publica equipos y dotación según PBIPS / PMES </t>
  </si>
  <si>
    <t xml:space="preserve">OGS - E1 Gobernabilidad y Gobernanza - L1 Desarrollo Institucional y Sectorial - Inversiones directas en la red publica equipos y dotación según PBIPS / PMES </t>
  </si>
  <si>
    <t>Corresponde a los recursos ejecutados con destino a  la financiación y cofinanciación  de proyectos de equipos y dotación en salud, de acuerdo con el numeral 42.2 del artículo 42 de la Ley 715 de 2001 y los demás que lo modifiquen</t>
  </si>
  <si>
    <t>Ley 715 de 2001
Decreto 4107 de 2011 
Ley 1438 de 2011
Ley 1751 de 2015 
Resolución 1441 de 2016 
Resolución 489 de 2019 
Ley 2294 de 2023 
Resolución 489 de 2019 
Resolución 2514 de 2012
Resolución 310 de 2022</t>
  </si>
  <si>
    <t>36</t>
  </si>
  <si>
    <t>19.05.36</t>
  </si>
  <si>
    <t xml:space="preserve">Inversiones directas en la red publica infraestructura según PBIPS / PMES </t>
  </si>
  <si>
    <t xml:space="preserve">OGS - E1 Gobernabilidad y Gobernanza - L1 Desarrollo Institucional y Sectorial - Inversiones directas en la red publica infraestructura según PBIPS / PMES </t>
  </si>
  <si>
    <t>Corresponde a los recursos ejecutados con destino a  la financiación y cofinanciación  de proyectos de infraestructura, de acuerdo con el numeral 42.2 del artículo 42 de la Ley 715 de 2001 y los demás que lo modifiquen</t>
  </si>
  <si>
    <t>37</t>
  </si>
  <si>
    <t>19.05.37</t>
  </si>
  <si>
    <t>Capacidades consolidadas para la gestión territorial del THS en salud pública</t>
  </si>
  <si>
    <t>OGS - E7 Personal Salud - L1 Desarrollo Institucional y Sectorial - Capacidades consolidadas para la gestión territorial del THS en salud pública</t>
  </si>
  <si>
    <t xml:space="preserve">Este concepto de gasto incluye: 
1. Acompañamiento para la instalación e implementación de la estructura y de los procesos organizacionales en un departamento y en un distrito  para la  gestión y planificación del THS
2. Implementación del Modelo Integral de Planificación y Gestión del Talento Humano en las Secretarias Departamentales y Distritales de Salud, el diseño de acciones estratégicas, la implementación del modelo de incentivos con articulación de actores y sectores del territorio, y en su conjunto, así como el desarrollo de políticas territoriales de Talento Humano en Salud.
3. Definición de estrategias territoriales e intersectoriales para la mejora de la disponibilidad y distribución del THS con énfasis en los que realizan acciones y gestión de la salud pública.
4. Implementación de acciones intersectoriales con enfoque territorial para la integración de incentivos y mecanismos de retención del THS en el marco del trabajo digno y decente.
5. Avance en el diseño de acciones de prevención, atención, control y protección del talento humano en contextos de crisis humanitaria y ante situaciones de riesgo de violencia al THS y a la misión médica.
6. Reconocimiento y ampliación de los escenarios de práctica formativa en los diferentes niveles de atención y grados de complejidad de los servicios de salud,  y en los escenarios de salud pública, así como las formas de generar los convenios docencia-servicio y demás mecanismos de trabajo colaborativo en función del cierre de brechas del Talento Humano en Salud y del Modelo de Atención Primaria en Salud
7. Rediseño normativo del Servicio Social Obligatorio (SSO) como una herramienta estratégica orientada al cierre de brechas en la disponibilidad del Talento Humano en Salud, así como a la formación integral, la consolidación de equipos y a la gestión territorial con base en la estrategia de salud familiar y comunitaria.
8. Desarrollo e implementación del sistema de información del Talento Humano en Salud  (de uso descentralizado) con la incorporación de variables sobre disponibilidad; distribución; formación; formación permanente y entrenamientos avanzados, así como condiciones de empleo y trabajo, y su funcionamiento con características de oportunidad, cobertura, consistencia, completitud, exactitud e interoperabilidad.
</t>
  </si>
  <si>
    <t>Ley 2294 de 2023 - Plan Nacional de Desarrollo
Decreto 780 de 2016
Ley 1164 de 2007
Ley 1438 de 2011</t>
  </si>
  <si>
    <t>38</t>
  </si>
  <si>
    <t>19.05.38</t>
  </si>
  <si>
    <t>Población Migrantes, Colombianos Retornados y Comunidades de Acogida.</t>
  </si>
  <si>
    <t>OGS - E2 Pueblos y comunidades - L3 Cuidado de la Salud - Población Migrantes, Colombianos Retornados y Comunidades de Acogida.</t>
  </si>
  <si>
    <t>Corresponde a los recursos destinados para el fortalecimiento para la inclusión y atención de la población migrante.</t>
  </si>
  <si>
    <t>Ley 2136 de 2021
Decreto 780 de 2016
Decreto 1288 de 2018 (DAPRE)
Decreto 2408 de 2018
Decreto 2408 de 2018
Decreto 64 de 2020
Decreto 1818 de 2020
Resolución 1838 de 2019
Circular 035 de 2022
CONPES 3950 de 2018
CONPES 4100 de 2022</t>
  </si>
  <si>
    <t>39</t>
  </si>
  <si>
    <t>19.05.39</t>
  </si>
  <si>
    <t>Personas Victimas Conflicto Armado</t>
  </si>
  <si>
    <t>OGS - E2 Pueblos y comunidades - L3 Cuidado de la Salud - Personas Victimas Conflicto Armado</t>
  </si>
  <si>
    <t>Este concepto de gasto corresponde a: 
1. Atención psicosocial en el marco del SGSSS a la víctimas de conflicto armado identificadas en cada entidad territorial.
2. Implementación de la Estrategia de Rehabilitación Comunitaria en el marco del Plan Nacional de Rehabilitación Punto 5 del acuerdo de paz.
3. Gestión y atención psicosocial a las víctimas solicitadas a través de sentencias de medidas judiciales nacionales e internacionales.
4. Fortalecimiento de capacidades a los actores del SGSSS para la atención integral con enfoque psicosocial a las víctimas de conflicto armado 
5. Garantía a la respuesta sectorial en la  medida de rehabilitación en el marco de la ruta de reparación colectiva étnica conforme a las competencias</t>
  </si>
  <si>
    <t xml:space="preserve">Artículo 137 de la Ley 1448 de 2011 - PROGRAMA DE ATENCIÓN PSICOSOCIAL A VÍCTIMAS DEL CONFLICTO ARMADO 
Ley 1751 de 2015, artículo 51; Decreto 1084 de 2015; Ley 2078 de 2021; Conpes 4031 de 2021; Decreto 1650 de 2022,  </t>
  </si>
  <si>
    <t>40</t>
  </si>
  <si>
    <t>19.05.40</t>
  </si>
  <si>
    <t>Personas con Discapacidad</t>
  </si>
  <si>
    <t>OGS - E2 Pueblos y comunidades - L3 Cuidado de la Salud - Personas con Discapacidad</t>
  </si>
  <si>
    <t>Corresponde a los recursos destinados para la financiación de los procesos de valoración, certificación, caracterización y localización de personas con discapacidad.</t>
  </si>
  <si>
    <t>Resolución 1239 de 2022</t>
  </si>
  <si>
    <t>41</t>
  </si>
  <si>
    <t>19.05.41</t>
  </si>
  <si>
    <t>Género y Diversidad</t>
  </si>
  <si>
    <t>OGS - E2 Pueblos y comunidades - L3 Cuidado de la Salud - Género y Diversidad</t>
  </si>
  <si>
    <t>Corresponde a los recursos destinados para la financiación de las medidas de atención a mujeres víctimas de violencia basada en género.</t>
  </si>
  <si>
    <t xml:space="preserve">Parágrafo 2 del Artículo 19 de la Ley 1257 de 2008 y Decreto 075 del 2024 </t>
  </si>
  <si>
    <t>42</t>
  </si>
  <si>
    <t>19.05.42</t>
  </si>
  <si>
    <t>OGS - E2 Pueblos y comunidades - L3 Cuidado de la Salud - Población campesina</t>
  </si>
  <si>
    <t>Corresponde a los recursos para la atención en salud de la población campesina.</t>
  </si>
  <si>
    <t xml:space="preserve">Acto Legislativo 1 de 2023 </t>
  </si>
  <si>
    <t>43</t>
  </si>
  <si>
    <t>19.05.43</t>
  </si>
  <si>
    <t>Atención Integral Centros de Larga Estancia Adulto Mayor/Personas Mayores</t>
  </si>
  <si>
    <t>OGS - E2 Pueblos y comunidades - L3 Cuidado de la Salud - Atención Integral Centros de Larga Estancia Adulto Mayor/Personas Mayores</t>
  </si>
  <si>
    <t>Corresponde a los recursos derivados del recuadro de estampilla de adulto mayor destinados para la financiación de centros de larga estancia</t>
  </si>
  <si>
    <t>Ley 687 de 2001; Ley 1276 de 2009; Ley 1850 de 2017 y Ley 1955 de 2019, Decreto 681 de 2022</t>
  </si>
  <si>
    <t>44</t>
  </si>
  <si>
    <t>19.05.44</t>
  </si>
  <si>
    <t>Atención Integral  Centros Vida o Día Adulto Mayor/Personas Mayores</t>
  </si>
  <si>
    <t>OGS - E2 Pueblos y comunidades - L3 Cuidado de la Salud - Atención Integral  Centros Vida o Día Adulto Mayor/Personas Mayores</t>
  </si>
  <si>
    <t xml:space="preserve">Corresponde a los recursos derivados del recaudo de estampilla de adulto mayor destinados para la financiación de centros vida o día. </t>
  </si>
  <si>
    <t>45</t>
  </si>
  <si>
    <t>19.05.45</t>
  </si>
  <si>
    <t>Atención Integral Otras Modalidades Adulto Mayor/Personas Mayores</t>
  </si>
  <si>
    <t>OGS - E2 Pueblos y comunidades - L3 Cuidado de la Salud - Atención Integral Otras Modalidades Adulto Mayor/Personas Mayores</t>
  </si>
  <si>
    <t>Corresponde a los recursos derivados del recaudo de estampilla de adulto mayor destinados para la financiación en otras modalidades.</t>
  </si>
  <si>
    <t>46</t>
  </si>
  <si>
    <t>19.05.46</t>
  </si>
  <si>
    <t>Pueblos y Comunidades Indígena</t>
  </si>
  <si>
    <t>OGS - E2 Pueblos y comunidades - L3 Cuidado de la Salud - Pueblos y Comunidades Indígena</t>
  </si>
  <si>
    <t>Corresponde a los recursos destinados para el desarrollo y promoción de los modelos de salud de la población indígena.</t>
  </si>
  <si>
    <t>Decreto 1973 de 2013; Decreto 1372 de 2018; Artículo 3 del titulo 1 de la Ley 1955 de 2019.</t>
  </si>
  <si>
    <t>47</t>
  </si>
  <si>
    <t>19.05.47</t>
  </si>
  <si>
    <t>Comunidades ROM</t>
  </si>
  <si>
    <t>OGS - E2 Pueblos y comunidades - L3 Cuidado de la Salud - Comunidades ROM</t>
  </si>
  <si>
    <t>Corresponde a los recursos destinados para la gestión, concertación, divulgación, participación e inclusión el enfoque diferencial en salud para las comunidades rrom.</t>
  </si>
  <si>
    <t>Decreto 2957 de 2010</t>
  </si>
  <si>
    <t>48</t>
  </si>
  <si>
    <t>19.05.48</t>
  </si>
  <si>
    <t>Comunidades Negra, Afrodescendiente, Raizal y Palenquera</t>
  </si>
  <si>
    <t>OGS - E2 Pueblos y comunidades - L3 Cuidado de la Salud - Comunidades Negra, Afrodescendiente, Raizal y Palenquera</t>
  </si>
  <si>
    <t>Corresponde a los recursos destinados para la gestión, concertación, divulgación, participación e inclusión del enfoque diferencial en salud para las comunidades NARP</t>
  </si>
  <si>
    <t>Ley 70 de 1993 y Decreto 1372 de 2018,  Espacio Nacional de Consulta Previa Comunidades NARP</t>
  </si>
  <si>
    <t>49</t>
  </si>
  <si>
    <t>19.05.49</t>
  </si>
  <si>
    <t>Personas Habitantes de Calle o en Riesgo</t>
  </si>
  <si>
    <t>OGS - E2 Pueblos y comunidades - L3 Cuidado de la Salud - Personas Habitantes de Calle o en Riesgo</t>
  </si>
  <si>
    <t>Corresponde a los recursos que financian las acciones enmarcadas en la Ley 1641 de 2013 para la atención de la población habitante de calle.</t>
  </si>
  <si>
    <t xml:space="preserve">Ley 1641 de 2013, Decreto 1285 de 2022 </t>
  </si>
  <si>
    <t>50</t>
  </si>
  <si>
    <t>19.05.50</t>
  </si>
  <si>
    <t>Población Inimputable</t>
  </si>
  <si>
    <t>OGS - E2 Pueblos y comunidades - L3 Cuidado de la Salud - Población Inimputable</t>
  </si>
  <si>
    <t>Corresponde a los recursos asignados a las entidades territoriales dirigidos a financiar el programa de población que han sido declarada jurídicamente inimputables, que garantiza la atención en centros de salud mental contratados por las entidades territoriales, y se les ha impuesto una medida de seguridad consistente en internación en centro psiquiátrico</t>
  </si>
  <si>
    <t>Artículo 465, Ley 906 de 2004, Código de Procedimiento Penal. Resolución 1721 de 2017.</t>
  </si>
  <si>
    <t>51</t>
  </si>
  <si>
    <t>19.05.51</t>
  </si>
  <si>
    <t>Programas de Saneamiento Fiscal y Financiero Empresas Sociales del Estado - ESE</t>
  </si>
  <si>
    <t>OGS - E1 Gobernabilidad y Gobernanza - L1 Desarrollo Institucional y Sectorial - Programas de Saneamiento Fiscal y Financiero Empresas Sociales del Estado - ESE</t>
  </si>
  <si>
    <t>Programas de saneamiento Fiscal y Financiero de ESE Riesgo Medio y Alto</t>
  </si>
  <si>
    <t>Ley 1438 de 2011.
Ley 1797 de 2016.
Artículos 2 y 4 Ley 1608 de 2013.
Decreto 728 de 2013.
Artículo 6 Decreto 1141 de 2013.
Numeral 6 Artículo 11  Resolución 3042 de 2007, modificado por la Resolución 1127 de 2013.</t>
  </si>
  <si>
    <t>52</t>
  </si>
  <si>
    <t>19.05.52</t>
  </si>
  <si>
    <t>Gastos Asociados a la Conformación e Implementación de la RIITS.</t>
  </si>
  <si>
    <t>OGS - E1 Gobernabilidad y Gobernanza - L1 Desarrollo Institucional y Sectorial - Gastos Asociados a la Conformación e Implementación de la RIITS.</t>
  </si>
  <si>
    <t>Se refiere a los recursos requeridos en los procesos de conformación y organización de las redes integrales e integradas territoriales de salud donde se involucra la complementariedad funcional de organizaciones, talento humano, capacidades y competencias para garantizar una prestación de los servicios que sea accesible, oportuna, integral, resolutiva y de calidad</t>
  </si>
  <si>
    <t>Artículo 49 de la Constitución Política de Colombia
Ley 1751 de 2015 en sus artículos 2,5,8,13,24
Ley 715 de 2001. Artículo 54
Ley 1122 de 2007. Artículo 16 y 25
Ley 1438 de 2011 en sus artículos 2,12,13,61,62,63 y 64
Ley 1699 de 2019. Artículo 7
Ley 1599 de 2019. Artículo 243
Ley 2294 de 2023</t>
  </si>
  <si>
    <t>53</t>
  </si>
  <si>
    <t>19.05.53</t>
  </si>
  <si>
    <t>Telesalud</t>
  </si>
  <si>
    <t>OGS - E4 Atención Primaria Salud - L3 Cuidado de la Salud - Telesalud</t>
  </si>
  <si>
    <t>Telesalud: Es el conjunto de actividades relacionadas con la salud, servicios y métodos, los cuales se llevan a cabo a distancia con la ayuda de las tecnologías de la información y telecomunicaciones. Incluye, entre otras, la Telemedicina y la Teleeducación en salud.
Telemedicina: Es la provisión de servicios de salud a distancia en los componentes de promoción, prevención, diagnóstico, tratamiento y rehabilitación, por profesionales de la salud que utilizan tecnologías de la información y la comunicación, que les permiten intercambiar datos con el propósito de facilitar el acceso y la oportunidad en la prestación de servicios a la población que presenta limitaciones de oferta, de acceso a los servicios o de ambos en su área geográfica.
Lo anterior no exime a los prestadores de servicios de salud y a las entidades responsables del pago de tales servicios de su responsabilidad de priorizar la prestación personalizada de servicios de salud, en el marco del Sistema General de Seguridad Social en Salud.
Teleeducación en salud: Es la utilización de las tecnologías de la información y telecomunicación para la práctica educativa de salud a distancia</t>
  </si>
  <si>
    <t>Ley 1419 de 2010 art 2, 9; Resolución 2654 de 2019, art 8,9,10,14,15,16,17,18,30</t>
  </si>
  <si>
    <t>54</t>
  </si>
  <si>
    <t>19.05.54</t>
  </si>
  <si>
    <t>Fortalecimiento Modalidad Extramural de Prestación de Servicios</t>
  </si>
  <si>
    <t>OGS - E1 Gobernabilidad y Gobernanza - L1 Desarrollo Institucional y Sectorial - Fortalecimiento Modalidad Extramural de Prestación de Servicios</t>
  </si>
  <si>
    <t xml:space="preserve">El primer nivel de atención – PNA es el primer contacto para contar con oferta de servicios que responda a las necesidades de la población, que sea accesible, oportuna, pertinente y resolutivo desde el territorio, con una relación sostenida con la gente, y en el contexto de la familia y la comunidad, siendo además responsable por la salud de un espacio-población . Este nivel “lo conforman servicios de atención integral a lo largo del curso de vida, que reúnen un conjunto de recursos para responder a la mayoría de las necesidades de salud, lo más cercano de la población, constituyéndose en piedra angular sobre la cual se organizan territorialmente los recursos de salud para articular los servicios de salud individual y colectiva de las RISS y, expandir el acceso equitativo a servicios y programas integrales e integrados a toda la población” . </t>
  </si>
  <si>
    <t>la Ley 2294 de 2023, mediante la cual se expide el Plan Nacional de Desarrollo 2022 – 2026 “Colombia Potencial Mundial de la Vida”, plantea en sus bases, avanzar hacia un sistema de salud garantista, universal, basado en un modelo de salud preventivo y predictivo, con el cual “(…) se buscará hacer efectiva la APS a través de la reorientación de los servicios de salud y el cumplimiento efectivo de las competencias de los integrantes del Sistema de Salud, para lo cual se propone (i) desarrollar equipos interdisciplinarios territorializados permanentes y sistemáticos, para garantizar la promoción de la salud y prevención de la enfermedad, a través de la coordinación de acciones sectoriales e intersectoriales; (ii) conformar redes integrales e integradas territoriales de salud, en las que participan prestadores públicos, privados y mixtos que garantizan servicios con calidad, oportunidad y pertinencia, cerca de donde viven las poblaciones; (iii) se recuperará, fortalecerá y modernizará la red pública hospitalaria, en particular en las zonas con baja oferta de servicios, apoyado en la ejecución de un plan maestro de inversiones en infraestructura y dotación; (iv) se formulará e implementará una nueva política de talento humano en salud, con enfoque de género, mejoramiento de la pertinencia, la cobertura y distribución del talento humano en el territorio nacional y (v) se fortalecerá el aseguramiento en salud para el cuidado integral de toda la población, bajo el control y regulación del Estado.”</t>
  </si>
  <si>
    <t>55</t>
  </si>
  <si>
    <t>19.05.55</t>
  </si>
  <si>
    <t>Cultura de la Seguridad Social</t>
  </si>
  <si>
    <t>OGS - E6 Conocimiento salud - L2 Acuerdos Sociales y Comunitarios - Cultura de la Seguridad Social</t>
  </si>
  <si>
    <t xml:space="preserve">Inversión para desarrollo de acciones para el fomento de la cultura de seguridad social, de acuerdo con los lineamientos nacionales y normatividad vigente. </t>
  </si>
  <si>
    <t>Ley 100 de 1993
Ley 1122 de 2007
Ley 1438 de 2011
Ley 1502 de 2011
Ley 1751 de 2015
Decreto 2766 de 2013</t>
  </si>
  <si>
    <t>56</t>
  </si>
  <si>
    <t>19.05.56</t>
  </si>
  <si>
    <t>Gestión de la atención de las urgencias, emergencias y desastres en salud</t>
  </si>
  <si>
    <t>OGS - E6 Conocimiento salud - Gestión de la atención de las urgencias, emergencias y desastres en salud</t>
  </si>
  <si>
    <t>Corresponde a los recursos necesarios para garantizar el derecho fundamental a la salud a las personas que han sido o pueden ser potencialmente afectadas por situaciones de urgencia, emergencias, desastres, epidemias y pandemias, comprende la operación y fortalecimiento de los Centros Reguladores de Urgencias, Emergencias y Desastres -CRUE, los Sistemas de Emergencias Médicas y las acciones de conocimiento, reducción del riesgo y manejo de desastres en salud.</t>
  </si>
  <si>
    <t>Ley 715 de 2001, Art. 43.1.2, 43.2.4, 44.1.3 y 54
Ley 1523 de 2012.  Artículos 2, 32, 35 y 44
Ley 1438 de 2011. Art 67
Decreto 2434 de  2015. Artículo 2.2.14.2.5.  
Decreto 780 De 2016 . Artículo 2.5.3.2.17
Resolución 1220 de 2010
Resolución 926 de 2017</t>
  </si>
  <si>
    <t>57</t>
  </si>
  <si>
    <t>19.05.57</t>
  </si>
  <si>
    <t>Diferentes a los contemplados en las demás subcuentas</t>
  </si>
  <si>
    <t>OGS - Diferentes a los contemplados en las demás subcuentas</t>
  </si>
  <si>
    <t>Otros gastos en salud Inversión - Diferentes a los contemplados en las demás subcuentas</t>
  </si>
  <si>
    <t xml:space="preserve"> </t>
  </si>
  <si>
    <t>58</t>
  </si>
  <si>
    <t>19.05.58</t>
  </si>
  <si>
    <t>Funcionamiento</t>
  </si>
  <si>
    <t>OGS - Funcionamiento</t>
  </si>
  <si>
    <t>Agrupa los gastos de funcionamiento</t>
  </si>
  <si>
    <t/>
  </si>
  <si>
    <t>SUM of  % Cumplimiento I trim</t>
  </si>
  <si>
    <t>SUM of  % Cumplimiento II Trim</t>
  </si>
  <si>
    <t>SUM of  % Cumplimiento III Trim</t>
  </si>
  <si>
    <t>SUM of  % Cumplimiento IV Trimestre</t>
  </si>
  <si>
    <t>SUM of  % Cumplimiento total</t>
  </si>
  <si>
    <t>SUM of  I trim</t>
  </si>
  <si>
    <t>SUM of  II Trim</t>
  </si>
  <si>
    <t>SUM of  III Trim</t>
  </si>
  <si>
    <t>SUM of  IV Trim</t>
  </si>
  <si>
    <t>Juventud, Adultez y Persona mayor</t>
  </si>
  <si>
    <t>Jairo Gamarra</t>
  </si>
  <si>
    <t>OCT</t>
  </si>
  <si>
    <t>NOV</t>
  </si>
  <si>
    <t>DIC</t>
  </si>
  <si>
    <t>María Fernanda Larios - Margareth Pinto</t>
  </si>
  <si>
    <t>Rina Marquez-Doraine Guerrero-Paola Gale</t>
  </si>
  <si>
    <t>jairo Gamarra</t>
  </si>
  <si>
    <t>María Fernanda Larios - Margaret Pinto</t>
  </si>
  <si>
    <t xml:space="preserve">MIRIAM eusse - claudia Chi </t>
  </si>
  <si>
    <t>(en blanco)</t>
  </si>
  <si>
    <t>RESPONSABLES</t>
  </si>
  <si>
    <t># ACT ASIGNADAS</t>
  </si>
  <si>
    <t>(Todas)</t>
  </si>
  <si>
    <t>OFICINA</t>
  </si>
  <si>
    <t>SALUD PUBLICA</t>
  </si>
  <si>
    <t>DESPACHO</t>
  </si>
  <si>
    <t>PLANEACION</t>
  </si>
  <si>
    <t>PRESTACION DE SERVICIOS</t>
  </si>
  <si>
    <t>ASEGURAMIENTO</t>
  </si>
  <si>
    <t>Promedio de % Cumplimiento</t>
  </si>
  <si>
    <t>% CUMP PROM</t>
  </si>
  <si>
    <t>PAI</t>
  </si>
  <si>
    <t>ETV</t>
  </si>
  <si>
    <t>SALUD MENTAL</t>
  </si>
  <si>
    <t>EDA-IRA</t>
  </si>
  <si>
    <t>VIG EPIDEM</t>
  </si>
  <si>
    <t>LAB DEP</t>
  </si>
  <si>
    <t>ZOONOSIS</t>
  </si>
  <si>
    <t>SSR</t>
  </si>
  <si>
    <t>NUTRICION</t>
  </si>
  <si>
    <t>DNT</t>
  </si>
  <si>
    <t>CALIDAD</t>
  </si>
  <si>
    <t>PIC</t>
  </si>
  <si>
    <t>SAC</t>
  </si>
  <si>
    <t>TB-LEPRA</t>
  </si>
  <si>
    <t>ECNT</t>
  </si>
  <si>
    <t>RIAS</t>
  </si>
  <si>
    <t>REGISTROS</t>
  </si>
  <si>
    <t>SALUD AMBIENTAL</t>
  </si>
  <si>
    <t>VARIOS</t>
  </si>
  <si>
    <t>LEPRA</t>
  </si>
  <si>
    <t>prestaciondeservicios@magdalena.gov.co</t>
  </si>
  <si>
    <t>EMERGENCIAS Y DESASTRES</t>
  </si>
  <si>
    <t>AREA</t>
  </si>
  <si>
    <t>REVISADO</t>
  </si>
  <si>
    <t>EDA - IRA</t>
  </si>
  <si>
    <t>LABORATORIO</t>
  </si>
  <si>
    <t>VIGILANCIA</t>
  </si>
  <si>
    <t>SOGC</t>
  </si>
  <si>
    <t>TB - LEPRA</t>
  </si>
  <si>
    <t xml:space="preserve">REGISTROS </t>
  </si>
  <si>
    <t>MEDICAMENTOS</t>
  </si>
  <si>
    <t>RESPONSABLE</t>
  </si>
  <si>
    <t>VINCULACION</t>
  </si>
  <si>
    <t>KARINA PAOLA ALFARO ROJAS</t>
  </si>
  <si>
    <t>JORGE LUIS LASCANO TORRES</t>
  </si>
  <si>
    <t>JUAN DIEGO DE LA ROSA RAMOS</t>
  </si>
  <si>
    <t>LIZETH AGUIRRE JUVINAO</t>
  </si>
  <si>
    <t>MARY LUZ CABRERA</t>
  </si>
  <si>
    <t>DAYANNA MARIA ESMERAL ALZAMORA</t>
  </si>
  <si>
    <t>MAYRA ALEJANDRA PALACIOS CASTAÑEDA</t>
  </si>
  <si>
    <t>LUIS GUILLERMO BORJA MENDOZA</t>
  </si>
  <si>
    <t>DUBER SANCHEZ</t>
  </si>
  <si>
    <t>ANGELICA MARIA LOPEZ</t>
  </si>
  <si>
    <t>DINA LUZ SERRANO RODELO</t>
  </si>
  <si>
    <t>MARIA HILARIA GONZALEZ</t>
  </si>
  <si>
    <t xml:space="preserve">1)PRESTACION Y DESARROLLO DE SERVICIOS – 2)SALUD PUBLICA – 3)ASEGURAMIENTO – 4)EMERGENCIAS Y DESASTRES – 5)RIESGOS LABORALES – 6)PROMOCION SOCIAL – 7)PLANEACION. </t>
  </si>
  <si>
    <t>NOMBRE</t>
  </si>
  <si>
    <t>PERSTACION Y DESARROLLO DE SERVICIOS</t>
  </si>
  <si>
    <t>RICARDO RUIZ</t>
  </si>
  <si>
    <t>ARIADGNA CASTRO MORALES</t>
  </si>
  <si>
    <t>JUAN SIERRA AVENDAÑO</t>
  </si>
  <si>
    <t>LIDER DE AREA</t>
  </si>
  <si>
    <t>PLANTA</t>
  </si>
  <si>
    <t>CONTRATISTA</t>
  </si>
  <si>
    <t>PROCESO</t>
  </si>
  <si>
    <t>REGISTROS PROFESIONALES</t>
  </si>
  <si>
    <t>AUDITORIA DE CUENTAS</t>
  </si>
  <si>
    <t>Perfiles y criterios par cancelaciones o reprogramaciones de actividades</t>
  </si>
  <si>
    <t>Actividades del PAS ligadas al contrato de gestión (operador externo)</t>
  </si>
  <si>
    <t>Listado de usuarios - perfiles - permisos (Completar datos de TH)</t>
  </si>
  <si>
    <t>Listado de insumos posibles requeridos (transporte - refrigerios - comunicaciones - etc)</t>
  </si>
  <si>
    <t xml:space="preserve">Confirmar fechas de inicio y finalización </t>
  </si>
  <si>
    <t>450-153166-23</t>
  </si>
  <si>
    <t>RIESGOS LABORALES</t>
  </si>
  <si>
    <t>ANDRES JIMENEZ</t>
  </si>
  <si>
    <t>FECHA TERMINACION</t>
  </si>
  <si>
    <t>ACUMULADO 2026</t>
  </si>
  <si>
    <t>ENE</t>
  </si>
  <si>
    <t>FEB</t>
  </si>
  <si>
    <t>MAR</t>
  </si>
  <si>
    <t>TRIM I</t>
  </si>
  <si>
    <t>ABR</t>
  </si>
  <si>
    <t>MAY</t>
  </si>
  <si>
    <t>JUN</t>
  </si>
  <si>
    <t>TRIM II</t>
  </si>
  <si>
    <t>JUL</t>
  </si>
  <si>
    <t>AGO</t>
  </si>
  <si>
    <t>SEPT</t>
  </si>
  <si>
    <t>TRIM III</t>
  </si>
  <si>
    <t>EJECUCION FINAL 2026</t>
  </si>
  <si>
    <t>PROG</t>
  </si>
  <si>
    <t>EJEC</t>
  </si>
  <si>
    <t>% EJEC</t>
  </si>
  <si>
    <t>% EJEC ACUM</t>
  </si>
  <si>
    <t># ACT X EJECUTAR</t>
  </si>
  <si>
    <t>NOMBRE DEL REFERENTE</t>
  </si>
  <si>
    <t>REFERENTE</t>
  </si>
  <si>
    <t>% DE AVANCE A 31 DE AGOSTO</t>
  </si>
  <si>
    <t>REQUIERE PLAN DE CHOQUE</t>
  </si>
  <si>
    <t>LAURA VIVEROS</t>
  </si>
  <si>
    <t>PAPSIVI</t>
  </si>
  <si>
    <t>PURA CRISTINA ROMERO MALDONADO</t>
  </si>
  <si>
    <t>MARIA JOSE ARAGON</t>
  </si>
  <si>
    <t>LUZ MARY GARCIA AGUDELO</t>
  </si>
  <si>
    <t>MARIO MEJIA VIVES</t>
  </si>
  <si>
    <t>DORAINE GUERRERO</t>
  </si>
  <si>
    <t xml:space="preserve">SALUD BUCAL </t>
  </si>
  <si>
    <t>MARYLUZ CABRERA</t>
  </si>
  <si>
    <t>RES 3280 PYMS</t>
  </si>
  <si>
    <t>CLAUDIA CHI</t>
  </si>
  <si>
    <t>MIRIAM EUSSE</t>
  </si>
  <si>
    <t>CELIA PABON</t>
  </si>
  <si>
    <t>SSR- RMP</t>
  </si>
  <si>
    <t xml:space="preserve">Yeraldin Loresmi Freyle Britto </t>
  </si>
  <si>
    <t>ANDREA PALACIOS POLANIA</t>
  </si>
  <si>
    <t>JAIRO GAMARRA</t>
  </si>
  <si>
    <t>Yamina Del Carmen Yañez Pimienta</t>
  </si>
  <si>
    <t>TB</t>
  </si>
  <si>
    <t>MARLY SIERRA</t>
  </si>
  <si>
    <t>LAB DPTAL</t>
  </si>
  <si>
    <t>LEYDI JOHANA FLOREZ DUARTE</t>
  </si>
  <si>
    <t>LEIDI CONSTANZA CUELLAR GORDO</t>
  </si>
  <si>
    <t>RAFAEL GUSTAVO TAPIAS BUENDIA</t>
  </si>
  <si>
    <t>GESTION</t>
  </si>
  <si>
    <t>JADER CHARRIS</t>
  </si>
  <si>
    <t>CARLOS ANDRES ESCOBAR GUTIERREZ</t>
  </si>
  <si>
    <t xml:space="preserve">SALUD PUBLICA </t>
  </si>
  <si>
    <t>Confirmar entre SP y RL</t>
  </si>
  <si>
    <t>confirmar asignación</t>
  </si>
  <si>
    <t>% POR EJECUTAR</t>
  </si>
  <si>
    <t xml:space="preserve">EVALUACION PRIMER SEMESTRE 2026 </t>
  </si>
  <si>
    <t xml:space="preserve"> AVANCES JUL - AGO</t>
  </si>
  <si>
    <t>PLAN DE CHOQUE "100 DIAS"</t>
  </si>
  <si>
    <t>AIXA LEONOR AYALA QUIROZ</t>
  </si>
  <si>
    <t>YULISA YISEL PAVA VALENCIA</t>
  </si>
  <si>
    <t>CAMILO ANDRÉS GÓMEZ DÍAZ</t>
  </si>
  <si>
    <t xml:space="preserve">YOLENIS SUGEY PONZON MARTINEZ </t>
  </si>
  <si>
    <t>LAURA PATRICIA  HERNANDEZ PADILLA</t>
  </si>
  <si>
    <t xml:space="preserve">DARLING BERMUDEZ AGUAS </t>
  </si>
  <si>
    <t>GRECY MARGARITA SALAS PEREZ</t>
  </si>
  <si>
    <t>MARLON DAVID TORRIJOS ARDILA</t>
  </si>
  <si>
    <t>KEILA MILENA PEÑARREDONDA CANTILLO</t>
  </si>
  <si>
    <t>JOHANNA KATINA  VALENCIA ESCOBAR</t>
  </si>
  <si>
    <t>GUSTAVO ADOLFO  TERAN COTES</t>
  </si>
  <si>
    <t xml:space="preserve">VICTOR  MANUEL  BRICEÑO PEREZ </t>
  </si>
  <si>
    <t>SINDRY PAOLA  REBOLLEDO BARROS</t>
  </si>
  <si>
    <t>HERNAN BAUTISTA  OVALLE SEPULVEDA</t>
  </si>
  <si>
    <t>YINA MARCELA  PALMA YEPEZ</t>
  </si>
  <si>
    <t xml:space="preserve">NICOL MELISSA  LOPEZ VANEGAS </t>
  </si>
  <si>
    <t>MARLIN SOFIA SALAS PEREZ</t>
  </si>
  <si>
    <t xml:space="preserve">YERALDIN LORESMI FREYLE BRITTO </t>
  </si>
  <si>
    <t>YAMINA DEL CARMEN YAÑEZ PIMIENTA</t>
  </si>
  <si>
    <t>LABORATOIO DE SALUD PÚBLICA</t>
  </si>
  <si>
    <t>VIGILANCIA EPIDEMIOLOGICA</t>
  </si>
  <si>
    <t>META / ACTIVIDAD</t>
  </si>
  <si>
    <t>INDICADOR</t>
  </si>
  <si>
    <t>ENERO</t>
  </si>
  <si>
    <t>FEBRERO</t>
  </si>
  <si>
    <t xml:space="preserve">MARZO </t>
  </si>
  <si>
    <t>ABRIL</t>
  </si>
  <si>
    <t>MAYO</t>
  </si>
  <si>
    <t>RUBY PONCE</t>
  </si>
  <si>
    <t>SISTEMA OBLIGATORIO DE GARANTIA DE LA CALIDAD</t>
  </si>
  <si>
    <t>SERVICIO DE ATENCION AL CIUDADANO</t>
  </si>
  <si>
    <t>1.1</t>
  </si>
  <si>
    <t>1.2</t>
  </si>
  <si>
    <t>1.3</t>
  </si>
  <si>
    <t>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</si>
</sst>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mm\-dd\-yyyy"/>
    <numFmt numFmtId="166" formatCode="_-* #,##0_-;\-* #,##0_-;_-* &quot;-&quot;_-;_-@"/>
    <numFmt numFmtId="167" formatCode="dd\-mm\-yyyy"/>
    <numFmt numFmtId="168" formatCode="d/mm/yyyy;@"/>
  </numFmts>
  <fonts count="65" x14ac:knownFonts="1">
    <font>
      <sz val="11"/>
      <color theme="1"/>
      <name val="Calibri"/>
      <scheme val="minor"/>
    </font>
    <font>
      <sz val="11"/>
      <color theme="1"/>
      <name val="Calibri"/>
      <family val="2"/>
      <scheme val="minor"/>
    </font>
    <font>
      <sz val="11"/>
      <color theme="1"/>
      <name val="Calibri"/>
      <family val="2"/>
      <scheme val="minor"/>
    </font>
    <font>
      <b/>
      <sz val="11"/>
      <color theme="1"/>
      <name val="Arial"/>
      <family val="2"/>
    </font>
    <font>
      <sz val="11"/>
      <color theme="1"/>
      <name val="Arial"/>
      <family val="2"/>
    </font>
    <font>
      <b/>
      <sz val="12"/>
      <color theme="1"/>
      <name val="Arial"/>
      <family val="2"/>
    </font>
    <font>
      <sz val="12"/>
      <color theme="1"/>
      <name val="Arial"/>
      <family val="2"/>
    </font>
    <font>
      <sz val="11"/>
      <color theme="1"/>
      <name val="Calibri"/>
      <family val="2"/>
    </font>
    <font>
      <sz val="11"/>
      <color rgb="FF000000"/>
      <name val="Arial"/>
      <family val="2"/>
    </font>
    <font>
      <b/>
      <sz val="12"/>
      <color rgb="FF7F7F7F"/>
      <name val="Verdana"/>
      <family val="2"/>
    </font>
    <font>
      <sz val="11"/>
      <color rgb="FFFFFFFF"/>
      <name val="Calibri"/>
      <family val="2"/>
    </font>
    <font>
      <sz val="11"/>
      <color theme="0"/>
      <name val="Calibri"/>
      <family val="2"/>
    </font>
    <font>
      <b/>
      <sz val="14"/>
      <color theme="1"/>
      <name val="Arial"/>
      <family val="2"/>
    </font>
    <font>
      <b/>
      <sz val="14"/>
      <color rgb="FFFF0000"/>
      <name val="Arial"/>
      <family val="2"/>
    </font>
    <font>
      <b/>
      <sz val="12"/>
      <color rgb="FFFF0000"/>
      <name val="Arial"/>
      <family val="2"/>
    </font>
    <font>
      <b/>
      <sz val="12"/>
      <color rgb="FFFF0000"/>
      <name val="Calibri"/>
      <family val="2"/>
    </font>
    <font>
      <sz val="11"/>
      <name val="Calibri"/>
      <family val="2"/>
    </font>
    <font>
      <sz val="10"/>
      <color theme="1"/>
      <name val="Arial"/>
      <family val="2"/>
    </font>
    <font>
      <b/>
      <sz val="10"/>
      <color theme="1"/>
      <name val="Arial"/>
      <family val="2"/>
    </font>
    <font>
      <b/>
      <sz val="9"/>
      <color theme="1"/>
      <name val="Arial"/>
      <family val="2"/>
    </font>
    <font>
      <sz val="11"/>
      <color rgb="FF000000"/>
      <name val="Arial"/>
      <family val="2"/>
    </font>
    <font>
      <sz val="10"/>
      <color rgb="FF000000"/>
      <name val="Arial"/>
      <family val="2"/>
    </font>
    <font>
      <sz val="11"/>
      <color theme="1"/>
      <name val="Calibri"/>
      <family val="2"/>
      <scheme val="minor"/>
    </font>
    <font>
      <b/>
      <sz val="11"/>
      <color theme="1"/>
      <name val="Calibri"/>
      <family val="2"/>
    </font>
    <font>
      <sz val="12"/>
      <color rgb="FF000000"/>
      <name val="Aptos"/>
      <family val="2"/>
    </font>
    <font>
      <sz val="8"/>
      <color theme="1"/>
      <name val="Arial"/>
      <family val="2"/>
    </font>
    <font>
      <sz val="10"/>
      <color theme="1"/>
      <name val="Arial Narrow"/>
      <family val="2"/>
    </font>
    <font>
      <u/>
      <sz val="11"/>
      <color theme="1"/>
      <name val="Arial"/>
      <family val="2"/>
    </font>
    <font>
      <b/>
      <sz val="11"/>
      <color rgb="FF000000"/>
      <name val="Arial"/>
      <family val="2"/>
    </font>
    <font>
      <u/>
      <sz val="11"/>
      <color rgb="FF000000"/>
      <name val="Arial"/>
      <family val="2"/>
    </font>
    <font>
      <b/>
      <u/>
      <sz val="11"/>
      <color rgb="FF000000"/>
      <name val="Arial"/>
      <family val="2"/>
    </font>
    <font>
      <b/>
      <sz val="8"/>
      <color theme="1"/>
      <name val="Arial"/>
      <family val="2"/>
    </font>
    <font>
      <b/>
      <sz val="8"/>
      <color theme="4"/>
      <name val="Arial"/>
      <family val="2"/>
    </font>
    <font>
      <sz val="10"/>
      <name val="Arial"/>
      <family val="2"/>
    </font>
    <font>
      <sz val="11"/>
      <color rgb="FFFF0000"/>
      <name val="Calibri"/>
      <family val="2"/>
      <scheme val="minor"/>
    </font>
    <font>
      <b/>
      <sz val="11"/>
      <color theme="1"/>
      <name val="Calibri"/>
      <family val="2"/>
      <scheme val="minor"/>
    </font>
    <font>
      <b/>
      <sz val="10"/>
      <color theme="1"/>
      <name val="Arial"/>
      <family val="2"/>
    </font>
    <font>
      <b/>
      <sz val="13"/>
      <color theme="1"/>
      <name val="Calibri"/>
      <family val="2"/>
    </font>
    <font>
      <b/>
      <sz val="11"/>
      <color rgb="FF000000"/>
      <name val="Arial"/>
      <family val="2"/>
    </font>
    <font>
      <b/>
      <sz val="10"/>
      <color theme="1"/>
      <name val="Calibri"/>
      <family val="2"/>
      <scheme val="minor"/>
    </font>
    <font>
      <sz val="10"/>
      <color theme="1"/>
      <name val="Calibri"/>
      <family val="2"/>
      <scheme val="minor"/>
    </font>
    <font>
      <b/>
      <sz val="12"/>
      <color rgb="FFFF0000"/>
      <name val="Calibri"/>
      <family val="2"/>
      <scheme val="minor"/>
    </font>
    <font>
      <b/>
      <sz val="10"/>
      <color rgb="FFFF0000"/>
      <name val="Arial"/>
      <family val="2"/>
    </font>
    <font>
      <sz val="11"/>
      <color rgb="FFFF0000"/>
      <name val="Arial"/>
      <family val="2"/>
    </font>
    <font>
      <sz val="10"/>
      <color rgb="FFFF0000"/>
      <name val="Arial"/>
      <family val="2"/>
    </font>
    <font>
      <b/>
      <sz val="12"/>
      <color theme="1"/>
      <name val="Calibri"/>
      <family val="2"/>
      <scheme val="minor"/>
    </font>
    <font>
      <b/>
      <sz val="10"/>
      <color rgb="FFFF0000"/>
      <name val="Calibri"/>
      <family val="2"/>
      <scheme val="minor"/>
    </font>
    <font>
      <sz val="10"/>
      <color rgb="FFFF0000"/>
      <name val="Calibri"/>
      <family val="2"/>
      <scheme val="minor"/>
    </font>
    <font>
      <sz val="10"/>
      <color rgb="FFFF0000"/>
      <name val="Calibri"/>
      <family val="2"/>
      <scheme val="major"/>
    </font>
    <font>
      <u/>
      <sz val="11"/>
      <color theme="10"/>
      <name val="Calibri"/>
      <family val="2"/>
      <scheme val="minor"/>
    </font>
    <font>
      <sz val="9"/>
      <color indexed="81"/>
      <name val="Tahoma"/>
      <family val="2"/>
    </font>
    <font>
      <b/>
      <sz val="9"/>
      <color indexed="81"/>
      <name val="Tahoma"/>
      <family val="2"/>
    </font>
    <font>
      <sz val="10"/>
      <color theme="1"/>
      <name val="Arial"/>
      <family val="2"/>
    </font>
    <font>
      <sz val="9"/>
      <color indexed="81"/>
      <name val="Tahoma"/>
    </font>
    <font>
      <b/>
      <sz val="9"/>
      <color indexed="81"/>
      <name val="Tahoma"/>
    </font>
    <font>
      <sz val="8"/>
      <color theme="1"/>
      <name val="Calibri"/>
      <family val="2"/>
      <scheme val="minor"/>
    </font>
    <font>
      <sz val="8"/>
      <name val="Calibri"/>
      <family val="2"/>
      <scheme val="minor"/>
    </font>
    <font>
      <b/>
      <sz val="8"/>
      <name val="Calibri"/>
      <family val="2"/>
      <scheme val="minor"/>
    </font>
    <font>
      <sz val="11"/>
      <name val="Calibri"/>
      <family val="2"/>
      <scheme val="minor"/>
    </font>
    <font>
      <b/>
      <sz val="8"/>
      <color theme="0"/>
      <name val="Calibri"/>
      <family val="2"/>
      <scheme val="minor"/>
    </font>
    <font>
      <b/>
      <sz val="8"/>
      <color theme="1"/>
      <name val="Aptos Display"/>
      <family val="2"/>
    </font>
    <font>
      <b/>
      <sz val="14"/>
      <color theme="1"/>
      <name val="Calibri"/>
      <family val="2"/>
      <scheme val="minor"/>
    </font>
    <font>
      <sz val="8"/>
      <color rgb="FF000000"/>
      <name val="Arial"/>
      <family val="2"/>
    </font>
    <font>
      <b/>
      <sz val="8"/>
      <color theme="1"/>
      <name val="Calibri"/>
      <family val="2"/>
      <scheme val="minor"/>
    </font>
    <font>
      <b/>
      <sz val="11"/>
      <color rgb="FFFF0000"/>
      <name val="Calibri"/>
      <family val="2"/>
      <scheme val="minor"/>
    </font>
  </fonts>
  <fills count="35">
    <fill>
      <patternFill patternType="none"/>
    </fill>
    <fill>
      <patternFill patternType="gray125"/>
    </fill>
    <fill>
      <patternFill patternType="solid">
        <fgColor rgb="FFAEABAB"/>
        <bgColor rgb="FFAEABAB"/>
      </patternFill>
    </fill>
    <fill>
      <patternFill patternType="solid">
        <fgColor theme="0"/>
        <bgColor theme="0"/>
      </patternFill>
    </fill>
    <fill>
      <patternFill patternType="solid">
        <fgColor rgb="FFDEEAF6"/>
        <bgColor rgb="FFDEEAF6"/>
      </patternFill>
    </fill>
    <fill>
      <patternFill patternType="solid">
        <fgColor rgb="FFFFFFFF"/>
        <bgColor rgb="FFFFFFFF"/>
      </patternFill>
    </fill>
    <fill>
      <patternFill patternType="solid">
        <fgColor theme="9"/>
        <bgColor theme="9"/>
      </patternFill>
    </fill>
    <fill>
      <patternFill patternType="solid">
        <fgColor rgb="FFC5E0B3"/>
        <bgColor rgb="FFC5E0B3"/>
      </patternFill>
    </fill>
    <fill>
      <patternFill patternType="solid">
        <fgColor rgb="FFBDD6EE"/>
        <bgColor rgb="FFBDD6EE"/>
      </patternFill>
    </fill>
    <fill>
      <patternFill patternType="solid">
        <fgColor rgb="FFF5BB93"/>
        <bgColor rgb="FFF5BB93"/>
      </patternFill>
    </fill>
    <fill>
      <patternFill patternType="solid">
        <fgColor rgb="FFFEF2CB"/>
        <bgColor rgb="FFFEF2CB"/>
      </patternFill>
    </fill>
    <fill>
      <patternFill patternType="solid">
        <fgColor rgb="FF92D050"/>
        <bgColor rgb="FF92D050"/>
      </patternFill>
    </fill>
    <fill>
      <patternFill patternType="solid">
        <fgColor rgb="FFFFFF00"/>
        <bgColor indexed="64"/>
      </patternFill>
    </fill>
    <fill>
      <patternFill patternType="solid">
        <fgColor rgb="FF00B0F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FFFF00"/>
        <bgColor rgb="FFDEEAF6"/>
      </patternFill>
    </fill>
    <fill>
      <patternFill patternType="solid">
        <fgColor rgb="FF92D050"/>
        <bgColor indexed="64"/>
      </patternFill>
    </fill>
    <fill>
      <patternFill patternType="solid">
        <fgColor rgb="FFFF0000"/>
        <bgColor indexed="64"/>
      </patternFill>
    </fill>
    <fill>
      <patternFill patternType="solid">
        <fgColor rgb="FF0070C0"/>
        <bgColor indexed="64"/>
      </patternFill>
    </fill>
    <fill>
      <patternFill patternType="solid">
        <fgColor theme="5" tint="0.79998168889431442"/>
        <bgColor rgb="FFDEEAF6"/>
      </patternFill>
    </fill>
    <fill>
      <patternFill patternType="solid">
        <fgColor theme="5" tint="0.59999389629810485"/>
        <bgColor rgb="FFDEEAF6"/>
      </patternFill>
    </fill>
    <fill>
      <patternFill patternType="solid">
        <fgColor theme="4" tint="0.59999389629810485"/>
        <bgColor rgb="FFDEEAF6"/>
      </patternFill>
    </fill>
    <fill>
      <patternFill patternType="solid">
        <fgColor rgb="FFFFC000"/>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rgb="FFA307F9"/>
        <bgColor indexed="64"/>
      </patternFill>
    </fill>
    <fill>
      <patternFill patternType="solid">
        <fgColor theme="7"/>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7" tint="0.59999389629810485"/>
        <bgColor rgb="FFDEEAF6"/>
      </patternFill>
    </fill>
    <fill>
      <patternFill patternType="solid">
        <fgColor theme="7" tint="0.79998168889431442"/>
        <bgColor rgb="FFDEEAF6"/>
      </patternFill>
    </fill>
    <fill>
      <patternFill patternType="solid">
        <fgColor theme="8" tint="0.39997558519241921"/>
        <bgColor rgb="FFDEEAF6"/>
      </patternFill>
    </fill>
    <fill>
      <patternFill patternType="solid">
        <fgColor rgb="FFFF0000"/>
        <bgColor rgb="FFFFFFFF"/>
      </patternFill>
    </fill>
  </fills>
  <borders count="48">
    <border>
      <left/>
      <right/>
      <top/>
      <bottom/>
      <diagonal/>
    </border>
    <border>
      <left style="thin">
        <color rgb="FF000000"/>
      </left>
      <right style="thin">
        <color rgb="FF000000"/>
      </right>
      <top style="thin">
        <color rgb="FF000000"/>
      </top>
      <bottom style="thin">
        <color rgb="FF000000"/>
      </bottom>
      <diagonal/>
    </border>
    <border>
      <left/>
      <right/>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right style="thin">
        <color rgb="FF000000"/>
      </right>
      <top/>
      <bottom style="thin">
        <color rgb="FF000000"/>
      </bottom>
      <diagonal/>
    </border>
    <border>
      <left/>
      <right style="thin">
        <color rgb="FF000000"/>
      </right>
      <top/>
      <bottom/>
      <diagonal/>
    </border>
    <border>
      <left/>
      <right/>
      <top/>
      <bottom style="thin">
        <color rgb="FF000000"/>
      </bottom>
      <diagonal/>
    </border>
    <border>
      <left style="thin">
        <color rgb="FF000000"/>
      </left>
      <right style="thin">
        <color rgb="FF000000"/>
      </right>
      <top style="medium">
        <color rgb="FF000000"/>
      </top>
      <bottom/>
      <diagonal/>
    </border>
    <border>
      <left style="thin">
        <color rgb="FF000000"/>
      </left>
      <right style="thin">
        <color rgb="FF000000"/>
      </right>
      <top style="medium">
        <color rgb="FF000000"/>
      </top>
      <bottom style="thin">
        <color rgb="FF000000"/>
      </bottom>
      <diagonal/>
    </border>
    <border>
      <left style="thin">
        <color rgb="FF000000"/>
      </left>
      <right style="thin">
        <color rgb="FF000000"/>
      </right>
      <top/>
      <bottom/>
      <diagonal/>
    </border>
    <border>
      <left style="thin">
        <color rgb="FF000000"/>
      </left>
      <right style="thin">
        <color rgb="FF000000"/>
      </right>
      <top/>
      <bottom style="medium">
        <color rgb="FF000000"/>
      </bottom>
      <diagonal/>
    </border>
    <border>
      <left style="thin">
        <color rgb="FF000000"/>
      </left>
      <right style="thin">
        <color rgb="FF000000"/>
      </right>
      <top style="thin">
        <color rgb="FF000000"/>
      </top>
      <bottom style="medium">
        <color rgb="FF000000"/>
      </bottom>
      <diagonal/>
    </border>
    <border>
      <left style="thin">
        <color indexed="65"/>
      </left>
      <right/>
      <top style="thin">
        <color indexed="65"/>
      </top>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rgb="FF999999"/>
      </top>
      <bottom/>
      <diagonal/>
    </border>
    <border>
      <left/>
      <right style="thin">
        <color rgb="FF999999"/>
      </right>
      <top style="thin">
        <color rgb="FF999999"/>
      </top>
      <bottom/>
      <diagonal/>
    </border>
    <border>
      <left style="thin">
        <color rgb="FF999999"/>
      </left>
      <right/>
      <top style="thin">
        <color rgb="FF999999"/>
      </top>
      <bottom style="thin">
        <color rgb="FF999999"/>
      </bottom>
      <diagonal/>
    </border>
    <border>
      <left/>
      <right/>
      <top style="thin">
        <color rgb="FF999999"/>
      </top>
      <bottom style="thin">
        <color rgb="FF999999"/>
      </bottom>
      <diagonal/>
    </border>
    <border>
      <left/>
      <right style="thin">
        <color rgb="FF999999"/>
      </right>
      <top style="thin">
        <color rgb="FF999999"/>
      </top>
      <bottom style="thin">
        <color rgb="FF999999"/>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diagonal/>
    </border>
    <border>
      <left/>
      <right style="thin">
        <color indexed="64"/>
      </right>
      <top/>
      <bottom/>
      <diagonal/>
    </border>
  </borders>
  <cellStyleXfs count="3">
    <xf numFmtId="0" fontId="0" fillId="0" borderId="0"/>
    <xf numFmtId="9" fontId="22" fillId="0" borderId="0" applyFont="0" applyFill="0" applyBorder="0" applyAlignment="0" applyProtection="0"/>
    <xf numFmtId="0" fontId="49" fillId="0" borderId="0" applyNumberFormat="0" applyFill="0" applyBorder="0" applyAlignment="0" applyProtection="0"/>
  </cellStyleXfs>
  <cellXfs count="322">
    <xf numFmtId="0" fontId="0" fillId="0" borderId="0" xfId="0"/>
    <xf numFmtId="0" fontId="3" fillId="0" borderId="1" xfId="0" applyFont="1" applyBorder="1"/>
    <xf numFmtId="0" fontId="3" fillId="0" borderId="1" xfId="0" applyFont="1" applyBorder="1" applyAlignment="1">
      <alignment vertical="top" wrapText="1"/>
    </xf>
    <xf numFmtId="0" fontId="4" fillId="0" borderId="1" xfId="0" applyFont="1" applyBorder="1"/>
    <xf numFmtId="0" fontId="5" fillId="0" borderId="1" xfId="0" applyFont="1" applyBorder="1"/>
    <xf numFmtId="0" fontId="3" fillId="2" borderId="1" xfId="0" applyFont="1" applyFill="1" applyBorder="1" applyAlignment="1">
      <alignment wrapText="1"/>
    </xf>
    <xf numFmtId="0" fontId="3" fillId="2" borderId="1" xfId="0" applyFont="1" applyFill="1" applyBorder="1" applyAlignment="1">
      <alignment horizontal="center" vertical="top" wrapText="1"/>
    </xf>
    <xf numFmtId="0" fontId="4" fillId="0" borderId="1" xfId="0" applyFont="1" applyBorder="1" applyAlignment="1">
      <alignment horizontal="left" vertical="center" wrapText="1"/>
    </xf>
    <xf numFmtId="0" fontId="4" fillId="0" borderId="1" xfId="0" applyFont="1" applyBorder="1" applyAlignment="1">
      <alignment vertical="center" wrapText="1"/>
    </xf>
    <xf numFmtId="0" fontId="6" fillId="0" borderId="1" xfId="0" applyFont="1" applyBorder="1" applyAlignment="1">
      <alignment wrapText="1"/>
    </xf>
    <xf numFmtId="0" fontId="7" fillId="0" borderId="1" xfId="0" applyFont="1" applyBorder="1" applyAlignment="1">
      <alignment vertical="center" wrapText="1"/>
    </xf>
    <xf numFmtId="0" fontId="7" fillId="0" borderId="0" xfId="0" applyFont="1" applyAlignment="1">
      <alignment vertical="center" wrapText="1"/>
    </xf>
    <xf numFmtId="0" fontId="7" fillId="0" borderId="1" xfId="0" applyFont="1" applyBorder="1"/>
    <xf numFmtId="0" fontId="4" fillId="0" borderId="1" xfId="0" applyFont="1" applyBorder="1" applyAlignment="1">
      <alignment horizontal="left" vertical="top" wrapText="1"/>
    </xf>
    <xf numFmtId="0" fontId="7" fillId="0" borderId="1" xfId="0" applyFont="1" applyBorder="1" applyAlignment="1">
      <alignment vertical="center"/>
    </xf>
    <xf numFmtId="0" fontId="8" fillId="0" borderId="1" xfId="0" applyFont="1" applyBorder="1" applyAlignment="1">
      <alignment wrapText="1"/>
    </xf>
    <xf numFmtId="0" fontId="8" fillId="0" borderId="1" xfId="0" applyFont="1" applyBorder="1" applyAlignment="1">
      <alignment vertical="top" wrapText="1"/>
    </xf>
    <xf numFmtId="0" fontId="8" fillId="0" borderId="1" xfId="0" applyFont="1" applyBorder="1" applyAlignment="1">
      <alignment vertical="center" wrapText="1"/>
    </xf>
    <xf numFmtId="0" fontId="7" fillId="0" borderId="0" xfId="0" applyFont="1" applyAlignment="1">
      <alignment horizontal="left" vertical="top"/>
    </xf>
    <xf numFmtId="0" fontId="7" fillId="3" borderId="2" xfId="0" applyFont="1" applyFill="1" applyBorder="1"/>
    <xf numFmtId="0" fontId="9" fillId="3" borderId="2" xfId="0" applyFont="1" applyFill="1" applyBorder="1"/>
    <xf numFmtId="0" fontId="12" fillId="0" borderId="3" xfId="0" applyFont="1" applyBorder="1" applyAlignment="1">
      <alignment horizontal="right" vertical="center"/>
    </xf>
    <xf numFmtId="0" fontId="13" fillId="0" borderId="3" xfId="0" applyFont="1" applyBorder="1" applyAlignment="1">
      <alignment horizontal="left" vertical="center"/>
    </xf>
    <xf numFmtId="0" fontId="12" fillId="0" borderId="3" xfId="0" applyFont="1" applyBorder="1" applyAlignment="1">
      <alignment horizontal="left" vertical="center"/>
    </xf>
    <xf numFmtId="0" fontId="14" fillId="0" borderId="3" xfId="0" applyFont="1" applyBorder="1" applyAlignment="1">
      <alignment horizontal="left"/>
    </xf>
    <xf numFmtId="164" fontId="17" fillId="0" borderId="1" xfId="0" applyNumberFormat="1" applyFont="1" applyBorder="1" applyAlignment="1">
      <alignment horizontal="center" vertical="center"/>
    </xf>
    <xf numFmtId="0" fontId="20" fillId="0" borderId="1" xfId="0" applyFont="1" applyBorder="1" applyAlignment="1">
      <alignment horizontal="left" vertical="top"/>
    </xf>
    <xf numFmtId="0" fontId="20" fillId="0" borderId="1" xfId="0" applyFont="1" applyBorder="1" applyAlignment="1">
      <alignment horizontal="center"/>
    </xf>
    <xf numFmtId="164" fontId="17" fillId="5" borderId="1" xfId="0" applyNumberFormat="1" applyFont="1" applyFill="1" applyBorder="1" applyAlignment="1">
      <alignment horizontal="center" vertical="center"/>
    </xf>
    <xf numFmtId="9" fontId="17" fillId="5" borderId="1" xfId="0" applyNumberFormat="1" applyFont="1" applyFill="1" applyBorder="1" applyAlignment="1">
      <alignment horizontal="center" vertical="center"/>
    </xf>
    <xf numFmtId="0" fontId="22" fillId="0" borderId="0" xfId="0" applyFont="1"/>
    <xf numFmtId="0" fontId="7" fillId="0" borderId="0" xfId="0" applyFont="1"/>
    <xf numFmtId="0" fontId="7" fillId="6" borderId="2" xfId="0" applyFont="1" applyFill="1" applyBorder="1"/>
    <xf numFmtId="164" fontId="7" fillId="0" borderId="0" xfId="0" applyNumberFormat="1" applyFont="1"/>
    <xf numFmtId="0" fontId="23" fillId="7" borderId="1" xfId="0" applyFont="1" applyFill="1" applyBorder="1" applyAlignment="1">
      <alignment horizontal="center"/>
    </xf>
    <xf numFmtId="0" fontId="18" fillId="8" borderId="1" xfId="0" applyFont="1" applyFill="1" applyBorder="1" applyAlignment="1">
      <alignment wrapText="1"/>
    </xf>
    <xf numFmtId="0" fontId="17" fillId="0" borderId="1" xfId="0" applyFont="1" applyBorder="1" applyAlignment="1">
      <alignment wrapText="1"/>
    </xf>
    <xf numFmtId="0" fontId="17" fillId="0" borderId="0" xfId="0" applyFont="1" applyAlignment="1">
      <alignment wrapText="1"/>
    </xf>
    <xf numFmtId="0" fontId="17" fillId="8" borderId="1" xfId="0" applyFont="1" applyFill="1" applyBorder="1" applyAlignment="1">
      <alignment wrapText="1"/>
    </xf>
    <xf numFmtId="0" fontId="18" fillId="8" borderId="2" xfId="0" applyFont="1" applyFill="1" applyBorder="1" applyAlignment="1">
      <alignment wrapText="1"/>
    </xf>
    <xf numFmtId="0" fontId="18" fillId="8" borderId="2" xfId="0" applyFont="1" applyFill="1" applyBorder="1" applyAlignment="1">
      <alignment horizontal="center" wrapText="1"/>
    </xf>
    <xf numFmtId="49" fontId="17" fillId="0" borderId="1" xfId="0" applyNumberFormat="1" applyFont="1" applyBorder="1" applyAlignment="1">
      <alignment horizontal="center" wrapText="1"/>
    </xf>
    <xf numFmtId="0" fontId="17" fillId="0" borderId="1" xfId="0" applyFont="1" applyBorder="1" applyAlignment="1">
      <alignment horizontal="left" wrapText="1"/>
    </xf>
    <xf numFmtId="0" fontId="17" fillId="0" borderId="1" xfId="0" applyFont="1" applyBorder="1" applyAlignment="1">
      <alignment horizontal="center" wrapText="1"/>
    </xf>
    <xf numFmtId="0" fontId="17" fillId="0" borderId="4" xfId="0" applyFont="1" applyBorder="1" applyAlignment="1">
      <alignment wrapText="1"/>
    </xf>
    <xf numFmtId="49" fontId="17" fillId="0" borderId="0" xfId="0" applyNumberFormat="1" applyFont="1" applyAlignment="1">
      <alignment horizontal="center" wrapText="1"/>
    </xf>
    <xf numFmtId="0" fontId="17" fillId="0" borderId="0" xfId="0" applyFont="1"/>
    <xf numFmtId="49" fontId="17" fillId="0" borderId="1" xfId="0" applyNumberFormat="1" applyFont="1" applyBorder="1" applyAlignment="1">
      <alignment wrapText="1"/>
    </xf>
    <xf numFmtId="0" fontId="24" fillId="9" borderId="1" xfId="0" applyFont="1" applyFill="1" applyBorder="1" applyAlignment="1">
      <alignment vertical="center" wrapText="1"/>
    </xf>
    <xf numFmtId="0" fontId="25" fillId="0" borderId="0" xfId="0" applyFont="1" applyAlignment="1">
      <alignment wrapText="1"/>
    </xf>
    <xf numFmtId="0" fontId="7" fillId="10" borderId="1" xfId="0" applyFont="1" applyFill="1" applyBorder="1" applyAlignment="1">
      <alignment wrapText="1"/>
    </xf>
    <xf numFmtId="0" fontId="7" fillId="9" borderId="1" xfId="0" applyFont="1" applyFill="1" applyBorder="1" applyAlignment="1">
      <alignment wrapText="1"/>
    </xf>
    <xf numFmtId="0" fontId="7" fillId="10" borderId="2" xfId="0" applyFont="1" applyFill="1" applyBorder="1" applyAlignment="1">
      <alignment wrapText="1"/>
    </xf>
    <xf numFmtId="0" fontId="7" fillId="9" borderId="2" xfId="0" applyFont="1" applyFill="1" applyBorder="1" applyAlignment="1">
      <alignment wrapText="1"/>
    </xf>
    <xf numFmtId="0" fontId="7" fillId="0" borderId="0" xfId="0" applyFont="1" applyAlignment="1">
      <alignment wrapText="1"/>
    </xf>
    <xf numFmtId="0" fontId="21" fillId="0" borderId="0" xfId="0" applyFont="1" applyAlignment="1">
      <alignment vertical="center" wrapText="1"/>
    </xf>
    <xf numFmtId="0" fontId="7" fillId="0" borderId="0" xfId="0" applyFont="1" applyAlignment="1">
      <alignment vertical="center"/>
    </xf>
    <xf numFmtId="49" fontId="17" fillId="0" borderId="17" xfId="0" applyNumberFormat="1" applyFont="1" applyBorder="1" applyAlignment="1">
      <alignment horizontal="center" vertical="center"/>
    </xf>
    <xf numFmtId="49" fontId="17" fillId="0" borderId="1" xfId="0" applyNumberFormat="1" applyFont="1" applyBorder="1" applyAlignment="1">
      <alignment horizontal="center" vertical="center"/>
    </xf>
    <xf numFmtId="49" fontId="17" fillId="0" borderId="20" xfId="0" applyNumberFormat="1" applyFont="1" applyBorder="1" applyAlignment="1">
      <alignment horizontal="center" vertical="center"/>
    </xf>
    <xf numFmtId="0" fontId="24" fillId="0" borderId="1" xfId="0" applyFont="1" applyBorder="1" applyAlignment="1">
      <alignment vertical="center" wrapText="1"/>
    </xf>
    <xf numFmtId="0" fontId="25" fillId="0" borderId="1" xfId="0" applyFont="1" applyBorder="1" applyAlignment="1">
      <alignment wrapText="1"/>
    </xf>
    <xf numFmtId="0" fontId="7" fillId="0" borderId="1" xfId="0" applyFont="1" applyBorder="1" applyAlignment="1">
      <alignment wrapText="1"/>
    </xf>
    <xf numFmtId="0" fontId="12" fillId="11" borderId="1" xfId="0" applyFont="1" applyFill="1" applyBorder="1" applyAlignment="1">
      <alignment horizontal="center" wrapText="1"/>
    </xf>
    <xf numFmtId="0" fontId="26" fillId="0" borderId="17" xfId="0" applyFont="1" applyBorder="1" applyAlignment="1">
      <alignment horizontal="center" vertical="center"/>
    </xf>
    <xf numFmtId="0" fontId="26" fillId="0" borderId="17" xfId="0" applyFont="1" applyBorder="1" applyAlignment="1">
      <alignment vertical="center"/>
    </xf>
    <xf numFmtId="0" fontId="26" fillId="0" borderId="17" xfId="0" applyFont="1" applyBorder="1" applyAlignment="1">
      <alignment vertical="center" wrapText="1"/>
    </xf>
    <xf numFmtId="0" fontId="26" fillId="0" borderId="17" xfId="0" applyFont="1" applyBorder="1" applyAlignment="1">
      <alignment horizontal="left" vertical="center" wrapText="1"/>
    </xf>
    <xf numFmtId="0" fontId="26" fillId="0" borderId="1" xfId="0" applyFont="1" applyBorder="1" applyAlignment="1">
      <alignment horizontal="center" vertical="center"/>
    </xf>
    <xf numFmtId="0" fontId="26" fillId="0" borderId="1" xfId="0" applyFont="1" applyBorder="1" applyAlignment="1">
      <alignment vertical="center"/>
    </xf>
    <xf numFmtId="0" fontId="26" fillId="0" borderId="1" xfId="0" applyFont="1" applyBorder="1" applyAlignment="1">
      <alignment vertical="center" wrapText="1"/>
    </xf>
    <xf numFmtId="0" fontId="26" fillId="0" borderId="20" xfId="0" applyFont="1" applyBorder="1" applyAlignment="1">
      <alignment horizontal="center" vertical="center"/>
    </xf>
    <xf numFmtId="0" fontId="26" fillId="0" borderId="20" xfId="0" applyFont="1" applyBorder="1" applyAlignment="1">
      <alignment vertical="center"/>
    </xf>
    <xf numFmtId="0" fontId="26" fillId="0" borderId="20" xfId="0" applyFont="1" applyBorder="1" applyAlignment="1">
      <alignment vertical="center" wrapText="1"/>
    </xf>
    <xf numFmtId="0" fontId="26" fillId="0" borderId="17" xfId="0" applyFont="1" applyBorder="1" applyAlignment="1">
      <alignment horizontal="left" vertical="center"/>
    </xf>
    <xf numFmtId="0" fontId="26" fillId="0" borderId="1" xfId="0" applyFont="1" applyBorder="1" applyAlignment="1">
      <alignment horizontal="left" vertical="center"/>
    </xf>
    <xf numFmtId="0" fontId="26" fillId="0" borderId="1" xfId="0" applyFont="1" applyBorder="1" applyAlignment="1">
      <alignment horizontal="left" vertical="center" wrapText="1"/>
    </xf>
    <xf numFmtId="0" fontId="26" fillId="0" borderId="1" xfId="0" applyFont="1" applyBorder="1" applyAlignment="1">
      <alignment horizontal="left" vertical="top" wrapText="1"/>
    </xf>
    <xf numFmtId="0" fontId="26" fillId="0" borderId="20" xfId="0" applyFont="1" applyBorder="1" applyAlignment="1">
      <alignment horizontal="left" vertical="center"/>
    </xf>
    <xf numFmtId="0" fontId="26" fillId="0" borderId="20" xfId="0" applyFont="1" applyBorder="1" applyAlignment="1">
      <alignment horizontal="left" vertical="center" wrapText="1"/>
    </xf>
    <xf numFmtId="0" fontId="17" fillId="0" borderId="17" xfId="0" applyFont="1" applyBorder="1" applyAlignment="1">
      <alignment horizontal="center" vertical="center"/>
    </xf>
    <xf numFmtId="0" fontId="17" fillId="0" borderId="1" xfId="0" applyFont="1" applyBorder="1" applyAlignment="1">
      <alignment horizontal="center" vertical="center"/>
    </xf>
    <xf numFmtId="0" fontId="0" fillId="0" borderId="21" xfId="0" applyBorder="1"/>
    <xf numFmtId="0" fontId="22" fillId="0" borderId="1" xfId="0" applyFont="1" applyBorder="1" applyAlignment="1">
      <alignment vertical="center"/>
    </xf>
    <xf numFmtId="0" fontId="18" fillId="4" borderId="5" xfId="0" applyFont="1" applyFill="1" applyBorder="1" applyAlignment="1">
      <alignment horizontal="center" vertical="center"/>
    </xf>
    <xf numFmtId="0" fontId="17" fillId="0" borderId="11" xfId="0" applyFont="1" applyBorder="1" applyAlignment="1">
      <alignment horizontal="center" vertical="center"/>
    </xf>
    <xf numFmtId="0" fontId="8" fillId="0" borderId="1" xfId="0" applyFont="1" applyBorder="1" applyAlignment="1">
      <alignment horizontal="left" vertical="top"/>
    </xf>
    <xf numFmtId="0" fontId="17" fillId="0" borderId="11" xfId="0" applyFont="1" applyBorder="1" applyAlignment="1">
      <alignment horizontal="left" vertical="top"/>
    </xf>
    <xf numFmtId="0" fontId="17" fillId="0" borderId="11" xfId="0" applyFont="1" applyBorder="1" applyAlignment="1">
      <alignment vertical="top"/>
    </xf>
    <xf numFmtId="0" fontId="17" fillId="0" borderId="4" xfId="0" applyFont="1" applyBorder="1" applyAlignment="1">
      <alignment horizontal="center" vertical="center"/>
    </xf>
    <xf numFmtId="165" fontId="17" fillId="0" borderId="1" xfId="0" applyNumberFormat="1" applyFont="1" applyBorder="1" applyAlignment="1">
      <alignment horizontal="center" vertical="top"/>
    </xf>
    <xf numFmtId="0" fontId="17" fillId="0" borderId="1" xfId="0" applyFont="1" applyBorder="1" applyAlignment="1">
      <alignment vertical="top"/>
    </xf>
    <xf numFmtId="0" fontId="17" fillId="0" borderId="1" xfId="0" applyFont="1" applyBorder="1" applyAlignment="1">
      <alignment horizontal="center" vertical="top"/>
    </xf>
    <xf numFmtId="39" fontId="17" fillId="0" borderId="1" xfId="0" applyNumberFormat="1" applyFont="1" applyBorder="1" applyAlignment="1">
      <alignment vertical="top"/>
    </xf>
    <xf numFmtId="4" fontId="17" fillId="0" borderId="1" xfId="0" applyNumberFormat="1" applyFont="1" applyBorder="1" applyAlignment="1">
      <alignment vertical="top"/>
    </xf>
    <xf numFmtId="0" fontId="20" fillId="12" borderId="1" xfId="0" applyFont="1" applyFill="1" applyBorder="1" applyAlignment="1">
      <alignment horizontal="left" vertical="top"/>
    </xf>
    <xf numFmtId="3" fontId="17" fillId="0" borderId="1" xfId="0" applyNumberFormat="1" applyFont="1" applyBorder="1" applyAlignment="1">
      <alignment vertical="top"/>
    </xf>
    <xf numFmtId="0" fontId="17" fillId="14" borderId="11" xfId="0" applyFont="1" applyFill="1" applyBorder="1" applyAlignment="1">
      <alignment horizontal="left" vertical="top"/>
    </xf>
    <xf numFmtId="0" fontId="17" fillId="13" borderId="11" xfId="0" applyFont="1" applyFill="1" applyBorder="1" applyAlignment="1">
      <alignment horizontal="left" vertical="top"/>
    </xf>
    <xf numFmtId="0" fontId="21" fillId="5" borderId="11" xfId="0" applyFont="1" applyFill="1" applyBorder="1" applyAlignment="1">
      <alignment horizontal="left" vertical="top"/>
    </xf>
    <xf numFmtId="9" fontId="17" fillId="0" borderId="1" xfId="0" applyNumberFormat="1" applyFont="1" applyBorder="1" applyAlignment="1">
      <alignment horizontal="center" vertical="center"/>
    </xf>
    <xf numFmtId="0" fontId="18" fillId="0" borderId="11" xfId="0" applyFont="1" applyBorder="1" applyAlignment="1">
      <alignment horizontal="left" vertical="top"/>
    </xf>
    <xf numFmtId="166" fontId="17" fillId="0" borderId="11" xfId="0" applyNumberFormat="1" applyFont="1" applyBorder="1" applyAlignment="1">
      <alignment horizontal="left" vertical="top"/>
    </xf>
    <xf numFmtId="167" fontId="17" fillId="0" borderId="1" xfId="0" applyNumberFormat="1" applyFont="1" applyBorder="1" applyAlignment="1">
      <alignment horizontal="center" vertical="top"/>
    </xf>
    <xf numFmtId="0" fontId="20" fillId="0" borderId="1" xfId="0" applyFont="1" applyBorder="1" applyAlignment="1">
      <alignment horizontal="center" vertical="top"/>
    </xf>
    <xf numFmtId="39" fontId="17" fillId="14" borderId="1" xfId="0" applyNumberFormat="1" applyFont="1" applyFill="1" applyBorder="1" applyAlignment="1">
      <alignment vertical="top"/>
    </xf>
    <xf numFmtId="0" fontId="20" fillId="5" borderId="1" xfId="0" applyFont="1" applyFill="1" applyBorder="1" applyAlignment="1">
      <alignment horizontal="left" vertical="top"/>
    </xf>
    <xf numFmtId="0" fontId="20" fillId="0" borderId="1" xfId="0" applyFont="1" applyBorder="1" applyAlignment="1">
      <alignment vertical="top"/>
    </xf>
    <xf numFmtId="0" fontId="20" fillId="5" borderId="1" xfId="0" applyFont="1" applyFill="1" applyBorder="1" applyAlignment="1">
      <alignment horizontal="left"/>
    </xf>
    <xf numFmtId="0" fontId="8" fillId="0" borderId="13" xfId="0" applyFont="1" applyBorder="1" applyAlignment="1">
      <alignment horizontal="left"/>
    </xf>
    <xf numFmtId="0" fontId="8" fillId="0" borderId="1" xfId="0" applyFont="1" applyBorder="1" applyAlignment="1">
      <alignment horizontal="center"/>
    </xf>
    <xf numFmtId="0" fontId="20" fillId="0" borderId="13" xfId="0" applyFont="1" applyBorder="1" applyAlignment="1">
      <alignment horizontal="left" vertical="top"/>
    </xf>
    <xf numFmtId="0" fontId="8" fillId="5" borderId="13" xfId="0" applyFont="1" applyFill="1" applyBorder="1" applyAlignment="1">
      <alignment horizontal="center"/>
    </xf>
    <xf numFmtId="0" fontId="8" fillId="0" borderId="14" xfId="0" applyFont="1" applyBorder="1" applyAlignment="1">
      <alignment horizontal="left"/>
    </xf>
    <xf numFmtId="0" fontId="8" fillId="0" borderId="14" xfId="0" applyFont="1" applyBorder="1" applyAlignment="1">
      <alignment horizontal="center"/>
    </xf>
    <xf numFmtId="0" fontId="20" fillId="0" borderId="15" xfId="0" applyFont="1" applyBorder="1" applyAlignment="1">
      <alignment horizontal="left" vertical="top"/>
    </xf>
    <xf numFmtId="0" fontId="20" fillId="0" borderId="7" xfId="0" applyFont="1" applyBorder="1" applyAlignment="1">
      <alignment horizontal="left" vertical="top"/>
    </xf>
    <xf numFmtId="0" fontId="17" fillId="0" borderId="1" xfId="0" applyFont="1" applyBorder="1" applyAlignment="1">
      <alignment vertical="center"/>
    </xf>
    <xf numFmtId="0" fontId="0" fillId="0" borderId="0" xfId="0" applyAlignment="1">
      <alignment horizontal="center"/>
    </xf>
    <xf numFmtId="0" fontId="7" fillId="0" borderId="3" xfId="0" applyFont="1" applyBorder="1" applyAlignment="1">
      <alignment horizontal="center" vertical="center"/>
    </xf>
    <xf numFmtId="0" fontId="15" fillId="0" borderId="3" xfId="0" applyFont="1" applyBorder="1" applyAlignment="1">
      <alignment horizontal="center" vertical="center"/>
    </xf>
    <xf numFmtId="0" fontId="17" fillId="4" borderId="5" xfId="0" applyFont="1" applyFill="1" applyBorder="1" applyAlignment="1">
      <alignment horizontal="center" vertical="center"/>
    </xf>
    <xf numFmtId="0" fontId="20" fillId="0" borderId="1" xfId="0" applyFont="1" applyBorder="1" applyAlignment="1">
      <alignment horizontal="center" vertical="center"/>
    </xf>
    <xf numFmtId="0" fontId="20" fillId="5" borderId="1" xfId="0" applyFont="1" applyFill="1" applyBorder="1" applyAlignment="1">
      <alignment horizontal="center" vertical="center"/>
    </xf>
    <xf numFmtId="0" fontId="8" fillId="5" borderId="1" xfId="0" applyFont="1" applyFill="1" applyBorder="1" applyAlignment="1">
      <alignment horizontal="center" vertical="center"/>
    </xf>
    <xf numFmtId="0" fontId="8" fillId="0" borderId="1" xfId="0" applyFont="1" applyBorder="1" applyAlignment="1">
      <alignment horizontal="center" vertical="center"/>
    </xf>
    <xf numFmtId="0" fontId="0" fillId="0" borderId="0" xfId="0" applyAlignment="1">
      <alignment horizontal="center" vertical="center"/>
    </xf>
    <xf numFmtId="0" fontId="36" fillId="0" borderId="1" xfId="0" applyFont="1" applyBorder="1" applyAlignment="1">
      <alignment horizontal="center" vertical="center"/>
    </xf>
    <xf numFmtId="164" fontId="36" fillId="0" borderId="1" xfId="0" applyNumberFormat="1" applyFont="1" applyBorder="1" applyAlignment="1">
      <alignment horizontal="center" vertical="center"/>
    </xf>
    <xf numFmtId="0" fontId="35" fillId="0" borderId="0" xfId="0" applyFont="1"/>
    <xf numFmtId="0" fontId="36" fillId="0" borderId="11" xfId="0" applyFont="1" applyBorder="1" applyAlignment="1">
      <alignment horizontal="center" vertical="top"/>
    </xf>
    <xf numFmtId="1" fontId="36" fillId="0" borderId="11" xfId="0" applyNumberFormat="1" applyFont="1" applyBorder="1" applyAlignment="1">
      <alignment horizontal="center" vertical="top"/>
    </xf>
    <xf numFmtId="166" fontId="36" fillId="0" borderId="11" xfId="0" applyNumberFormat="1" applyFont="1" applyBorder="1" applyAlignment="1">
      <alignment horizontal="center" vertical="top"/>
    </xf>
    <xf numFmtId="0" fontId="38" fillId="0" borderId="1" xfId="0" applyFont="1" applyBorder="1" applyAlignment="1">
      <alignment horizontal="center" vertical="top"/>
    </xf>
    <xf numFmtId="0" fontId="38" fillId="5" borderId="1" xfId="0" applyFont="1" applyFill="1" applyBorder="1" applyAlignment="1">
      <alignment horizontal="center" vertical="top"/>
    </xf>
    <xf numFmtId="0" fontId="38" fillId="0" borderId="12" xfId="0" applyFont="1" applyBorder="1" applyAlignment="1">
      <alignment horizontal="center"/>
    </xf>
    <xf numFmtId="0" fontId="38" fillId="0" borderId="22" xfId="0" applyFont="1" applyBorder="1" applyAlignment="1">
      <alignment horizontal="center"/>
    </xf>
    <xf numFmtId="0" fontId="36" fillId="15" borderId="1" xfId="0" applyFont="1" applyFill="1" applyBorder="1" applyAlignment="1">
      <alignment horizontal="center" vertical="center"/>
    </xf>
    <xf numFmtId="0" fontId="39" fillId="0" borderId="22" xfId="0" applyFont="1" applyBorder="1" applyAlignment="1">
      <alignment horizontal="center" vertical="center" wrapText="1"/>
    </xf>
    <xf numFmtId="0" fontId="0" fillId="0" borderId="0" xfId="0" pivotButton="1"/>
    <xf numFmtId="0" fontId="40" fillId="0" borderId="0" xfId="0" applyFont="1" applyAlignment="1">
      <alignment horizontal="center" vertical="center"/>
    </xf>
    <xf numFmtId="0" fontId="42" fillId="4" borderId="5" xfId="0" applyFont="1" applyFill="1" applyBorder="1" applyAlignment="1">
      <alignment horizontal="center" vertical="center"/>
    </xf>
    <xf numFmtId="0" fontId="42" fillId="4" borderId="5" xfId="0" applyFont="1" applyFill="1" applyBorder="1" applyAlignment="1">
      <alignment horizontal="center" vertical="center" wrapText="1"/>
    </xf>
    <xf numFmtId="0" fontId="40" fillId="0" borderId="22" xfId="0" applyFont="1" applyBorder="1" applyAlignment="1">
      <alignment horizontal="center" vertical="center"/>
    </xf>
    <xf numFmtId="9" fontId="40" fillId="0" borderId="22" xfId="1" applyFont="1" applyBorder="1" applyAlignment="1">
      <alignment horizontal="center" vertical="center"/>
    </xf>
    <xf numFmtId="9" fontId="0" fillId="16" borderId="22" xfId="1" applyFont="1" applyFill="1" applyBorder="1" applyAlignment="1">
      <alignment horizontal="center" vertical="center"/>
    </xf>
    <xf numFmtId="9" fontId="0" fillId="16" borderId="22" xfId="1" applyFont="1" applyFill="1" applyBorder="1" applyAlignment="1">
      <alignment horizontal="center"/>
    </xf>
    <xf numFmtId="9" fontId="35" fillId="0" borderId="0" xfId="1" applyFont="1" applyAlignment="1">
      <alignment horizontal="center" vertical="center"/>
    </xf>
    <xf numFmtId="1" fontId="36" fillId="15" borderId="1" xfId="0" applyNumberFormat="1" applyFont="1" applyFill="1" applyBorder="1" applyAlignment="1">
      <alignment horizontal="center" vertical="center"/>
    </xf>
    <xf numFmtId="3" fontId="43" fillId="0" borderId="1" xfId="0" applyNumberFormat="1" applyFont="1" applyBorder="1" applyAlignment="1">
      <alignment horizontal="center" vertical="top"/>
    </xf>
    <xf numFmtId="3" fontId="44" fillId="0" borderId="1" xfId="0" applyNumberFormat="1" applyFont="1" applyBorder="1" applyAlignment="1">
      <alignment horizontal="center" vertical="top"/>
    </xf>
    <xf numFmtId="0" fontId="44" fillId="0" borderId="1" xfId="0" applyFont="1" applyBorder="1" applyAlignment="1">
      <alignment horizontal="center" vertical="top"/>
    </xf>
    <xf numFmtId="0" fontId="34" fillId="0" borderId="0" xfId="0" applyFont="1" applyAlignment="1">
      <alignment horizontal="center"/>
    </xf>
    <xf numFmtId="0" fontId="18" fillId="17" borderId="8" xfId="0" applyFont="1" applyFill="1" applyBorder="1" applyAlignment="1">
      <alignment horizontal="center" vertical="center"/>
    </xf>
    <xf numFmtId="0" fontId="46" fillId="0" borderId="22" xfId="0" applyFont="1" applyBorder="1" applyAlignment="1">
      <alignment horizontal="center" vertical="center" wrapText="1"/>
    </xf>
    <xf numFmtId="0" fontId="47" fillId="0" borderId="22" xfId="0" applyFont="1" applyBorder="1" applyAlignment="1">
      <alignment horizontal="left" vertical="center"/>
    </xf>
    <xf numFmtId="3" fontId="48" fillId="0" borderId="22" xfId="0" applyNumberFormat="1" applyFont="1" applyBorder="1" applyAlignment="1">
      <alignment vertical="top"/>
    </xf>
    <xf numFmtId="0" fontId="47" fillId="0" borderId="0" xfId="0" applyFont="1" applyAlignment="1">
      <alignment horizontal="left" vertical="center"/>
    </xf>
    <xf numFmtId="0" fontId="47" fillId="12" borderId="22" xfId="0" applyFont="1" applyFill="1" applyBorder="1" applyAlignment="1">
      <alignment horizontal="left" vertical="center"/>
    </xf>
    <xf numFmtId="0" fontId="40" fillId="12" borderId="22" xfId="0" applyFont="1" applyFill="1" applyBorder="1" applyAlignment="1">
      <alignment horizontal="center" vertical="center"/>
    </xf>
    <xf numFmtId="0" fontId="49" fillId="0" borderId="0" xfId="2" applyAlignment="1">
      <alignment horizontal="center" vertical="center"/>
    </xf>
    <xf numFmtId="0" fontId="44" fillId="0" borderId="11" xfId="0" applyFont="1" applyBorder="1" applyAlignment="1">
      <alignment horizontal="left" vertical="top"/>
    </xf>
    <xf numFmtId="0" fontId="39" fillId="18" borderId="22" xfId="0" applyFont="1" applyFill="1" applyBorder="1" applyAlignment="1">
      <alignment horizontal="center" vertical="center" wrapText="1"/>
    </xf>
    <xf numFmtId="0" fontId="52" fillId="0" borderId="12" xfId="0" applyFont="1" applyBorder="1" applyAlignment="1">
      <alignment vertical="top"/>
    </xf>
    <xf numFmtId="0" fontId="17" fillId="0" borderId="2" xfId="0" applyFont="1" applyBorder="1" applyAlignment="1">
      <alignment horizontal="center" vertical="center"/>
    </xf>
    <xf numFmtId="0" fontId="17" fillId="0" borderId="12" xfId="0" applyFont="1" applyBorder="1" applyAlignment="1">
      <alignment vertical="top"/>
    </xf>
    <xf numFmtId="0" fontId="17" fillId="19" borderId="12" xfId="0" applyFont="1" applyFill="1" applyBorder="1" applyAlignment="1">
      <alignment vertical="top"/>
    </xf>
    <xf numFmtId="0" fontId="0" fillId="19" borderId="0" xfId="0" applyFill="1" applyAlignment="1">
      <alignment horizontal="center" vertical="center"/>
    </xf>
    <xf numFmtId="0" fontId="56" fillId="0" borderId="22" xfId="0" applyFont="1" applyBorder="1" applyAlignment="1">
      <alignment horizontal="center" vertical="center"/>
    </xf>
    <xf numFmtId="0" fontId="58" fillId="0" borderId="0" xfId="0" applyFont="1"/>
    <xf numFmtId="0" fontId="59" fillId="20" borderId="22" xfId="0" applyFont="1" applyFill="1" applyBorder="1" applyAlignment="1">
      <alignment horizontal="center" vertical="center" wrapText="1"/>
    </xf>
    <xf numFmtId="0" fontId="60" fillId="0" borderId="0" xfId="0" applyFont="1" applyAlignment="1">
      <alignment horizontal="center" vertical="center" wrapText="1"/>
    </xf>
    <xf numFmtId="0" fontId="57" fillId="18" borderId="22" xfId="0" applyFont="1" applyFill="1" applyBorder="1" applyAlignment="1">
      <alignment horizontal="center" vertical="center"/>
    </xf>
    <xf numFmtId="0" fontId="57" fillId="12" borderId="22" xfId="0" applyFont="1" applyFill="1" applyBorder="1" applyAlignment="1">
      <alignment horizontal="center" vertical="center"/>
    </xf>
    <xf numFmtId="0" fontId="55" fillId="0" borderId="0" xfId="0" applyFont="1" applyAlignment="1">
      <alignment horizontal="center" vertical="center"/>
    </xf>
    <xf numFmtId="0" fontId="55" fillId="0" borderId="0" xfId="0" applyFont="1"/>
    <xf numFmtId="0" fontId="55" fillId="0" borderId="22" xfId="0" applyFont="1" applyBorder="1" applyAlignment="1">
      <alignment horizontal="center" vertical="center"/>
    </xf>
    <xf numFmtId="0" fontId="55" fillId="0" borderId="22" xfId="0" applyFont="1" applyBorder="1" applyAlignment="1">
      <alignment horizontal="left" vertical="center"/>
    </xf>
    <xf numFmtId="0" fontId="61" fillId="0" borderId="0" xfId="0" applyFont="1" applyAlignment="1">
      <alignment horizontal="center" vertical="center"/>
    </xf>
    <xf numFmtId="0" fontId="2" fillId="0" borderId="0" xfId="0" applyFont="1" applyAlignment="1">
      <alignment horizontal="center" vertical="center"/>
    </xf>
    <xf numFmtId="3" fontId="44" fillId="13" borderId="1" xfId="0" applyNumberFormat="1" applyFont="1" applyFill="1" applyBorder="1" applyAlignment="1">
      <alignment horizontal="center" vertical="top"/>
    </xf>
    <xf numFmtId="168" fontId="59" fillId="20" borderId="22" xfId="0" applyNumberFormat="1" applyFont="1" applyFill="1" applyBorder="1" applyAlignment="1">
      <alignment horizontal="center" vertical="center" wrapText="1"/>
    </xf>
    <xf numFmtId="168" fontId="57" fillId="18" borderId="22" xfId="0" applyNumberFormat="1" applyFont="1" applyFill="1" applyBorder="1" applyAlignment="1">
      <alignment horizontal="center" vertical="center"/>
    </xf>
    <xf numFmtId="168" fontId="57" fillId="12" borderId="22" xfId="0" applyNumberFormat="1" applyFont="1" applyFill="1" applyBorder="1" applyAlignment="1">
      <alignment horizontal="center" vertical="center"/>
    </xf>
    <xf numFmtId="168" fontId="56" fillId="0" borderId="22" xfId="0" applyNumberFormat="1" applyFont="1" applyBorder="1" applyAlignment="1">
      <alignment horizontal="center" vertical="center"/>
    </xf>
    <xf numFmtId="168" fontId="58" fillId="0" borderId="0" xfId="0" applyNumberFormat="1" applyFont="1"/>
    <xf numFmtId="0" fontId="7" fillId="0" borderId="3" xfId="0" applyFont="1" applyBorder="1"/>
    <xf numFmtId="0" fontId="17" fillId="4" borderId="5" xfId="0" applyFont="1" applyFill="1" applyBorder="1"/>
    <xf numFmtId="0" fontId="25" fillId="0" borderId="11" xfId="0" applyFont="1" applyBorder="1" applyAlignment="1">
      <alignment horizontal="center" vertical="center"/>
    </xf>
    <xf numFmtId="0" fontId="62" fillId="0" borderId="14" xfId="0" applyFont="1" applyBorder="1" applyAlignment="1">
      <alignment horizontal="center" vertical="center"/>
    </xf>
    <xf numFmtId="0" fontId="62" fillId="0" borderId="1" xfId="0" applyFont="1" applyBorder="1" applyAlignment="1">
      <alignment horizontal="center" vertical="center"/>
    </xf>
    <xf numFmtId="1" fontId="25" fillId="12" borderId="11" xfId="0" applyNumberFormat="1" applyFont="1" applyFill="1" applyBorder="1" applyAlignment="1">
      <alignment horizontal="center" vertical="top"/>
    </xf>
    <xf numFmtId="0" fontId="25" fillId="12" borderId="11" xfId="0" applyFont="1" applyFill="1" applyBorder="1" applyAlignment="1">
      <alignment horizontal="center" vertical="top"/>
    </xf>
    <xf numFmtId="9" fontId="25" fillId="15" borderId="11" xfId="1" applyFont="1" applyFill="1" applyBorder="1" applyAlignment="1">
      <alignment horizontal="center" vertical="top"/>
    </xf>
    <xf numFmtId="0" fontId="25" fillId="15" borderId="11" xfId="0" applyFont="1" applyFill="1" applyBorder="1" applyAlignment="1">
      <alignment horizontal="center" vertical="top"/>
    </xf>
    <xf numFmtId="1" fontId="25" fillId="15" borderId="11" xfId="0" applyNumberFormat="1" applyFont="1" applyFill="1" applyBorder="1" applyAlignment="1">
      <alignment horizontal="center" vertical="top"/>
    </xf>
    <xf numFmtId="1" fontId="31" fillId="15" borderId="11" xfId="0" applyNumberFormat="1" applyFont="1" applyFill="1" applyBorder="1" applyAlignment="1">
      <alignment horizontal="center" vertical="top"/>
    </xf>
    <xf numFmtId="1" fontId="25" fillId="0" borderId="11" xfId="0" applyNumberFormat="1" applyFont="1" applyBorder="1" applyAlignment="1">
      <alignment horizontal="center" vertical="top"/>
    </xf>
    <xf numFmtId="0" fontId="25" fillId="0" borderId="11" xfId="0" applyFont="1" applyBorder="1" applyAlignment="1">
      <alignment horizontal="center" vertical="top"/>
    </xf>
    <xf numFmtId="9" fontId="31" fillId="15" borderId="11" xfId="1" applyFont="1" applyFill="1" applyBorder="1" applyAlignment="1">
      <alignment horizontal="center" vertical="top"/>
    </xf>
    <xf numFmtId="0" fontId="10" fillId="0" borderId="0" xfId="0" applyFont="1"/>
    <xf numFmtId="0" fontId="11" fillId="0" borderId="0" xfId="0" applyFont="1"/>
    <xf numFmtId="0" fontId="37" fillId="0" borderId="3" xfId="0" applyFont="1" applyBorder="1"/>
    <xf numFmtId="0" fontId="7" fillId="0" borderId="4" xfId="0" applyFont="1" applyBorder="1"/>
    <xf numFmtId="0" fontId="36" fillId="4" borderId="5" xfId="0" applyFont="1" applyFill="1" applyBorder="1"/>
    <xf numFmtId="0" fontId="18" fillId="4" borderId="8" xfId="0" applyFont="1" applyFill="1" applyBorder="1" applyAlignment="1">
      <alignment horizontal="center" vertical="center"/>
    </xf>
    <xf numFmtId="0" fontId="18" fillId="4" borderId="9" xfId="0" applyFont="1" applyFill="1" applyBorder="1" applyAlignment="1">
      <alignment horizontal="center" vertical="center"/>
    </xf>
    <xf numFmtId="0" fontId="36" fillId="4" borderId="8" xfId="0" applyFont="1" applyFill="1" applyBorder="1" applyAlignment="1">
      <alignment horizontal="center" vertical="center"/>
    </xf>
    <xf numFmtId="0" fontId="18" fillId="4" borderId="10" xfId="0" applyFont="1" applyFill="1" applyBorder="1" applyAlignment="1">
      <alignment horizontal="center" vertical="center" textRotation="90"/>
    </xf>
    <xf numFmtId="0" fontId="18" fillId="4" borderId="1" xfId="0" applyFont="1" applyFill="1" applyBorder="1" applyAlignment="1">
      <alignment horizontal="center" vertical="center" textRotation="90"/>
    </xf>
    <xf numFmtId="0" fontId="36" fillId="4" borderId="1" xfId="0" applyFont="1" applyFill="1" applyBorder="1" applyAlignment="1">
      <alignment horizontal="center" vertical="center"/>
    </xf>
    <xf numFmtId="0" fontId="19" fillId="4" borderId="1" xfId="0" applyFont="1" applyFill="1" applyBorder="1" applyAlignment="1">
      <alignment horizontal="center" vertical="center"/>
    </xf>
    <xf numFmtId="0" fontId="18" fillId="4" borderId="1" xfId="0" applyFont="1" applyFill="1" applyBorder="1" applyAlignment="1">
      <alignment horizontal="center" vertical="center"/>
    </xf>
    <xf numFmtId="0" fontId="18" fillId="4" borderId="23" xfId="0" applyFont="1" applyFill="1" applyBorder="1" applyAlignment="1">
      <alignment horizontal="center" vertical="center"/>
    </xf>
    <xf numFmtId="0" fontId="18" fillId="17" borderId="22" xfId="0" applyFont="1" applyFill="1" applyBorder="1" applyAlignment="1">
      <alignment horizontal="center" vertical="center"/>
    </xf>
    <xf numFmtId="0" fontId="31" fillId="4" borderId="22" xfId="0" applyFont="1" applyFill="1" applyBorder="1" applyAlignment="1">
      <alignment horizontal="center" vertical="center" textRotation="90"/>
    </xf>
    <xf numFmtId="0" fontId="31" fillId="21" borderId="22" xfId="0" applyFont="1" applyFill="1" applyBorder="1" applyAlignment="1">
      <alignment horizontal="center" vertical="center" textRotation="90"/>
    </xf>
    <xf numFmtId="0" fontId="31" fillId="22" borderId="22" xfId="0" applyFont="1" applyFill="1" applyBorder="1" applyAlignment="1">
      <alignment horizontal="center" vertical="center" textRotation="90"/>
    </xf>
    <xf numFmtId="0" fontId="31" fillId="23" borderId="22" xfId="0" applyFont="1" applyFill="1" applyBorder="1" applyAlignment="1">
      <alignment horizontal="center" vertical="center" textRotation="90"/>
    </xf>
    <xf numFmtId="0" fontId="31" fillId="15" borderId="1" xfId="0" applyFont="1" applyFill="1" applyBorder="1" applyAlignment="1">
      <alignment horizontal="center" vertical="center"/>
    </xf>
    <xf numFmtId="0" fontId="25" fillId="0" borderId="1" xfId="0" applyFont="1" applyBorder="1" applyAlignment="1">
      <alignment horizontal="center" vertical="center"/>
    </xf>
    <xf numFmtId="1" fontId="25" fillId="12" borderId="11" xfId="0" applyNumberFormat="1" applyFont="1" applyFill="1" applyBorder="1" applyAlignment="1">
      <alignment horizontal="center" vertical="center"/>
    </xf>
    <xf numFmtId="0" fontId="25" fillId="12" borderId="11" xfId="0" applyFont="1" applyFill="1" applyBorder="1" applyAlignment="1">
      <alignment horizontal="center" vertical="center"/>
    </xf>
    <xf numFmtId="9" fontId="25" fillId="15" borderId="11" xfId="1" applyFont="1" applyFill="1" applyBorder="1" applyAlignment="1">
      <alignment horizontal="center" vertical="center"/>
    </xf>
    <xf numFmtId="1" fontId="25" fillId="15" borderId="11" xfId="0" applyNumberFormat="1" applyFont="1" applyFill="1" applyBorder="1" applyAlignment="1">
      <alignment horizontal="center" vertical="center"/>
    </xf>
    <xf numFmtId="0" fontId="25" fillId="15" borderId="11" xfId="0" applyFont="1" applyFill="1" applyBorder="1" applyAlignment="1">
      <alignment horizontal="center" vertical="center"/>
    </xf>
    <xf numFmtId="1" fontId="31" fillId="15" borderId="11" xfId="0" applyNumberFormat="1" applyFont="1" applyFill="1" applyBorder="1" applyAlignment="1">
      <alignment horizontal="center" vertical="center"/>
    </xf>
    <xf numFmtId="1" fontId="25" fillId="0" borderId="11" xfId="0" applyNumberFormat="1" applyFont="1" applyBorder="1" applyAlignment="1">
      <alignment horizontal="center" vertical="center"/>
    </xf>
    <xf numFmtId="9" fontId="31" fillId="15" borderId="11" xfId="1" applyFont="1" applyFill="1" applyBorder="1" applyAlignment="1">
      <alignment horizontal="center" vertical="center"/>
    </xf>
    <xf numFmtId="0" fontId="17" fillId="0" borderId="11" xfId="0" applyFont="1" applyBorder="1" applyAlignment="1">
      <alignment horizontal="left" vertical="top" wrapText="1"/>
    </xf>
    <xf numFmtId="0" fontId="0" fillId="0" borderId="0" xfId="0" applyAlignment="1">
      <alignment wrapText="1"/>
    </xf>
    <xf numFmtId="0" fontId="2" fillId="18" borderId="0" xfId="0" applyFont="1" applyFill="1" applyAlignment="1">
      <alignment horizontal="center" vertical="center"/>
    </xf>
    <xf numFmtId="0" fontId="0" fillId="18" borderId="0" xfId="0" applyFill="1" applyAlignment="1">
      <alignment horizontal="center" vertical="center"/>
    </xf>
    <xf numFmtId="0" fontId="18" fillId="17" borderId="22" xfId="0" applyFont="1" applyFill="1" applyBorder="1" applyAlignment="1">
      <alignment horizontal="center" vertical="center" wrapText="1"/>
    </xf>
    <xf numFmtId="0" fontId="63" fillId="0" borderId="22" xfId="0" applyFont="1" applyBorder="1" applyAlignment="1">
      <alignment horizontal="center" vertical="center"/>
    </xf>
    <xf numFmtId="0" fontId="63" fillId="0" borderId="22" xfId="0" applyFont="1" applyBorder="1" applyAlignment="1">
      <alignment horizontal="left" vertical="center"/>
    </xf>
    <xf numFmtId="0" fontId="63" fillId="0" borderId="28" xfId="0" applyFont="1" applyBorder="1" applyAlignment="1">
      <alignment horizontal="left" vertical="center"/>
    </xf>
    <xf numFmtId="0" fontId="55" fillId="0" borderId="28" xfId="0" applyFont="1" applyBorder="1" applyAlignment="1">
      <alignment horizontal="center" vertical="center"/>
    </xf>
    <xf numFmtId="0" fontId="55" fillId="0" borderId="28" xfId="0" applyFont="1" applyBorder="1" applyAlignment="1">
      <alignment horizontal="left" vertical="center"/>
    </xf>
    <xf numFmtId="0" fontId="63" fillId="25" borderId="22" xfId="0" applyFont="1" applyFill="1" applyBorder="1" applyAlignment="1">
      <alignment horizontal="center" vertical="center" wrapText="1"/>
    </xf>
    <xf numFmtId="0" fontId="20" fillId="19" borderId="1" xfId="0" applyFont="1" applyFill="1" applyBorder="1" applyAlignment="1">
      <alignment horizontal="left" vertical="top"/>
    </xf>
    <xf numFmtId="0" fontId="17" fillId="19" borderId="11" xfId="0" applyFont="1" applyFill="1" applyBorder="1" applyAlignment="1">
      <alignment horizontal="left" vertical="top"/>
    </xf>
    <xf numFmtId="0" fontId="17" fillId="19" borderId="11" xfId="0" applyFont="1" applyFill="1" applyBorder="1" applyAlignment="1">
      <alignment horizontal="left" vertical="top" wrapText="1"/>
    </xf>
    <xf numFmtId="0" fontId="25" fillId="13" borderId="11" xfId="0" applyFont="1" applyFill="1" applyBorder="1" applyAlignment="1">
      <alignment horizontal="center" vertical="center"/>
    </xf>
    <xf numFmtId="0" fontId="25" fillId="13" borderId="1" xfId="0" applyFont="1" applyFill="1" applyBorder="1" applyAlignment="1">
      <alignment horizontal="center" vertical="center"/>
    </xf>
    <xf numFmtId="0" fontId="17" fillId="13" borderId="11" xfId="0" applyFont="1" applyFill="1" applyBorder="1" applyAlignment="1">
      <alignment horizontal="center" vertical="center"/>
    </xf>
    <xf numFmtId="0" fontId="17" fillId="13" borderId="1" xfId="0" applyFont="1" applyFill="1" applyBorder="1" applyAlignment="1">
      <alignment horizontal="center" vertical="center"/>
    </xf>
    <xf numFmtId="0" fontId="25" fillId="26" borderId="1" xfId="0" applyFont="1" applyFill="1" applyBorder="1" applyAlignment="1">
      <alignment horizontal="center" vertical="center"/>
    </xf>
    <xf numFmtId="0" fontId="25" fillId="27" borderId="1" xfId="0" applyFont="1" applyFill="1" applyBorder="1" applyAlignment="1">
      <alignment horizontal="center" vertical="center"/>
    </xf>
    <xf numFmtId="0" fontId="17" fillId="27" borderId="1" xfId="0" applyFont="1" applyFill="1" applyBorder="1" applyAlignment="1">
      <alignment horizontal="center" vertical="center"/>
    </xf>
    <xf numFmtId="0" fontId="17" fillId="28" borderId="1" xfId="0" applyFont="1" applyFill="1" applyBorder="1" applyAlignment="1">
      <alignment horizontal="center" vertical="center"/>
    </xf>
    <xf numFmtId="0" fontId="17" fillId="29" borderId="1" xfId="0" applyFont="1" applyFill="1" applyBorder="1" applyAlignment="1">
      <alignment horizontal="center" vertical="center"/>
    </xf>
    <xf numFmtId="0" fontId="20" fillId="26" borderId="1" xfId="0" applyFont="1" applyFill="1" applyBorder="1" applyAlignment="1">
      <alignment horizontal="center" vertical="top"/>
    </xf>
    <xf numFmtId="0" fontId="0" fillId="0" borderId="2" xfId="0" applyBorder="1" applyAlignment="1">
      <alignment horizontal="left" vertical="center"/>
    </xf>
    <xf numFmtId="0" fontId="0" fillId="0" borderId="0" xfId="0" applyAlignment="1">
      <alignment horizontal="left" vertical="center"/>
    </xf>
    <xf numFmtId="1" fontId="25" fillId="24" borderId="11" xfId="0" applyNumberFormat="1" applyFont="1" applyFill="1" applyBorder="1" applyAlignment="1">
      <alignment horizontal="center" vertical="center"/>
    </xf>
    <xf numFmtId="0" fontId="25" fillId="24" borderId="11" xfId="0" applyFont="1" applyFill="1" applyBorder="1" applyAlignment="1">
      <alignment horizontal="center" vertical="center"/>
    </xf>
    <xf numFmtId="0" fontId="1" fillId="19" borderId="0" xfId="0" applyFont="1" applyFill="1" applyAlignment="1">
      <alignment horizontal="center" vertical="center"/>
    </xf>
    <xf numFmtId="0" fontId="17" fillId="18" borderId="18" xfId="0" applyFont="1" applyFill="1" applyBorder="1" applyAlignment="1">
      <alignment horizontal="center" vertical="center"/>
    </xf>
    <xf numFmtId="1" fontId="31" fillId="0" borderId="11" xfId="0" applyNumberFormat="1" applyFont="1" applyBorder="1" applyAlignment="1">
      <alignment horizontal="center" vertical="top"/>
    </xf>
    <xf numFmtId="9" fontId="64" fillId="0" borderId="22" xfId="1" applyFont="1" applyBorder="1" applyAlignment="1">
      <alignment horizontal="center" vertical="center"/>
    </xf>
    <xf numFmtId="1" fontId="31" fillId="25" borderId="11" xfId="0" applyNumberFormat="1" applyFont="1" applyFill="1" applyBorder="1" applyAlignment="1">
      <alignment horizontal="center" vertical="top"/>
    </xf>
    <xf numFmtId="0" fontId="31" fillId="31" borderId="22" xfId="0" applyFont="1" applyFill="1" applyBorder="1" applyAlignment="1">
      <alignment horizontal="center" vertical="center" textRotation="90"/>
    </xf>
    <xf numFmtId="0" fontId="31" fillId="32" borderId="22" xfId="0" applyFont="1" applyFill="1" applyBorder="1" applyAlignment="1">
      <alignment horizontal="center" vertical="center" textRotation="90"/>
    </xf>
    <xf numFmtId="0" fontId="31" fillId="33" borderId="22" xfId="0" applyFont="1" applyFill="1" applyBorder="1" applyAlignment="1">
      <alignment horizontal="center" vertical="center" textRotation="90"/>
    </xf>
    <xf numFmtId="1" fontId="31" fillId="26" borderId="11" xfId="0" applyNumberFormat="1" applyFont="1" applyFill="1" applyBorder="1" applyAlignment="1">
      <alignment horizontal="center" vertical="top"/>
    </xf>
    <xf numFmtId="0" fontId="21" fillId="34" borderId="11" xfId="0" applyFont="1" applyFill="1" applyBorder="1" applyAlignment="1">
      <alignment horizontal="left" vertical="top" wrapText="1"/>
    </xf>
    <xf numFmtId="0" fontId="33" fillId="19" borderId="11" xfId="0" applyFont="1" applyFill="1" applyBorder="1" applyAlignment="1">
      <alignment horizontal="left" vertical="top"/>
    </xf>
    <xf numFmtId="0" fontId="56" fillId="18" borderId="22" xfId="0" applyFont="1" applyFill="1" applyBorder="1" applyAlignment="1">
      <alignment horizontal="center" vertical="center"/>
    </xf>
    <xf numFmtId="168" fontId="56" fillId="18" borderId="22" xfId="0" applyNumberFormat="1" applyFont="1" applyFill="1" applyBorder="1" applyAlignment="1">
      <alignment horizontal="center" vertical="center"/>
    </xf>
    <xf numFmtId="0" fontId="18" fillId="4" borderId="9" xfId="0" applyFont="1" applyFill="1" applyBorder="1" applyAlignment="1">
      <alignment horizontal="center" vertical="center" wrapText="1"/>
    </xf>
    <xf numFmtId="0" fontId="42" fillId="4" borderId="9" xfId="0" applyFont="1" applyFill="1" applyBorder="1" applyAlignment="1">
      <alignment horizontal="center" vertical="center"/>
    </xf>
    <xf numFmtId="0" fontId="42" fillId="4" borderId="9" xfId="0" applyFont="1" applyFill="1" applyBorder="1" applyAlignment="1">
      <alignment horizontal="center" vertical="center" wrapText="1"/>
    </xf>
    <xf numFmtId="0" fontId="42" fillId="4" borderId="1" xfId="0" applyFont="1" applyFill="1" applyBorder="1" applyAlignment="1">
      <alignment horizontal="center" vertical="center"/>
    </xf>
    <xf numFmtId="0" fontId="42" fillId="4" borderId="1" xfId="0" applyFont="1" applyFill="1" applyBorder="1" applyAlignment="1">
      <alignment horizontal="center" vertical="center" wrapText="1"/>
    </xf>
    <xf numFmtId="0" fontId="0" fillId="0" borderId="29"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34" xfId="0" applyBorder="1"/>
    <xf numFmtId="0" fontId="0" fillId="0" borderId="35" xfId="0" applyBorder="1"/>
    <xf numFmtId="0" fontId="0" fillId="0" borderId="36" xfId="0" applyBorder="1"/>
    <xf numFmtId="0" fontId="0" fillId="0" borderId="29" xfId="0" pivotButton="1" applyBorder="1"/>
    <xf numFmtId="0" fontId="0" fillId="0" borderId="37" xfId="0" applyBorder="1"/>
    <xf numFmtId="0" fontId="0" fillId="0" borderId="38" xfId="0" applyBorder="1"/>
    <xf numFmtId="0" fontId="31" fillId="4" borderId="22" xfId="0" applyFont="1" applyFill="1" applyBorder="1" applyAlignment="1">
      <alignment horizontal="center" vertical="center"/>
    </xf>
    <xf numFmtId="0" fontId="31" fillId="31" borderId="22" xfId="0" applyFont="1" applyFill="1" applyBorder="1" applyAlignment="1">
      <alignment horizontal="center" vertical="center"/>
    </xf>
    <xf numFmtId="0" fontId="7" fillId="0" borderId="3" xfId="0" applyFont="1" applyBorder="1" applyAlignment="1">
      <alignment horizontal="center"/>
    </xf>
    <xf numFmtId="0" fontId="16" fillId="0" borderId="3" xfId="0" applyFont="1" applyBorder="1"/>
    <xf numFmtId="0" fontId="12" fillId="0" borderId="0" xfId="0" applyFont="1"/>
    <xf numFmtId="0" fontId="0" fillId="0" borderId="0" xfId="0"/>
    <xf numFmtId="0" fontId="18" fillId="4" borderId="7" xfId="0" applyFont="1" applyFill="1" applyBorder="1" applyAlignment="1">
      <alignment horizontal="center" vertical="top"/>
    </xf>
    <xf numFmtId="0" fontId="18" fillId="4" borderId="6" xfId="0" applyFont="1" applyFill="1" applyBorder="1" applyAlignment="1">
      <alignment horizontal="center" vertical="top"/>
    </xf>
    <xf numFmtId="0" fontId="18" fillId="4" borderId="10" xfId="0" applyFont="1" applyFill="1" applyBorder="1" applyAlignment="1">
      <alignment horizontal="center" vertical="top"/>
    </xf>
    <xf numFmtId="0" fontId="61" fillId="0" borderId="22" xfId="0" applyFont="1" applyBorder="1" applyAlignment="1">
      <alignment horizontal="center" vertical="center"/>
    </xf>
    <xf numFmtId="0" fontId="45" fillId="0" borderId="22" xfId="0" applyFont="1" applyBorder="1" applyAlignment="1">
      <alignment horizontal="center" vertical="center"/>
    </xf>
    <xf numFmtId="9" fontId="41" fillId="0" borderId="24" xfId="1" applyFont="1" applyBorder="1" applyAlignment="1">
      <alignment horizontal="center" vertical="center"/>
    </xf>
    <xf numFmtId="9" fontId="41" fillId="0" borderId="25" xfId="1" applyFont="1" applyBorder="1" applyAlignment="1">
      <alignment horizontal="center" vertical="center"/>
    </xf>
    <xf numFmtId="9" fontId="41" fillId="0" borderId="26" xfId="1" applyFont="1" applyBorder="1" applyAlignment="1">
      <alignment horizontal="center" vertical="center"/>
    </xf>
    <xf numFmtId="9" fontId="41" fillId="0" borderId="22" xfId="1" applyFont="1" applyFill="1" applyBorder="1" applyAlignment="1">
      <alignment horizontal="center" vertical="center"/>
    </xf>
    <xf numFmtId="9" fontId="41" fillId="0" borderId="22" xfId="1" applyFont="1" applyBorder="1" applyAlignment="1">
      <alignment horizontal="center" vertical="center"/>
    </xf>
    <xf numFmtId="0" fontId="31" fillId="21" borderId="27" xfId="0" applyFont="1" applyFill="1" applyBorder="1" applyAlignment="1">
      <alignment horizontal="center" vertical="center"/>
    </xf>
    <xf numFmtId="0" fontId="31" fillId="21" borderId="22" xfId="0" applyFont="1" applyFill="1" applyBorder="1" applyAlignment="1">
      <alignment horizontal="center" vertical="center"/>
    </xf>
    <xf numFmtId="0" fontId="31" fillId="32" borderId="22" xfId="0" applyFont="1" applyFill="1" applyBorder="1" applyAlignment="1">
      <alignment horizontal="center" vertical="center"/>
    </xf>
    <xf numFmtId="0" fontId="35" fillId="30" borderId="22" xfId="0" applyFont="1" applyFill="1" applyBorder="1" applyAlignment="1">
      <alignment horizontal="center" vertical="center"/>
    </xf>
    <xf numFmtId="0" fontId="5" fillId="4" borderId="22" xfId="0" applyFont="1" applyFill="1" applyBorder="1" applyAlignment="1">
      <alignment horizontal="center" vertical="center" wrapText="1"/>
    </xf>
    <xf numFmtId="0" fontId="23" fillId="0" borderId="0" xfId="0" applyFont="1" applyAlignment="1">
      <alignment horizontal="center" wrapText="1"/>
    </xf>
    <xf numFmtId="0" fontId="18" fillId="0" borderId="16" xfId="0" applyFont="1" applyBorder="1" applyAlignment="1">
      <alignment horizontal="center" vertical="center"/>
    </xf>
    <xf numFmtId="0" fontId="16" fillId="0" borderId="18" xfId="0" applyFont="1" applyBorder="1"/>
    <xf numFmtId="0" fontId="16" fillId="0" borderId="19" xfId="0" applyFont="1" applyBorder="1"/>
    <xf numFmtId="0" fontId="0" fillId="0" borderId="39" xfId="0" applyNumberFormat="1" applyBorder="1"/>
    <xf numFmtId="0" fontId="0" fillId="0" borderId="40" xfId="0" applyNumberFormat="1" applyBorder="1"/>
    <xf numFmtId="0" fontId="0" fillId="0" borderId="41" xfId="0" applyNumberFormat="1" applyBorder="1"/>
    <xf numFmtId="0" fontId="31" fillId="4" borderId="42" xfId="0" applyFont="1" applyFill="1" applyBorder="1" applyAlignment="1">
      <alignment horizontal="center" vertical="center"/>
    </xf>
    <xf numFmtId="0" fontId="31" fillId="4" borderId="43" xfId="0" applyFont="1" applyFill="1" applyBorder="1" applyAlignment="1">
      <alignment horizontal="center" vertical="center" textRotation="90"/>
    </xf>
    <xf numFmtId="0" fontId="31" fillId="4" borderId="44" xfId="0" applyFont="1" applyFill="1" applyBorder="1" applyAlignment="1">
      <alignment horizontal="center" vertical="center" textRotation="90"/>
    </xf>
    <xf numFmtId="0" fontId="31" fillId="4" borderId="45" xfId="0" applyFont="1" applyFill="1" applyBorder="1" applyAlignment="1">
      <alignment horizontal="center" vertical="center" textRotation="90"/>
    </xf>
    <xf numFmtId="0" fontId="31" fillId="21" borderId="26" xfId="0" applyFont="1" applyFill="1" applyBorder="1" applyAlignment="1">
      <alignment horizontal="center" vertical="center" textRotation="90"/>
    </xf>
    <xf numFmtId="0" fontId="31" fillId="4" borderId="46" xfId="0" applyFont="1" applyFill="1" applyBorder="1" applyAlignment="1">
      <alignment horizontal="center" vertical="center"/>
    </xf>
    <xf numFmtId="0" fontId="31" fillId="4" borderId="2" xfId="0" applyFont="1" applyFill="1" applyBorder="1" applyAlignment="1">
      <alignment horizontal="center" vertical="center"/>
    </xf>
    <xf numFmtId="0" fontId="31" fillId="4" borderId="47" xfId="0" applyFont="1" applyFill="1" applyBorder="1" applyAlignment="1">
      <alignment horizontal="center" vertical="center"/>
    </xf>
  </cellXfs>
  <cellStyles count="3">
    <cellStyle name="Hipervínculo" xfId="2" builtinId="8"/>
    <cellStyle name="Normal" xfId="0" builtinId="0"/>
    <cellStyle name="Porcentaje" xfId="1" builtinId="5"/>
  </cellStyles>
  <dxfs count="8">
    <dxf>
      <fill>
        <patternFill patternType="solid">
          <fgColor rgb="FFFFFF00"/>
          <bgColor rgb="FFFFFF00"/>
        </patternFill>
      </fill>
    </dxf>
    <dxf>
      <fill>
        <patternFill patternType="solid">
          <fgColor theme="5"/>
          <bgColor theme="5"/>
        </patternFill>
      </fill>
    </dxf>
    <dxf>
      <fill>
        <patternFill patternType="solid">
          <fgColor rgb="FFFF0000"/>
          <bgColor rgb="FFFF0000"/>
        </patternFill>
      </fill>
    </dxf>
    <dxf>
      <fill>
        <patternFill patternType="solid">
          <fgColor rgb="FFFF5D5D"/>
          <bgColor rgb="FFFF5D5D"/>
        </patternFill>
      </fill>
    </dxf>
    <dxf>
      <fill>
        <patternFill patternType="solid">
          <fgColor rgb="FFF4B083"/>
          <bgColor rgb="FFF4B083"/>
        </patternFill>
      </fill>
    </dxf>
    <dxf>
      <fill>
        <patternFill patternType="solid">
          <fgColor rgb="FFFFD965"/>
          <bgColor rgb="FFFFD965"/>
        </patternFill>
      </fill>
    </dxf>
    <dxf>
      <fill>
        <patternFill patternType="solid">
          <fgColor rgb="FFA8D08D"/>
          <bgColor rgb="FFA8D08D"/>
        </patternFill>
      </fill>
    </dxf>
    <dxf>
      <fill>
        <patternFill patternType="solid">
          <fgColor rgb="FFAA72D4"/>
          <bgColor rgb="FFAA72D4"/>
        </patternFill>
      </fill>
    </dxf>
  </dxfs>
  <tableStyles count="0" defaultTableStyle="TableStyleMedium2" defaultPivotStyle="PivotStyleLight16"/>
  <colors>
    <mruColors>
      <color rgb="FFA307F9"/>
      <color rgb="FFD286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customschemas.google.com/relationships/workbookmetadata" Target="metadata"/><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b="0">
                <a:solidFill>
                  <a:srgbClr val="757575"/>
                </a:solidFill>
                <a:latin typeface="+mn-lt"/>
              </a:defRPr>
            </a:pPr>
            <a:r>
              <a:rPr lang="es-CO" b="0">
                <a:solidFill>
                  <a:srgbClr val="757575"/>
                </a:solidFill>
                <a:latin typeface="+mn-lt"/>
              </a:rPr>
              <a:t>No. de Estrategias del PTS que aportan por eje del PDSP 2022-2023</a:t>
            </a:r>
          </a:p>
        </c:rich>
      </c:tx>
      <c:overlay val="0"/>
    </c:title>
    <c:autoTitleDeleted val="0"/>
    <c:plotArea>
      <c:layout/>
      <c:barChart>
        <c:barDir val="bar"/>
        <c:grouping val="clustered"/>
        <c:varyColors val="1"/>
        <c:ser>
          <c:idx val="0"/>
          <c:order val="0"/>
          <c:tx>
            <c:v>No Estrategias</c:v>
          </c:tx>
          <c:spPr>
            <a:solidFill>
              <a:srgbClr val="4472C4"/>
            </a:solidFill>
            <a:ln cmpd="sng">
              <a:solidFill>
                <a:srgbClr val="000000"/>
              </a:solidFill>
            </a:ln>
          </c:spPr>
          <c:invertIfNegative val="1"/>
          <c:dLbls>
            <c:spPr>
              <a:noFill/>
              <a:ln>
                <a:noFill/>
              </a:ln>
              <a:effectLst/>
            </c:spPr>
            <c:txPr>
              <a:bodyPr/>
              <a:lstStyle/>
              <a:p>
                <a:pPr lvl="0">
                  <a:defRPr sz="1600" b="0" i="0">
                    <a:solidFill>
                      <a:srgbClr val="000000"/>
                    </a:solidFill>
                    <a:latin typeface="Arial Narrow"/>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Graficos!$X$3:$AD$3</c:f>
              <c:strCache>
                <c:ptCount val="7"/>
                <c:pt idx="0">
                  <c:v>Gobernabilidad y gobernanza de la salud pública</c:v>
                </c:pt>
                <c:pt idx="1">
                  <c:v>Pueblos y comunidades étnicas y campesinas, mujeres, sectores LGBTIQ+ y otras poblaciones por condición y/o situación</c:v>
                </c:pt>
                <c:pt idx="2">
                  <c:v>Atención Primaria en Salud</c:v>
                </c:pt>
                <c:pt idx="3">
                  <c:v>Cambio climático, emergencias, desastres y pandemias</c:v>
                </c:pt>
                <c:pt idx="4">
                  <c:v>Personal de salud</c:v>
                </c:pt>
                <c:pt idx="5">
                  <c:v>Conocimiento en salud pública y Soberanía Sanitaria</c:v>
                </c:pt>
                <c:pt idx="6">
                  <c:v>Determinantes Sociales de la Salud</c:v>
                </c:pt>
              </c:strCache>
            </c:strRef>
          </c:cat>
          <c:val>
            <c:numRef>
              <c:f>Graficos!$X$4:$AD$4</c:f>
              <c:numCache>
                <c:formatCode>General</c:formatCode>
                <c:ptCount val="7"/>
                <c:pt idx="0">
                  <c:v>0</c:v>
                </c:pt>
                <c:pt idx="1">
                  <c:v>0</c:v>
                </c:pt>
                <c:pt idx="2">
                  <c:v>0</c:v>
                </c:pt>
                <c:pt idx="3">
                  <c:v>0</c:v>
                </c:pt>
                <c:pt idx="4">
                  <c:v>0</c:v>
                </c:pt>
                <c:pt idx="5">
                  <c:v>0</c:v>
                </c:pt>
                <c:pt idx="6">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80F7-4A67-B067-A48AE48C524C}"/>
            </c:ext>
          </c:extLst>
        </c:ser>
        <c:dLbls>
          <c:showLegendKey val="0"/>
          <c:showVal val="0"/>
          <c:showCatName val="0"/>
          <c:showSerName val="0"/>
          <c:showPercent val="0"/>
          <c:showBubbleSize val="0"/>
        </c:dLbls>
        <c:gapWidth val="150"/>
        <c:axId val="384393512"/>
        <c:axId val="384394688"/>
      </c:barChart>
      <c:catAx>
        <c:axId val="384393512"/>
        <c:scaling>
          <c:orientation val="maxMin"/>
        </c:scaling>
        <c:delete val="0"/>
        <c:axPos val="l"/>
        <c:title>
          <c:tx>
            <c:rich>
              <a:bodyPr/>
              <a:lstStyle/>
              <a:p>
                <a:pPr lvl="0">
                  <a:defRPr b="0">
                    <a:solidFill>
                      <a:srgbClr val="000000"/>
                    </a:solidFill>
                    <a:latin typeface="+mn-lt"/>
                  </a:defRPr>
                </a:pPr>
                <a:endParaRPr lang="es-CO"/>
              </a:p>
            </c:rich>
          </c:tx>
          <c:overlay val="0"/>
        </c:title>
        <c:numFmt formatCode="General" sourceLinked="1"/>
        <c:majorTickMark val="none"/>
        <c:minorTickMark val="none"/>
        <c:tickLblPos val="nextTo"/>
        <c:txPr>
          <a:bodyPr/>
          <a:lstStyle/>
          <a:p>
            <a:pPr lvl="0">
              <a:defRPr sz="1600" b="0" i="0">
                <a:solidFill>
                  <a:srgbClr val="000000"/>
                </a:solidFill>
                <a:latin typeface="Arial Narrow"/>
              </a:defRPr>
            </a:pPr>
            <a:endParaRPr lang="es-CO"/>
          </a:p>
        </c:txPr>
        <c:crossAx val="384394688"/>
        <c:crosses val="autoZero"/>
        <c:auto val="1"/>
        <c:lblAlgn val="ctr"/>
        <c:lblOffset val="100"/>
        <c:noMultiLvlLbl val="1"/>
      </c:catAx>
      <c:valAx>
        <c:axId val="384394688"/>
        <c:scaling>
          <c:orientation val="minMax"/>
        </c:scaling>
        <c:delete val="0"/>
        <c:axPos val="b"/>
        <c:title>
          <c:tx>
            <c:rich>
              <a:bodyPr/>
              <a:lstStyle/>
              <a:p>
                <a:pPr lvl="0">
                  <a:defRPr b="0">
                    <a:solidFill>
                      <a:srgbClr val="000000"/>
                    </a:solidFill>
                    <a:latin typeface="+mn-lt"/>
                  </a:defRPr>
                </a:pPr>
                <a:endParaRPr lang="es-CO"/>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s-CO"/>
          </a:p>
        </c:txPr>
        <c:crossAx val="384393512"/>
        <c:crosses val="max"/>
        <c:crossBetween val="between"/>
      </c:valAx>
    </c:plotArea>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b="0">
                <a:solidFill>
                  <a:srgbClr val="757575"/>
                </a:solidFill>
                <a:latin typeface="+mn-lt"/>
              </a:defRPr>
            </a:pPr>
            <a:r>
              <a:rPr lang="es-CO" b="0">
                <a:solidFill>
                  <a:srgbClr val="757575"/>
                </a:solidFill>
                <a:latin typeface="+mn-lt"/>
              </a:rPr>
              <a:t>% de Cumplimento Trimestral PAS</a:t>
            </a:r>
          </a:p>
        </c:rich>
      </c:tx>
      <c:overlay val="0"/>
    </c:title>
    <c:autoTitleDeleted val="0"/>
    <c:plotArea>
      <c:layout/>
      <c:areaChart>
        <c:grouping val="standard"/>
        <c:varyColors val="1"/>
        <c:ser>
          <c:idx val="0"/>
          <c:order val="0"/>
          <c:tx>
            <c:v>Morado</c:v>
          </c:tx>
          <c:spPr>
            <a:solidFill>
              <a:srgbClr val="AA72D4">
                <a:alpha val="30000"/>
              </a:srgbClr>
            </a:solidFill>
            <a:ln cmpd="sng">
              <a:solidFill>
                <a:srgbClr val="AA72D4"/>
              </a:solidFill>
            </a:ln>
          </c:spPr>
          <c:cat>
            <c:strRef>
              <c:f>Graficos!$B$42:$F$42</c:f>
              <c:strCache>
                <c:ptCount val="5"/>
                <c:pt idx="0">
                  <c:v>I Trimestre</c:v>
                </c:pt>
                <c:pt idx="1">
                  <c:v>II Trimestre</c:v>
                </c:pt>
                <c:pt idx="2">
                  <c:v>III Trimestre</c:v>
                </c:pt>
                <c:pt idx="3">
                  <c:v>IV Trimestre</c:v>
                </c:pt>
                <c:pt idx="4">
                  <c:v>Total Acumulado</c:v>
                </c:pt>
              </c:strCache>
            </c:strRef>
          </c:cat>
          <c:val>
            <c:numRef>
              <c:f>Graficos!$B$47:$F$47</c:f>
              <c:numCache>
                <c:formatCode>General</c:formatCode>
                <c:ptCount val="5"/>
                <c:pt idx="0">
                  <c:v>120</c:v>
                </c:pt>
                <c:pt idx="1">
                  <c:v>120</c:v>
                </c:pt>
                <c:pt idx="2">
                  <c:v>120</c:v>
                </c:pt>
                <c:pt idx="3">
                  <c:v>120</c:v>
                </c:pt>
                <c:pt idx="4">
                  <c:v>120</c:v>
                </c:pt>
              </c:numCache>
            </c:numRef>
          </c:val>
          <c:extLst>
            <c:ext xmlns:c16="http://schemas.microsoft.com/office/drawing/2014/chart" uri="{C3380CC4-5D6E-409C-BE32-E72D297353CC}">
              <c16:uniqueId val="{00000000-0FC3-4ACE-91AF-D8A6D530748D}"/>
            </c:ext>
          </c:extLst>
        </c:ser>
        <c:ser>
          <c:idx val="1"/>
          <c:order val="1"/>
          <c:tx>
            <c:v>Verde</c:v>
          </c:tx>
          <c:spPr>
            <a:solidFill>
              <a:srgbClr val="70AD47">
                <a:alpha val="30000"/>
              </a:srgbClr>
            </a:solidFill>
            <a:ln cmpd="sng">
              <a:solidFill>
                <a:srgbClr val="70AD47"/>
              </a:solidFill>
            </a:ln>
          </c:spPr>
          <c:cat>
            <c:strRef>
              <c:f>Graficos!$B$42:$F$42</c:f>
              <c:strCache>
                <c:ptCount val="5"/>
                <c:pt idx="0">
                  <c:v>I Trimestre</c:v>
                </c:pt>
                <c:pt idx="1">
                  <c:v>II Trimestre</c:v>
                </c:pt>
                <c:pt idx="2">
                  <c:v>III Trimestre</c:v>
                </c:pt>
                <c:pt idx="3">
                  <c:v>IV Trimestre</c:v>
                </c:pt>
                <c:pt idx="4">
                  <c:v>Total Acumulado</c:v>
                </c:pt>
              </c:strCache>
            </c:strRef>
          </c:cat>
          <c:val>
            <c:numRef>
              <c:f>Graficos!$B$46:$F$46</c:f>
              <c:numCache>
                <c:formatCode>General</c:formatCode>
                <c:ptCount val="5"/>
                <c:pt idx="0">
                  <c:v>100</c:v>
                </c:pt>
                <c:pt idx="1">
                  <c:v>100</c:v>
                </c:pt>
                <c:pt idx="2">
                  <c:v>100</c:v>
                </c:pt>
                <c:pt idx="3">
                  <c:v>100</c:v>
                </c:pt>
                <c:pt idx="4">
                  <c:v>100</c:v>
                </c:pt>
              </c:numCache>
            </c:numRef>
          </c:val>
          <c:extLst>
            <c:ext xmlns:c16="http://schemas.microsoft.com/office/drawing/2014/chart" uri="{C3380CC4-5D6E-409C-BE32-E72D297353CC}">
              <c16:uniqueId val="{00000001-0FC3-4ACE-91AF-D8A6D530748D}"/>
            </c:ext>
          </c:extLst>
        </c:ser>
        <c:ser>
          <c:idx val="2"/>
          <c:order val="2"/>
          <c:tx>
            <c:v>Amarillo</c:v>
          </c:tx>
          <c:spPr>
            <a:solidFill>
              <a:srgbClr val="FFC000">
                <a:alpha val="30000"/>
              </a:srgbClr>
            </a:solidFill>
            <a:ln cmpd="sng">
              <a:solidFill>
                <a:srgbClr val="FFC000"/>
              </a:solidFill>
            </a:ln>
          </c:spPr>
          <c:cat>
            <c:strRef>
              <c:f>Graficos!$B$42:$F$42</c:f>
              <c:strCache>
                <c:ptCount val="5"/>
                <c:pt idx="0">
                  <c:v>I Trimestre</c:v>
                </c:pt>
                <c:pt idx="1">
                  <c:v>II Trimestre</c:v>
                </c:pt>
                <c:pt idx="2">
                  <c:v>III Trimestre</c:v>
                </c:pt>
                <c:pt idx="3">
                  <c:v>IV Trimestre</c:v>
                </c:pt>
                <c:pt idx="4">
                  <c:v>Total Acumulado</c:v>
                </c:pt>
              </c:strCache>
            </c:strRef>
          </c:cat>
          <c:val>
            <c:numRef>
              <c:f>Graficos!$B$45:$F$45</c:f>
              <c:numCache>
                <c:formatCode>General</c:formatCode>
                <c:ptCount val="5"/>
                <c:pt idx="0">
                  <c:v>80</c:v>
                </c:pt>
                <c:pt idx="1">
                  <c:v>80</c:v>
                </c:pt>
                <c:pt idx="2">
                  <c:v>80</c:v>
                </c:pt>
                <c:pt idx="3">
                  <c:v>80</c:v>
                </c:pt>
                <c:pt idx="4">
                  <c:v>80</c:v>
                </c:pt>
              </c:numCache>
            </c:numRef>
          </c:val>
          <c:extLst>
            <c:ext xmlns:c16="http://schemas.microsoft.com/office/drawing/2014/chart" uri="{C3380CC4-5D6E-409C-BE32-E72D297353CC}">
              <c16:uniqueId val="{00000002-0FC3-4ACE-91AF-D8A6D530748D}"/>
            </c:ext>
          </c:extLst>
        </c:ser>
        <c:ser>
          <c:idx val="3"/>
          <c:order val="3"/>
          <c:tx>
            <c:v>Naranja</c:v>
          </c:tx>
          <c:spPr>
            <a:solidFill>
              <a:srgbClr val="FF5B5B">
                <a:alpha val="30000"/>
              </a:srgbClr>
            </a:solidFill>
            <a:ln cmpd="sng">
              <a:solidFill>
                <a:srgbClr val="FF5B5B"/>
              </a:solidFill>
            </a:ln>
          </c:spPr>
          <c:cat>
            <c:strRef>
              <c:f>Graficos!$B$42:$F$42</c:f>
              <c:strCache>
                <c:ptCount val="5"/>
                <c:pt idx="0">
                  <c:v>I Trimestre</c:v>
                </c:pt>
                <c:pt idx="1">
                  <c:v>II Trimestre</c:v>
                </c:pt>
                <c:pt idx="2">
                  <c:v>III Trimestre</c:v>
                </c:pt>
                <c:pt idx="3">
                  <c:v>IV Trimestre</c:v>
                </c:pt>
                <c:pt idx="4">
                  <c:v>Total Acumulado</c:v>
                </c:pt>
              </c:strCache>
            </c:strRef>
          </c:cat>
          <c:val>
            <c:numRef>
              <c:f>Graficos!$B$44:$F$44</c:f>
              <c:numCache>
                <c:formatCode>General</c:formatCode>
                <c:ptCount val="5"/>
                <c:pt idx="0">
                  <c:v>60</c:v>
                </c:pt>
                <c:pt idx="1">
                  <c:v>60</c:v>
                </c:pt>
                <c:pt idx="2">
                  <c:v>60</c:v>
                </c:pt>
                <c:pt idx="3">
                  <c:v>60</c:v>
                </c:pt>
                <c:pt idx="4">
                  <c:v>60</c:v>
                </c:pt>
              </c:numCache>
            </c:numRef>
          </c:val>
          <c:extLst>
            <c:ext xmlns:c16="http://schemas.microsoft.com/office/drawing/2014/chart" uri="{C3380CC4-5D6E-409C-BE32-E72D297353CC}">
              <c16:uniqueId val="{00000003-0FC3-4ACE-91AF-D8A6D530748D}"/>
            </c:ext>
          </c:extLst>
        </c:ser>
        <c:dLbls>
          <c:showLegendKey val="0"/>
          <c:showVal val="0"/>
          <c:showCatName val="0"/>
          <c:showSerName val="0"/>
          <c:showPercent val="0"/>
          <c:showBubbleSize val="0"/>
        </c:dLbls>
        <c:axId val="384395080"/>
        <c:axId val="384396256"/>
      </c:areaChart>
      <c:barChart>
        <c:barDir val="col"/>
        <c:grouping val="clustered"/>
        <c:varyColors val="1"/>
        <c:ser>
          <c:idx val="4"/>
          <c:order val="4"/>
          <c:tx>
            <c:v>% Cumplimiento</c:v>
          </c:tx>
          <c:spPr>
            <a:solidFill>
              <a:srgbClr val="5B9BD5"/>
            </a:solidFill>
            <a:ln cmpd="sng">
              <a:solidFill>
                <a:srgbClr val="000000"/>
              </a:solidFill>
            </a:ln>
          </c:spPr>
          <c:invertIfNegative val="1"/>
          <c:dLbls>
            <c:spPr>
              <a:noFill/>
              <a:ln>
                <a:noFill/>
              </a:ln>
              <a:effectLst/>
            </c:spPr>
            <c:txPr>
              <a:bodyPr/>
              <a:lstStyle/>
              <a:p>
                <a:pPr lvl="0">
                  <a:defRPr sz="1600" b="0" i="0">
                    <a:solidFill>
                      <a:srgbClr val="000000"/>
                    </a:solidFill>
                    <a:latin typeface="Arial Narrow"/>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Graficos!$B$42:$F$42</c:f>
              <c:strCache>
                <c:ptCount val="5"/>
                <c:pt idx="0">
                  <c:v>I Trimestre</c:v>
                </c:pt>
                <c:pt idx="1">
                  <c:v>II Trimestre</c:v>
                </c:pt>
                <c:pt idx="2">
                  <c:v>III Trimestre</c:v>
                </c:pt>
                <c:pt idx="3">
                  <c:v>IV Trimestre</c:v>
                </c:pt>
                <c:pt idx="4">
                  <c:v>Total Acumulado</c:v>
                </c:pt>
              </c:strCache>
            </c:strRef>
          </c:cat>
          <c:val>
            <c:numRef>
              <c:f>Graficos!$B$43:$F$43</c:f>
              <c:numCache>
                <c:formatCode>0.0</c:formatCode>
                <c:ptCount val="5"/>
                <c:pt idx="0">
                  <c:v>0</c:v>
                </c:pt>
                <c:pt idx="1">
                  <c:v>0</c:v>
                </c:pt>
                <c:pt idx="2">
                  <c:v>0</c:v>
                </c:pt>
                <c:pt idx="3">
                  <c:v>0</c:v>
                </c:pt>
                <c:pt idx="4">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4-0FC3-4ACE-91AF-D8A6D530748D}"/>
            </c:ext>
          </c:extLst>
        </c:ser>
        <c:dLbls>
          <c:showLegendKey val="0"/>
          <c:showVal val="0"/>
          <c:showCatName val="0"/>
          <c:showSerName val="0"/>
          <c:showPercent val="0"/>
          <c:showBubbleSize val="0"/>
        </c:dLbls>
        <c:gapWidth val="150"/>
        <c:axId val="384395080"/>
        <c:axId val="384396256"/>
      </c:barChart>
      <c:catAx>
        <c:axId val="384395080"/>
        <c:scaling>
          <c:orientation val="minMax"/>
        </c:scaling>
        <c:delete val="0"/>
        <c:axPos val="b"/>
        <c:title>
          <c:tx>
            <c:rich>
              <a:bodyPr/>
              <a:lstStyle/>
              <a:p>
                <a:pPr lvl="0">
                  <a:defRPr b="0">
                    <a:solidFill>
                      <a:srgbClr val="000000"/>
                    </a:solidFill>
                    <a:latin typeface="+mn-lt"/>
                  </a:defRPr>
                </a:pPr>
                <a:endParaRPr lang="es-CO"/>
              </a:p>
            </c:rich>
          </c:tx>
          <c:overlay val="0"/>
        </c:title>
        <c:numFmt formatCode="General" sourceLinked="1"/>
        <c:majorTickMark val="none"/>
        <c:minorTickMark val="none"/>
        <c:tickLblPos val="nextTo"/>
        <c:txPr>
          <a:bodyPr/>
          <a:lstStyle/>
          <a:p>
            <a:pPr lvl="0">
              <a:defRPr sz="1600" b="0" i="0">
                <a:solidFill>
                  <a:srgbClr val="000000"/>
                </a:solidFill>
                <a:latin typeface="Arial Narrow"/>
              </a:defRPr>
            </a:pPr>
            <a:endParaRPr lang="es-CO"/>
          </a:p>
        </c:txPr>
        <c:crossAx val="384396256"/>
        <c:crosses val="autoZero"/>
        <c:auto val="1"/>
        <c:lblAlgn val="ctr"/>
        <c:lblOffset val="100"/>
        <c:noMultiLvlLbl val="1"/>
      </c:catAx>
      <c:valAx>
        <c:axId val="384396256"/>
        <c:scaling>
          <c:orientation val="minMax"/>
          <c:max val="120"/>
        </c:scaling>
        <c:delete val="0"/>
        <c:axPos val="l"/>
        <c:majorGridlines>
          <c:spPr>
            <a:ln>
              <a:solidFill>
                <a:srgbClr val="B7B7B7"/>
              </a:solidFill>
            </a:ln>
          </c:spPr>
        </c:majorGridlines>
        <c:title>
          <c:tx>
            <c:rich>
              <a:bodyPr/>
              <a:lstStyle/>
              <a:p>
                <a:pPr lvl="0">
                  <a:defRPr b="0">
                    <a:solidFill>
                      <a:srgbClr val="000000"/>
                    </a:solidFill>
                    <a:latin typeface="+mn-lt"/>
                  </a:defRPr>
                </a:pPr>
                <a:r>
                  <a:rPr lang="es-CO" b="0">
                    <a:solidFill>
                      <a:srgbClr val="000000"/>
                    </a:solidFill>
                    <a:latin typeface="+mn-lt"/>
                  </a:rPr>
                  <a:t>(%) Porcentaje</a:t>
                </a:r>
              </a:p>
            </c:rich>
          </c:tx>
          <c:overlay val="0"/>
        </c:title>
        <c:numFmt formatCode="General" sourceLinked="1"/>
        <c:majorTickMark val="none"/>
        <c:minorTickMark val="none"/>
        <c:tickLblPos val="nextTo"/>
        <c:spPr>
          <a:ln/>
        </c:spPr>
        <c:txPr>
          <a:bodyPr/>
          <a:lstStyle/>
          <a:p>
            <a:pPr lvl="0">
              <a:defRPr sz="1600" b="0" i="0">
                <a:solidFill>
                  <a:srgbClr val="000000"/>
                </a:solidFill>
                <a:latin typeface="Arial Narrow"/>
              </a:defRPr>
            </a:pPr>
            <a:endParaRPr lang="es-CO"/>
          </a:p>
        </c:txPr>
        <c:crossAx val="384395080"/>
        <c:crosses val="autoZero"/>
        <c:crossBetween val="between"/>
        <c:majorUnit val="10"/>
      </c:valAx>
    </c:plotArea>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b="0">
                <a:solidFill>
                  <a:srgbClr val="757575"/>
                </a:solidFill>
                <a:latin typeface="+mn-lt"/>
              </a:defRPr>
            </a:pPr>
            <a:r>
              <a:rPr lang="es-CO" b="0">
                <a:solidFill>
                  <a:srgbClr val="757575"/>
                </a:solidFill>
                <a:latin typeface="+mn-lt"/>
              </a:rPr>
              <a:t>% Cumplimiento del PAS según Eje del PDSP 2022 -2031</a:t>
            </a:r>
          </a:p>
        </c:rich>
      </c:tx>
      <c:overlay val="0"/>
    </c:title>
    <c:autoTitleDeleted val="0"/>
    <c:plotArea>
      <c:layout/>
      <c:barChart>
        <c:barDir val="bar"/>
        <c:grouping val="clustered"/>
        <c:varyColors val="1"/>
        <c:ser>
          <c:idx val="0"/>
          <c:order val="0"/>
          <c:invertIfNegative val="1"/>
          <c:cat>
            <c:strRef>
              <c:f>Graficos!$F$63</c:f>
              <c:strCache>
                <c:ptCount val="1"/>
                <c:pt idx="0">
                  <c:v>% Cumplimiento del PAS según Eje del PDSP 2022 -2031</c:v>
                </c:pt>
              </c:strCache>
            </c:strRef>
          </c:cat>
          <c:val>
            <c:numRef>
              <c:f>Graficos!$F$63</c:f>
              <c:numCache>
                <c:formatCode>General</c:formatCode>
                <c:ptCount val="1"/>
                <c:pt idx="0">
                  <c:v>0</c:v>
                </c:pt>
              </c:numCache>
            </c:numRef>
          </c:val>
          <c:extLst>
            <c:ext xmlns:c16="http://schemas.microsoft.com/office/drawing/2014/chart" uri="{C3380CC4-5D6E-409C-BE32-E72D297353CC}">
              <c16:uniqueId val="{00000000-EBF0-4378-ABE4-14A1BDFF58B6}"/>
            </c:ext>
          </c:extLst>
        </c:ser>
        <c:ser>
          <c:idx val="1"/>
          <c:order val="1"/>
          <c:invertIfNegative val="1"/>
          <c:cat>
            <c:strRef>
              <c:f>Graficos!$F$63</c:f>
              <c:strCache>
                <c:ptCount val="1"/>
                <c:pt idx="0">
                  <c:v>% Cumplimiento del PAS según Eje del PDSP 2022 -2031</c:v>
                </c:pt>
              </c:strCache>
            </c:strRef>
          </c:cat>
          <c:val>
            <c:numRef>
              <c:f>Graficos!$F$63</c:f>
              <c:numCache>
                <c:formatCode>General</c:formatCode>
                <c:ptCount val="1"/>
                <c:pt idx="0">
                  <c:v>0</c:v>
                </c:pt>
              </c:numCache>
            </c:numRef>
          </c:val>
          <c:extLst>
            <c:ext xmlns:c16="http://schemas.microsoft.com/office/drawing/2014/chart" uri="{C3380CC4-5D6E-409C-BE32-E72D297353CC}">
              <c16:uniqueId val="{00000001-EBF0-4378-ABE4-14A1BDFF58B6}"/>
            </c:ext>
          </c:extLst>
        </c:ser>
        <c:ser>
          <c:idx val="2"/>
          <c:order val="2"/>
          <c:invertIfNegative val="1"/>
          <c:cat>
            <c:strRef>
              <c:f>Graficos!$F$63</c:f>
              <c:strCache>
                <c:ptCount val="1"/>
                <c:pt idx="0">
                  <c:v>% Cumplimiento del PAS según Eje del PDSP 2022 -2031</c:v>
                </c:pt>
              </c:strCache>
            </c:strRef>
          </c:cat>
          <c:val>
            <c:numRef>
              <c:f>Graficos!$F$63</c:f>
              <c:numCache>
                <c:formatCode>General</c:formatCode>
                <c:ptCount val="1"/>
                <c:pt idx="0">
                  <c:v>0</c:v>
                </c:pt>
              </c:numCache>
            </c:numRef>
          </c:val>
          <c:extLst>
            <c:ext xmlns:c16="http://schemas.microsoft.com/office/drawing/2014/chart" uri="{C3380CC4-5D6E-409C-BE32-E72D297353CC}">
              <c16:uniqueId val="{00000002-EBF0-4378-ABE4-14A1BDFF58B6}"/>
            </c:ext>
          </c:extLst>
        </c:ser>
        <c:ser>
          <c:idx val="3"/>
          <c:order val="3"/>
          <c:invertIfNegative val="1"/>
          <c:cat>
            <c:strRef>
              <c:f>Graficos!$F$63</c:f>
              <c:strCache>
                <c:ptCount val="1"/>
                <c:pt idx="0">
                  <c:v>% Cumplimiento del PAS según Eje del PDSP 2022 -2031</c:v>
                </c:pt>
              </c:strCache>
            </c:strRef>
          </c:cat>
          <c:val>
            <c:numRef>
              <c:f>Graficos!$F$63</c:f>
              <c:numCache>
                <c:formatCode>General</c:formatCode>
                <c:ptCount val="1"/>
                <c:pt idx="0">
                  <c:v>0</c:v>
                </c:pt>
              </c:numCache>
            </c:numRef>
          </c:val>
          <c:extLst>
            <c:ext xmlns:c16="http://schemas.microsoft.com/office/drawing/2014/chart" uri="{C3380CC4-5D6E-409C-BE32-E72D297353CC}">
              <c16:uniqueId val="{00000003-EBF0-4378-ABE4-14A1BDFF58B6}"/>
            </c:ext>
          </c:extLst>
        </c:ser>
        <c:dLbls>
          <c:showLegendKey val="0"/>
          <c:showVal val="0"/>
          <c:showCatName val="0"/>
          <c:showSerName val="0"/>
          <c:showPercent val="0"/>
          <c:showBubbleSize val="0"/>
        </c:dLbls>
        <c:gapWidth val="150"/>
        <c:axId val="384396648"/>
        <c:axId val="384389200"/>
      </c:barChart>
      <c:catAx>
        <c:axId val="384396648"/>
        <c:scaling>
          <c:orientation val="maxMin"/>
        </c:scaling>
        <c:delete val="0"/>
        <c:axPos val="l"/>
        <c:title>
          <c:tx>
            <c:rich>
              <a:bodyPr/>
              <a:lstStyle/>
              <a:p>
                <a:pPr lvl="0">
                  <a:defRPr b="0">
                    <a:solidFill>
                      <a:srgbClr val="000000"/>
                    </a:solidFill>
                    <a:latin typeface="+mn-lt"/>
                  </a:defRPr>
                </a:pPr>
                <a:endParaRPr lang="es-CO"/>
              </a:p>
            </c:rich>
          </c:tx>
          <c:overlay val="0"/>
        </c:title>
        <c:numFmt formatCode="General" sourceLinked="1"/>
        <c:majorTickMark val="none"/>
        <c:minorTickMark val="none"/>
        <c:tickLblPos val="nextTo"/>
        <c:txPr>
          <a:bodyPr/>
          <a:lstStyle/>
          <a:p>
            <a:pPr lvl="0">
              <a:defRPr sz="1600" b="0" i="0">
                <a:solidFill>
                  <a:srgbClr val="000000"/>
                </a:solidFill>
                <a:latin typeface="Arial Narrow"/>
              </a:defRPr>
            </a:pPr>
            <a:endParaRPr lang="es-CO"/>
          </a:p>
        </c:txPr>
        <c:crossAx val="384389200"/>
        <c:crosses val="autoZero"/>
        <c:auto val="1"/>
        <c:lblAlgn val="ctr"/>
        <c:lblOffset val="100"/>
        <c:noMultiLvlLbl val="1"/>
      </c:catAx>
      <c:valAx>
        <c:axId val="384389200"/>
        <c:scaling>
          <c:orientation val="minMax"/>
        </c:scaling>
        <c:delete val="0"/>
        <c:axPos val="b"/>
        <c:numFmt formatCode="General" sourceLinked="1"/>
        <c:majorTickMark val="cross"/>
        <c:minorTickMark val="cross"/>
        <c:tickLblPos val="nextTo"/>
        <c:spPr>
          <a:ln>
            <a:noFill/>
          </a:ln>
        </c:spPr>
        <c:crossAx val="384396648"/>
        <c:crosses val="max"/>
        <c:crossBetween val="between"/>
      </c:valAx>
    </c:plotArea>
    <c:legend>
      <c:legendPos val="r"/>
      <c:overlay val="0"/>
      <c:txPr>
        <a:bodyPr/>
        <a:lstStyle/>
        <a:p>
          <a:pPr lvl="0">
            <a:defRPr sz="1600" b="0" i="0">
              <a:solidFill>
                <a:srgbClr val="000000"/>
              </a:solidFill>
              <a:latin typeface="Arial Narrow"/>
            </a:defRPr>
          </a:pPr>
          <a:endParaRPr lang="es-CO"/>
        </a:p>
      </c:txPr>
    </c:legend>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b="0">
                <a:solidFill>
                  <a:srgbClr val="757575"/>
                </a:solidFill>
                <a:latin typeface="+mn-lt"/>
              </a:defRPr>
            </a:pPr>
            <a:r>
              <a:rPr b="0">
                <a:solidFill>
                  <a:srgbClr val="757575"/>
                </a:solidFill>
                <a:latin typeface="+mn-lt"/>
              </a:rPr>
              <a:t>No. de Estrategias del PTS que aportan por eje del PDSP 2022-2023</a:t>
            </a:r>
          </a:p>
        </c:rich>
      </c:tx>
      <c:overlay val="0"/>
    </c:title>
    <c:autoTitleDeleted val="0"/>
    <c:plotArea>
      <c:layout/>
      <c:barChart>
        <c:barDir val="bar"/>
        <c:grouping val="clustered"/>
        <c:varyColors val="1"/>
        <c:ser>
          <c:idx val="0"/>
          <c:order val="0"/>
          <c:tx>
            <c:v>No Estrategias</c:v>
          </c:tx>
          <c:spPr>
            <a:solidFill>
              <a:srgbClr val="4472C4"/>
            </a:solidFill>
            <a:ln cmpd="sng">
              <a:solidFill>
                <a:srgbClr val="000000"/>
              </a:solidFill>
            </a:ln>
          </c:spPr>
          <c:invertIfNegative val="1"/>
          <c:dLbls>
            <c:spPr>
              <a:noFill/>
              <a:ln>
                <a:noFill/>
              </a:ln>
              <a:effectLst/>
            </c:spPr>
            <c:txPr>
              <a:bodyPr/>
              <a:lstStyle/>
              <a:p>
                <a:pPr lvl="0">
                  <a:defRPr sz="1600" b="0" i="0">
                    <a:solidFill>
                      <a:srgbClr val="000000"/>
                    </a:solidFill>
                    <a:latin typeface="Arial Narrow"/>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Graficos!$X$3:$AD$3</c:f>
              <c:strCache>
                <c:ptCount val="7"/>
                <c:pt idx="0">
                  <c:v>Gobernabilidad y gobernanza de la salud pública</c:v>
                </c:pt>
                <c:pt idx="1">
                  <c:v>Pueblos y comunidades étnicas y campesinas, mujeres, sectores LGBTIQ+ y otras poblaciones por condición y/o situación</c:v>
                </c:pt>
                <c:pt idx="2">
                  <c:v>Atención Primaria en Salud</c:v>
                </c:pt>
                <c:pt idx="3">
                  <c:v>Cambio climático, emergencias, desastres y pandemias</c:v>
                </c:pt>
                <c:pt idx="4">
                  <c:v>Personal de salud</c:v>
                </c:pt>
                <c:pt idx="5">
                  <c:v>Conocimiento en salud pública y Soberanía Sanitaria</c:v>
                </c:pt>
                <c:pt idx="6">
                  <c:v>Determinantes Sociales de la Salud</c:v>
                </c:pt>
              </c:strCache>
            </c:strRef>
          </c:cat>
          <c:val>
            <c:numRef>
              <c:f>Graficos!$X$4:$AD$4</c:f>
              <c:numCache>
                <c:formatCode>General</c:formatCode>
                <c:ptCount val="7"/>
                <c:pt idx="0">
                  <c:v>0</c:v>
                </c:pt>
                <c:pt idx="1">
                  <c:v>0</c:v>
                </c:pt>
                <c:pt idx="2">
                  <c:v>0</c:v>
                </c:pt>
                <c:pt idx="3">
                  <c:v>0</c:v>
                </c:pt>
                <c:pt idx="4">
                  <c:v>0</c:v>
                </c:pt>
                <c:pt idx="5">
                  <c:v>0</c:v>
                </c:pt>
                <c:pt idx="6">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5618-4124-83BE-09802A17B21D}"/>
            </c:ext>
          </c:extLst>
        </c:ser>
        <c:dLbls>
          <c:showLegendKey val="0"/>
          <c:showVal val="0"/>
          <c:showCatName val="0"/>
          <c:showSerName val="0"/>
          <c:showPercent val="0"/>
          <c:showBubbleSize val="0"/>
        </c:dLbls>
        <c:gapWidth val="150"/>
        <c:axId val="384390376"/>
        <c:axId val="384390768"/>
      </c:barChart>
      <c:catAx>
        <c:axId val="384390376"/>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1600" b="0" i="0">
                <a:solidFill>
                  <a:srgbClr val="000000"/>
                </a:solidFill>
                <a:latin typeface="Arial Narrow"/>
              </a:defRPr>
            </a:pPr>
            <a:endParaRPr lang="es-CO"/>
          </a:p>
        </c:txPr>
        <c:crossAx val="384390768"/>
        <c:crosses val="autoZero"/>
        <c:auto val="1"/>
        <c:lblAlgn val="ctr"/>
        <c:lblOffset val="100"/>
        <c:noMultiLvlLbl val="1"/>
      </c:catAx>
      <c:valAx>
        <c:axId val="384390768"/>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s-CO"/>
          </a:p>
        </c:txPr>
        <c:crossAx val="384390376"/>
        <c:crosses val="max"/>
        <c:crossBetween val="between"/>
      </c:valAx>
    </c:plotArea>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b="0">
                <a:solidFill>
                  <a:srgbClr val="757575"/>
                </a:solidFill>
                <a:latin typeface="+mn-lt"/>
              </a:defRPr>
            </a:pPr>
            <a:r>
              <a:rPr b="0">
                <a:solidFill>
                  <a:srgbClr val="757575"/>
                </a:solidFill>
                <a:latin typeface="+mn-lt"/>
              </a:rPr>
              <a:t>% de Cumplimento Trimestral PAS</a:t>
            </a:r>
          </a:p>
        </c:rich>
      </c:tx>
      <c:overlay val="0"/>
    </c:title>
    <c:autoTitleDeleted val="0"/>
    <c:plotArea>
      <c:layout/>
      <c:areaChart>
        <c:grouping val="standard"/>
        <c:varyColors val="1"/>
        <c:ser>
          <c:idx val="0"/>
          <c:order val="0"/>
          <c:tx>
            <c:v>Morado</c:v>
          </c:tx>
          <c:spPr>
            <a:solidFill>
              <a:srgbClr val="70AD47">
                <a:alpha val="30000"/>
              </a:srgbClr>
            </a:solidFill>
            <a:ln cmpd="sng">
              <a:solidFill>
                <a:srgbClr val="70AD47"/>
              </a:solidFill>
            </a:ln>
          </c:spPr>
          <c:cat>
            <c:strRef>
              <c:f>Graficos!$B$42:$F$42</c:f>
              <c:strCache>
                <c:ptCount val="5"/>
                <c:pt idx="0">
                  <c:v>I Trimestre</c:v>
                </c:pt>
                <c:pt idx="1">
                  <c:v>II Trimestre</c:v>
                </c:pt>
                <c:pt idx="2">
                  <c:v>III Trimestre</c:v>
                </c:pt>
                <c:pt idx="3">
                  <c:v>IV Trimestre</c:v>
                </c:pt>
                <c:pt idx="4">
                  <c:v>Total Acumulado</c:v>
                </c:pt>
              </c:strCache>
            </c:strRef>
          </c:cat>
          <c:val>
            <c:numRef>
              <c:f>Graficos!$B$47:$F$47</c:f>
              <c:numCache>
                <c:formatCode>General</c:formatCode>
                <c:ptCount val="5"/>
                <c:pt idx="0">
                  <c:v>120</c:v>
                </c:pt>
                <c:pt idx="1">
                  <c:v>120</c:v>
                </c:pt>
                <c:pt idx="2">
                  <c:v>120</c:v>
                </c:pt>
                <c:pt idx="3">
                  <c:v>120</c:v>
                </c:pt>
                <c:pt idx="4">
                  <c:v>120</c:v>
                </c:pt>
              </c:numCache>
            </c:numRef>
          </c:val>
          <c:extLst>
            <c:ext xmlns:c16="http://schemas.microsoft.com/office/drawing/2014/chart" uri="{C3380CC4-5D6E-409C-BE32-E72D297353CC}">
              <c16:uniqueId val="{00000000-A83A-424E-9EE2-FFA13D2547A2}"/>
            </c:ext>
          </c:extLst>
        </c:ser>
        <c:ser>
          <c:idx val="1"/>
          <c:order val="1"/>
          <c:tx>
            <c:v>Verde</c:v>
          </c:tx>
          <c:spPr>
            <a:solidFill>
              <a:srgbClr val="70AD47">
                <a:alpha val="30000"/>
              </a:srgbClr>
            </a:solidFill>
            <a:ln cmpd="sng">
              <a:solidFill>
                <a:srgbClr val="70AD47"/>
              </a:solidFill>
            </a:ln>
          </c:spPr>
          <c:cat>
            <c:strRef>
              <c:f>Graficos!$B$42:$F$42</c:f>
              <c:strCache>
                <c:ptCount val="5"/>
                <c:pt idx="0">
                  <c:v>I Trimestre</c:v>
                </c:pt>
                <c:pt idx="1">
                  <c:v>II Trimestre</c:v>
                </c:pt>
                <c:pt idx="2">
                  <c:v>III Trimestre</c:v>
                </c:pt>
                <c:pt idx="3">
                  <c:v>IV Trimestre</c:v>
                </c:pt>
                <c:pt idx="4">
                  <c:v>Total Acumulado</c:v>
                </c:pt>
              </c:strCache>
            </c:strRef>
          </c:cat>
          <c:val>
            <c:numRef>
              <c:f>Graficos!$B$46:$F$46</c:f>
              <c:numCache>
                <c:formatCode>General</c:formatCode>
                <c:ptCount val="5"/>
                <c:pt idx="0">
                  <c:v>100</c:v>
                </c:pt>
                <c:pt idx="1">
                  <c:v>100</c:v>
                </c:pt>
                <c:pt idx="2">
                  <c:v>100</c:v>
                </c:pt>
                <c:pt idx="3">
                  <c:v>100</c:v>
                </c:pt>
                <c:pt idx="4">
                  <c:v>100</c:v>
                </c:pt>
              </c:numCache>
            </c:numRef>
          </c:val>
          <c:extLst>
            <c:ext xmlns:c16="http://schemas.microsoft.com/office/drawing/2014/chart" uri="{C3380CC4-5D6E-409C-BE32-E72D297353CC}">
              <c16:uniqueId val="{00000001-A83A-424E-9EE2-FFA13D2547A2}"/>
            </c:ext>
          </c:extLst>
        </c:ser>
        <c:ser>
          <c:idx val="2"/>
          <c:order val="2"/>
          <c:tx>
            <c:v>Amarillo</c:v>
          </c:tx>
          <c:spPr>
            <a:solidFill>
              <a:srgbClr val="FFC000">
                <a:alpha val="30000"/>
              </a:srgbClr>
            </a:solidFill>
            <a:ln cmpd="sng">
              <a:solidFill>
                <a:srgbClr val="FFC000"/>
              </a:solidFill>
            </a:ln>
          </c:spPr>
          <c:cat>
            <c:strRef>
              <c:f>Graficos!$B$42:$F$42</c:f>
              <c:strCache>
                <c:ptCount val="5"/>
                <c:pt idx="0">
                  <c:v>I Trimestre</c:v>
                </c:pt>
                <c:pt idx="1">
                  <c:v>II Trimestre</c:v>
                </c:pt>
                <c:pt idx="2">
                  <c:v>III Trimestre</c:v>
                </c:pt>
                <c:pt idx="3">
                  <c:v>IV Trimestre</c:v>
                </c:pt>
                <c:pt idx="4">
                  <c:v>Total Acumulado</c:v>
                </c:pt>
              </c:strCache>
            </c:strRef>
          </c:cat>
          <c:val>
            <c:numRef>
              <c:f>Graficos!$B$45:$F$45</c:f>
              <c:numCache>
                <c:formatCode>General</c:formatCode>
                <c:ptCount val="5"/>
                <c:pt idx="0">
                  <c:v>80</c:v>
                </c:pt>
                <c:pt idx="1">
                  <c:v>80</c:v>
                </c:pt>
                <c:pt idx="2">
                  <c:v>80</c:v>
                </c:pt>
                <c:pt idx="3">
                  <c:v>80</c:v>
                </c:pt>
                <c:pt idx="4">
                  <c:v>80</c:v>
                </c:pt>
              </c:numCache>
            </c:numRef>
          </c:val>
          <c:extLst>
            <c:ext xmlns:c16="http://schemas.microsoft.com/office/drawing/2014/chart" uri="{C3380CC4-5D6E-409C-BE32-E72D297353CC}">
              <c16:uniqueId val="{00000002-A83A-424E-9EE2-FFA13D2547A2}"/>
            </c:ext>
          </c:extLst>
        </c:ser>
        <c:ser>
          <c:idx val="3"/>
          <c:order val="3"/>
          <c:tx>
            <c:v>Naranja</c:v>
          </c:tx>
          <c:spPr>
            <a:solidFill>
              <a:srgbClr val="FF5B5B">
                <a:alpha val="30000"/>
              </a:srgbClr>
            </a:solidFill>
            <a:ln cmpd="sng">
              <a:solidFill>
                <a:srgbClr val="FF5B5B"/>
              </a:solidFill>
            </a:ln>
          </c:spPr>
          <c:cat>
            <c:strRef>
              <c:f>Graficos!$B$42:$F$42</c:f>
              <c:strCache>
                <c:ptCount val="5"/>
                <c:pt idx="0">
                  <c:v>I Trimestre</c:v>
                </c:pt>
                <c:pt idx="1">
                  <c:v>II Trimestre</c:v>
                </c:pt>
                <c:pt idx="2">
                  <c:v>III Trimestre</c:v>
                </c:pt>
                <c:pt idx="3">
                  <c:v>IV Trimestre</c:v>
                </c:pt>
                <c:pt idx="4">
                  <c:v>Total Acumulado</c:v>
                </c:pt>
              </c:strCache>
            </c:strRef>
          </c:cat>
          <c:val>
            <c:numRef>
              <c:f>Graficos!$B$44:$F$44</c:f>
              <c:numCache>
                <c:formatCode>General</c:formatCode>
                <c:ptCount val="5"/>
                <c:pt idx="0">
                  <c:v>60</c:v>
                </c:pt>
                <c:pt idx="1">
                  <c:v>60</c:v>
                </c:pt>
                <c:pt idx="2">
                  <c:v>60</c:v>
                </c:pt>
                <c:pt idx="3">
                  <c:v>60</c:v>
                </c:pt>
                <c:pt idx="4">
                  <c:v>60</c:v>
                </c:pt>
              </c:numCache>
            </c:numRef>
          </c:val>
          <c:extLst>
            <c:ext xmlns:c16="http://schemas.microsoft.com/office/drawing/2014/chart" uri="{C3380CC4-5D6E-409C-BE32-E72D297353CC}">
              <c16:uniqueId val="{00000003-A83A-424E-9EE2-FFA13D2547A2}"/>
            </c:ext>
          </c:extLst>
        </c:ser>
        <c:dLbls>
          <c:showLegendKey val="0"/>
          <c:showVal val="0"/>
          <c:showCatName val="0"/>
          <c:showSerName val="0"/>
          <c:showPercent val="0"/>
          <c:showBubbleSize val="0"/>
        </c:dLbls>
        <c:axId val="492556400"/>
        <c:axId val="492557968"/>
      </c:areaChart>
      <c:barChart>
        <c:barDir val="col"/>
        <c:grouping val="clustered"/>
        <c:varyColors val="1"/>
        <c:ser>
          <c:idx val="4"/>
          <c:order val="4"/>
          <c:tx>
            <c:v>% Cumplimiento</c:v>
          </c:tx>
          <c:spPr>
            <a:solidFill>
              <a:srgbClr val="4472C4"/>
            </a:solidFill>
            <a:ln cmpd="sng">
              <a:solidFill>
                <a:srgbClr val="000000"/>
              </a:solidFill>
            </a:ln>
          </c:spPr>
          <c:invertIfNegative val="1"/>
          <c:dPt>
            <c:idx val="4"/>
            <c:invertIfNegative val="1"/>
            <c:bubble3D val="0"/>
            <c:spPr>
              <a:solidFill>
                <a:schemeClr val="accent5"/>
              </a:solidFill>
              <a:ln cmpd="sng">
                <a:solidFill>
                  <a:srgbClr val="000000"/>
                </a:solidFill>
              </a:ln>
            </c:spPr>
            <c:extLst>
              <c:ext xmlns:c16="http://schemas.microsoft.com/office/drawing/2014/chart" uri="{C3380CC4-5D6E-409C-BE32-E72D297353CC}">
                <c16:uniqueId val="{00000005-A83A-424E-9EE2-FFA13D2547A2}"/>
              </c:ext>
            </c:extLst>
          </c:dPt>
          <c:dLbls>
            <c:spPr>
              <a:noFill/>
              <a:ln>
                <a:noFill/>
              </a:ln>
              <a:effectLst/>
            </c:spPr>
            <c:txPr>
              <a:bodyPr/>
              <a:lstStyle/>
              <a:p>
                <a:pPr lvl="0">
                  <a:defRPr sz="1600" b="0" i="0">
                    <a:solidFill>
                      <a:srgbClr val="000000"/>
                    </a:solidFill>
                    <a:latin typeface="Arial Narrow"/>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Graficos!$B$42:$F$42</c:f>
              <c:strCache>
                <c:ptCount val="5"/>
                <c:pt idx="0">
                  <c:v>I Trimestre</c:v>
                </c:pt>
                <c:pt idx="1">
                  <c:v>II Trimestre</c:v>
                </c:pt>
                <c:pt idx="2">
                  <c:v>III Trimestre</c:v>
                </c:pt>
                <c:pt idx="3">
                  <c:v>IV Trimestre</c:v>
                </c:pt>
                <c:pt idx="4">
                  <c:v>Total Acumulado</c:v>
                </c:pt>
              </c:strCache>
            </c:strRef>
          </c:cat>
          <c:val>
            <c:numRef>
              <c:f>Graficos!$B$43:$F$43</c:f>
              <c:numCache>
                <c:formatCode>0.0</c:formatCode>
                <c:ptCount val="5"/>
                <c:pt idx="0">
                  <c:v>0</c:v>
                </c:pt>
                <c:pt idx="1">
                  <c:v>0</c:v>
                </c:pt>
                <c:pt idx="2">
                  <c:v>0</c:v>
                </c:pt>
                <c:pt idx="3">
                  <c:v>0</c:v>
                </c:pt>
                <c:pt idx="4">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6-A83A-424E-9EE2-FFA13D2547A2}"/>
            </c:ext>
          </c:extLst>
        </c:ser>
        <c:dLbls>
          <c:showLegendKey val="0"/>
          <c:showVal val="0"/>
          <c:showCatName val="0"/>
          <c:showSerName val="0"/>
          <c:showPercent val="0"/>
          <c:showBubbleSize val="0"/>
        </c:dLbls>
        <c:gapWidth val="150"/>
        <c:axId val="492556400"/>
        <c:axId val="492557968"/>
      </c:barChart>
      <c:catAx>
        <c:axId val="49255640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1600" b="0" i="0">
                <a:solidFill>
                  <a:srgbClr val="000000"/>
                </a:solidFill>
                <a:latin typeface="Arial Narrow"/>
              </a:defRPr>
            </a:pPr>
            <a:endParaRPr lang="es-CO"/>
          </a:p>
        </c:txPr>
        <c:crossAx val="492557968"/>
        <c:crosses val="autoZero"/>
        <c:auto val="1"/>
        <c:lblAlgn val="ctr"/>
        <c:lblOffset val="100"/>
        <c:noMultiLvlLbl val="1"/>
      </c:catAx>
      <c:valAx>
        <c:axId val="492557968"/>
        <c:scaling>
          <c:orientation val="minMax"/>
          <c:max val="12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Porcentaje</a:t>
                </a:r>
              </a:p>
            </c:rich>
          </c:tx>
          <c:overlay val="0"/>
        </c:title>
        <c:numFmt formatCode="General" sourceLinked="1"/>
        <c:majorTickMark val="none"/>
        <c:minorTickMark val="none"/>
        <c:tickLblPos val="nextTo"/>
        <c:spPr>
          <a:ln/>
        </c:spPr>
        <c:txPr>
          <a:bodyPr/>
          <a:lstStyle/>
          <a:p>
            <a:pPr lvl="0">
              <a:defRPr sz="1600" b="0" i="0">
                <a:solidFill>
                  <a:srgbClr val="000000"/>
                </a:solidFill>
                <a:latin typeface="Arial Narrow"/>
              </a:defRPr>
            </a:pPr>
            <a:endParaRPr lang="es-CO"/>
          </a:p>
        </c:txPr>
        <c:crossAx val="492556400"/>
        <c:crosses val="autoZero"/>
        <c:crossBetween val="between"/>
        <c:majorUnit val="10"/>
      </c:valAx>
    </c:plotArea>
    <c:plotVisOnly val="1"/>
    <c:dispBlanksAs val="zero"/>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0.23761636963722241"/>
          <c:y val="0.12582630658647664"/>
          <c:w val="0.53548491564357248"/>
          <c:h val="0.68322556515969812"/>
        </c:manualLayout>
      </c:layout>
      <c:radarChart>
        <c:radarStyle val="marker"/>
        <c:varyColors val="1"/>
        <c:ser>
          <c:idx val="0"/>
          <c:order val="0"/>
          <c:tx>
            <c:strRef>
              <c:f>Graficos!$A$66</c:f>
              <c:strCache>
                <c:ptCount val="1"/>
              </c:strCache>
            </c:strRef>
          </c:tx>
          <c:spPr>
            <a:ln cmpd="sng">
              <a:solidFill>
                <a:srgbClr val="4472C4"/>
              </a:solidFill>
            </a:ln>
          </c:spPr>
          <c:marker>
            <c:symbol val="none"/>
          </c:marker>
          <c:cat>
            <c:strRef>
              <c:f>Graficos!$A$67</c:f>
              <c:strCache>
                <c:ptCount val="1"/>
                <c:pt idx="0">
                  <c:v>SUM of  I trim</c:v>
                </c:pt>
              </c:strCache>
            </c:strRef>
          </c:cat>
          <c:val>
            <c:numRef>
              <c:f>Graficos!$A$67</c:f>
              <c:numCache>
                <c:formatCode>General</c:formatCode>
                <c:ptCount val="1"/>
                <c:pt idx="0">
                  <c:v>0</c:v>
                </c:pt>
              </c:numCache>
            </c:numRef>
          </c:val>
          <c:extLst>
            <c:ext xmlns:c16="http://schemas.microsoft.com/office/drawing/2014/chart" uri="{C3380CC4-5D6E-409C-BE32-E72D297353CC}">
              <c16:uniqueId val="{00000000-CA83-445C-9FB5-2D81396AE539}"/>
            </c:ext>
          </c:extLst>
        </c:ser>
        <c:ser>
          <c:idx val="1"/>
          <c:order val="1"/>
          <c:tx>
            <c:strRef>
              <c:f>Graficos!$B$66</c:f>
              <c:strCache>
                <c:ptCount val="1"/>
              </c:strCache>
            </c:strRef>
          </c:tx>
          <c:spPr>
            <a:ln cmpd="sng">
              <a:solidFill>
                <a:srgbClr val="ED7D31"/>
              </a:solidFill>
            </a:ln>
          </c:spPr>
          <c:marker>
            <c:symbol val="none"/>
          </c:marker>
          <c:cat>
            <c:strRef>
              <c:f>Graficos!$A$67</c:f>
              <c:strCache>
                <c:ptCount val="1"/>
                <c:pt idx="0">
                  <c:v>SUM of  I trim</c:v>
                </c:pt>
              </c:strCache>
            </c:strRef>
          </c:cat>
          <c:val>
            <c:numRef>
              <c:f>Graficos!$B$67</c:f>
              <c:numCache>
                <c:formatCode>General</c:formatCode>
                <c:ptCount val="1"/>
                <c:pt idx="0">
                  <c:v>0</c:v>
                </c:pt>
              </c:numCache>
            </c:numRef>
          </c:val>
          <c:extLst>
            <c:ext xmlns:c16="http://schemas.microsoft.com/office/drawing/2014/chart" uri="{C3380CC4-5D6E-409C-BE32-E72D297353CC}">
              <c16:uniqueId val="{00000001-CA83-445C-9FB5-2D81396AE539}"/>
            </c:ext>
          </c:extLst>
        </c:ser>
        <c:ser>
          <c:idx val="2"/>
          <c:order val="2"/>
          <c:tx>
            <c:strRef>
              <c:f>Graficos!$C$66</c:f>
              <c:strCache>
                <c:ptCount val="1"/>
              </c:strCache>
            </c:strRef>
          </c:tx>
          <c:spPr>
            <a:ln cmpd="sng">
              <a:solidFill>
                <a:srgbClr val="A5A5A5"/>
              </a:solidFill>
            </a:ln>
          </c:spPr>
          <c:marker>
            <c:symbol val="none"/>
          </c:marker>
          <c:cat>
            <c:strRef>
              <c:f>Graficos!$A$67</c:f>
              <c:strCache>
                <c:ptCount val="1"/>
                <c:pt idx="0">
                  <c:v>SUM of  I trim</c:v>
                </c:pt>
              </c:strCache>
            </c:strRef>
          </c:cat>
          <c:val>
            <c:numRef>
              <c:f>Graficos!$C$67</c:f>
              <c:numCache>
                <c:formatCode>General</c:formatCode>
                <c:ptCount val="1"/>
                <c:pt idx="0">
                  <c:v>0</c:v>
                </c:pt>
              </c:numCache>
            </c:numRef>
          </c:val>
          <c:extLst>
            <c:ext xmlns:c16="http://schemas.microsoft.com/office/drawing/2014/chart" uri="{C3380CC4-5D6E-409C-BE32-E72D297353CC}">
              <c16:uniqueId val="{00000002-CA83-445C-9FB5-2D81396AE539}"/>
            </c:ext>
          </c:extLst>
        </c:ser>
        <c:ser>
          <c:idx val="3"/>
          <c:order val="3"/>
          <c:tx>
            <c:strRef>
              <c:f>Graficos!$D$66</c:f>
              <c:strCache>
                <c:ptCount val="1"/>
              </c:strCache>
            </c:strRef>
          </c:tx>
          <c:spPr>
            <a:ln cmpd="sng">
              <a:solidFill>
                <a:srgbClr val="FFC000"/>
              </a:solidFill>
            </a:ln>
          </c:spPr>
          <c:marker>
            <c:symbol val="none"/>
          </c:marker>
          <c:cat>
            <c:strRef>
              <c:f>Graficos!$A$67</c:f>
              <c:strCache>
                <c:ptCount val="1"/>
                <c:pt idx="0">
                  <c:v>SUM of  I trim</c:v>
                </c:pt>
              </c:strCache>
            </c:strRef>
          </c:cat>
          <c:val>
            <c:numRef>
              <c:f>Graficos!$D$67</c:f>
              <c:numCache>
                <c:formatCode>General</c:formatCode>
                <c:ptCount val="1"/>
                <c:pt idx="0">
                  <c:v>0</c:v>
                </c:pt>
              </c:numCache>
            </c:numRef>
          </c:val>
          <c:extLst>
            <c:ext xmlns:c16="http://schemas.microsoft.com/office/drawing/2014/chart" uri="{C3380CC4-5D6E-409C-BE32-E72D297353CC}">
              <c16:uniqueId val="{00000003-CA83-445C-9FB5-2D81396AE539}"/>
            </c:ext>
          </c:extLst>
        </c:ser>
        <c:dLbls>
          <c:showLegendKey val="0"/>
          <c:showVal val="0"/>
          <c:showCatName val="0"/>
          <c:showSerName val="0"/>
          <c:showPercent val="0"/>
          <c:showBubbleSize val="0"/>
        </c:dLbls>
        <c:axId val="492552480"/>
        <c:axId val="492550912"/>
      </c:radarChart>
      <c:catAx>
        <c:axId val="49255248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s-CO"/>
          </a:p>
        </c:txPr>
        <c:crossAx val="492550912"/>
        <c:crosses val="autoZero"/>
        <c:auto val="1"/>
        <c:lblAlgn val="ctr"/>
        <c:lblOffset val="100"/>
        <c:noMultiLvlLbl val="1"/>
      </c:catAx>
      <c:valAx>
        <c:axId val="492550912"/>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s-CO"/>
          </a:p>
        </c:txPr>
        <c:crossAx val="492552480"/>
        <c:crosses val="autoZero"/>
        <c:crossBetween val="between"/>
      </c:valAx>
    </c:plotArea>
    <c:legend>
      <c:legendPos val="b"/>
      <c:overlay val="0"/>
      <c:txPr>
        <a:bodyPr/>
        <a:lstStyle/>
        <a:p>
          <a:pPr lvl="0">
            <a:defRPr sz="1200" b="0" i="0">
              <a:solidFill>
                <a:srgbClr val="000000"/>
              </a:solidFill>
              <a:latin typeface="Arial Narrow"/>
            </a:defRPr>
          </a:pPr>
          <a:endParaRPr lang="es-CO"/>
        </a:p>
      </c:txPr>
    </c:legend>
    <c:plotVisOnly val="1"/>
    <c:dispBlanksAs val="zero"/>
    <c:showDLblsOverMax val="1"/>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b="0">
                <a:solidFill>
                  <a:srgbClr val="757575"/>
                </a:solidFill>
                <a:latin typeface="+mn-lt"/>
              </a:defRPr>
            </a:pPr>
            <a:r>
              <a:rPr b="0">
                <a:solidFill>
                  <a:srgbClr val="757575"/>
                </a:solidFill>
                <a:latin typeface="+mn-lt"/>
              </a:rPr>
              <a:t>% Cumplimiento del PAS según Eje del PDSP 2022 -2031</a:t>
            </a:r>
          </a:p>
        </c:rich>
      </c:tx>
      <c:overlay val="0"/>
    </c:title>
    <c:autoTitleDeleted val="0"/>
    <c:plotArea>
      <c:layout/>
      <c:barChart>
        <c:barDir val="bar"/>
        <c:grouping val="clustered"/>
        <c:varyColors val="1"/>
        <c:ser>
          <c:idx val="0"/>
          <c:order val="0"/>
          <c:invertIfNegative val="1"/>
          <c:cat>
            <c:strRef>
              <c:f>Graficos!$F$63</c:f>
              <c:strCache>
                <c:ptCount val="1"/>
                <c:pt idx="0">
                  <c:v>% Cumplimiento del PAS según Eje del PDSP 2022 -2031</c:v>
                </c:pt>
              </c:strCache>
            </c:strRef>
          </c:cat>
          <c:val>
            <c:numRef>
              <c:f>Graficos!$F$63</c:f>
              <c:numCache>
                <c:formatCode>General</c:formatCode>
                <c:ptCount val="1"/>
                <c:pt idx="0">
                  <c:v>0</c:v>
                </c:pt>
              </c:numCache>
            </c:numRef>
          </c:val>
          <c:extLst>
            <c:ext xmlns:c16="http://schemas.microsoft.com/office/drawing/2014/chart" uri="{C3380CC4-5D6E-409C-BE32-E72D297353CC}">
              <c16:uniqueId val="{00000000-766E-4E0E-B332-7C76607DC528}"/>
            </c:ext>
          </c:extLst>
        </c:ser>
        <c:ser>
          <c:idx val="1"/>
          <c:order val="1"/>
          <c:invertIfNegative val="1"/>
          <c:cat>
            <c:strRef>
              <c:f>Graficos!$F$63</c:f>
              <c:strCache>
                <c:ptCount val="1"/>
                <c:pt idx="0">
                  <c:v>% Cumplimiento del PAS según Eje del PDSP 2022 -2031</c:v>
                </c:pt>
              </c:strCache>
            </c:strRef>
          </c:cat>
          <c:val>
            <c:numRef>
              <c:f>Graficos!$F$63</c:f>
              <c:numCache>
                <c:formatCode>General</c:formatCode>
                <c:ptCount val="1"/>
                <c:pt idx="0">
                  <c:v>0</c:v>
                </c:pt>
              </c:numCache>
            </c:numRef>
          </c:val>
          <c:extLst>
            <c:ext xmlns:c16="http://schemas.microsoft.com/office/drawing/2014/chart" uri="{C3380CC4-5D6E-409C-BE32-E72D297353CC}">
              <c16:uniqueId val="{00000001-766E-4E0E-B332-7C76607DC528}"/>
            </c:ext>
          </c:extLst>
        </c:ser>
        <c:ser>
          <c:idx val="2"/>
          <c:order val="2"/>
          <c:invertIfNegative val="1"/>
          <c:cat>
            <c:strRef>
              <c:f>Graficos!$F$63</c:f>
              <c:strCache>
                <c:ptCount val="1"/>
                <c:pt idx="0">
                  <c:v>% Cumplimiento del PAS según Eje del PDSP 2022 -2031</c:v>
                </c:pt>
              </c:strCache>
            </c:strRef>
          </c:cat>
          <c:val>
            <c:numRef>
              <c:f>Graficos!$F$63</c:f>
              <c:numCache>
                <c:formatCode>General</c:formatCode>
                <c:ptCount val="1"/>
                <c:pt idx="0">
                  <c:v>0</c:v>
                </c:pt>
              </c:numCache>
            </c:numRef>
          </c:val>
          <c:extLst>
            <c:ext xmlns:c16="http://schemas.microsoft.com/office/drawing/2014/chart" uri="{C3380CC4-5D6E-409C-BE32-E72D297353CC}">
              <c16:uniqueId val="{00000002-766E-4E0E-B332-7C76607DC528}"/>
            </c:ext>
          </c:extLst>
        </c:ser>
        <c:ser>
          <c:idx val="3"/>
          <c:order val="3"/>
          <c:invertIfNegative val="1"/>
          <c:cat>
            <c:strRef>
              <c:f>Graficos!$F$63</c:f>
              <c:strCache>
                <c:ptCount val="1"/>
                <c:pt idx="0">
                  <c:v>% Cumplimiento del PAS según Eje del PDSP 2022 -2031</c:v>
                </c:pt>
              </c:strCache>
            </c:strRef>
          </c:cat>
          <c:val>
            <c:numRef>
              <c:f>Graficos!$F$63</c:f>
              <c:numCache>
                <c:formatCode>General</c:formatCode>
                <c:ptCount val="1"/>
                <c:pt idx="0">
                  <c:v>0</c:v>
                </c:pt>
              </c:numCache>
            </c:numRef>
          </c:val>
          <c:extLst>
            <c:ext xmlns:c16="http://schemas.microsoft.com/office/drawing/2014/chart" uri="{C3380CC4-5D6E-409C-BE32-E72D297353CC}">
              <c16:uniqueId val="{00000003-766E-4E0E-B332-7C76607DC528}"/>
            </c:ext>
          </c:extLst>
        </c:ser>
        <c:dLbls>
          <c:showLegendKey val="0"/>
          <c:showVal val="0"/>
          <c:showCatName val="0"/>
          <c:showSerName val="0"/>
          <c:showPercent val="0"/>
          <c:showBubbleSize val="0"/>
        </c:dLbls>
        <c:gapWidth val="150"/>
        <c:axId val="492557184"/>
        <c:axId val="492552872"/>
      </c:barChart>
      <c:catAx>
        <c:axId val="492557184"/>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1600" b="0" i="0">
                <a:solidFill>
                  <a:srgbClr val="000000"/>
                </a:solidFill>
                <a:latin typeface="Arial Narrow"/>
              </a:defRPr>
            </a:pPr>
            <a:endParaRPr lang="es-CO"/>
          </a:p>
        </c:txPr>
        <c:crossAx val="492552872"/>
        <c:crosses val="autoZero"/>
        <c:auto val="1"/>
        <c:lblAlgn val="ctr"/>
        <c:lblOffset val="100"/>
        <c:noMultiLvlLbl val="1"/>
      </c:catAx>
      <c:valAx>
        <c:axId val="492552872"/>
        <c:scaling>
          <c:orientation val="minMax"/>
        </c:scaling>
        <c:delete val="0"/>
        <c:axPos val="b"/>
        <c:numFmt formatCode="General" sourceLinked="1"/>
        <c:majorTickMark val="cross"/>
        <c:minorTickMark val="cross"/>
        <c:tickLblPos val="nextTo"/>
        <c:spPr>
          <a:ln>
            <a:noFill/>
          </a:ln>
        </c:spPr>
        <c:crossAx val="492557184"/>
        <c:crosses val="max"/>
        <c:crossBetween val="between"/>
      </c:valAx>
    </c:plotArea>
    <c:legend>
      <c:legendPos val="r"/>
      <c:overlay val="0"/>
      <c:txPr>
        <a:bodyPr/>
        <a:lstStyle/>
        <a:p>
          <a:pPr lvl="0">
            <a:defRPr sz="1600" b="0" i="0">
              <a:solidFill>
                <a:srgbClr val="000000"/>
              </a:solidFill>
              <a:latin typeface="Arial Narrow"/>
            </a:defRPr>
          </a:pPr>
          <a:endParaRPr lang="es-C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oneCellAnchor>
    <xdr:from>
      <xdr:col>0</xdr:col>
      <xdr:colOff>104775</xdr:colOff>
      <xdr:row>0</xdr:row>
      <xdr:rowOff>114300</xdr:rowOff>
    </xdr:from>
    <xdr:ext cx="800100" cy="857250"/>
    <xdr:pic>
      <xdr:nvPicPr>
        <xdr:cNvPr id="2" name="image1.png" descr="Potencia de vida">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266700</xdr:colOff>
      <xdr:row>9</xdr:row>
      <xdr:rowOff>28575</xdr:rowOff>
    </xdr:from>
    <xdr:ext cx="9353550" cy="5810250"/>
    <xdr:graphicFrame macro="">
      <xdr:nvGraphicFramePr>
        <xdr:cNvPr id="1784242597" name="Chart 1">
          <a:extLst>
            <a:ext uri="{FF2B5EF4-FFF2-40B4-BE49-F238E27FC236}">
              <a16:creationId xmlns:a16="http://schemas.microsoft.com/office/drawing/2014/main" id="{00000000-0008-0000-0100-0000A56159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3</xdr:col>
      <xdr:colOff>876300</xdr:colOff>
      <xdr:row>9</xdr:row>
      <xdr:rowOff>28575</xdr:rowOff>
    </xdr:from>
    <xdr:ext cx="7200900" cy="5810250"/>
    <xdr:graphicFrame macro="">
      <xdr:nvGraphicFramePr>
        <xdr:cNvPr id="1505228067" name="Chart 2">
          <a:extLst>
            <a:ext uri="{FF2B5EF4-FFF2-40B4-BE49-F238E27FC236}">
              <a16:creationId xmlns:a16="http://schemas.microsoft.com/office/drawing/2014/main" id="{00000000-0008-0000-0100-000023F5B7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0</xdr:col>
      <xdr:colOff>257175</xdr:colOff>
      <xdr:row>41</xdr:row>
      <xdr:rowOff>171450</xdr:rowOff>
    </xdr:from>
    <xdr:ext cx="9353550" cy="6753225"/>
    <xdr:graphicFrame macro="">
      <xdr:nvGraphicFramePr>
        <xdr:cNvPr id="1938434130" name="Chart 3">
          <a:extLst>
            <a:ext uri="{FF2B5EF4-FFF2-40B4-BE49-F238E27FC236}">
              <a16:creationId xmlns:a16="http://schemas.microsoft.com/office/drawing/2014/main" id="{00000000-0008-0000-0100-000052288A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0</xdr:col>
      <xdr:colOff>1371600</xdr:colOff>
      <xdr:row>1</xdr:row>
      <xdr:rowOff>123825</xdr:rowOff>
    </xdr:from>
    <xdr:ext cx="9810750" cy="247650"/>
    <xdr:sp macro="" textlink="">
      <xdr:nvSpPr>
        <xdr:cNvPr id="3" name="Shape 3">
          <a:extLst>
            <a:ext uri="{FF2B5EF4-FFF2-40B4-BE49-F238E27FC236}">
              <a16:creationId xmlns:a16="http://schemas.microsoft.com/office/drawing/2014/main" id="{00000000-0008-0000-0100-000003000000}"/>
            </a:ext>
          </a:extLst>
        </xdr:cNvPr>
        <xdr:cNvSpPr txBox="1"/>
      </xdr:nvSpPr>
      <xdr:spPr>
        <a:xfrm>
          <a:off x="445388" y="3660938"/>
          <a:ext cx="9801225" cy="238125"/>
        </a:xfrm>
        <a:prstGeom prst="rect">
          <a:avLst/>
        </a:prstGeom>
        <a:noFill/>
        <a:ln>
          <a:noFill/>
        </a:ln>
      </xdr:spPr>
      <xdr:txBody>
        <a:bodyPr spcFirstLastPara="1" wrap="square" lIns="0" tIns="0" rIns="0" bIns="0" anchor="t" anchorCtr="0">
          <a:spAutoFit/>
        </a:bodyPr>
        <a:lstStyle/>
        <a:p>
          <a:pPr marL="0" lvl="0" indent="0" algn="ctr" rtl="0">
            <a:spcBef>
              <a:spcPts val="0"/>
            </a:spcBef>
            <a:spcAft>
              <a:spcPts val="0"/>
            </a:spcAft>
            <a:buNone/>
          </a:pPr>
          <a:r>
            <a:rPr lang="en-US" sz="1600" b="1">
              <a:solidFill>
                <a:srgbClr val="7F7F7F"/>
              </a:solidFill>
              <a:highlight>
                <a:srgbClr val="FFFFFF"/>
              </a:highlight>
              <a:latin typeface="Verdana"/>
              <a:ea typeface="Verdana"/>
              <a:cs typeface="Verdana"/>
              <a:sym typeface="Verdana"/>
            </a:rPr>
            <a:t>SEGUIMIENTO AL PLAN DE ACCIÓN EN SALUD 2026</a:t>
          </a:r>
          <a:endParaRPr sz="1600" b="1">
            <a:solidFill>
              <a:srgbClr val="7F7F7F"/>
            </a:solidFill>
            <a:latin typeface="Verdana"/>
            <a:ea typeface="Verdana"/>
            <a:cs typeface="Verdana"/>
            <a:sym typeface="Verdana"/>
          </a:endParaRPr>
        </a:p>
      </xdr:txBody>
    </xdr:sp>
    <xdr:clientData fLocksWithSheet="0"/>
  </xdr:oneCellAnchor>
  <xdr:oneCellAnchor>
    <xdr:from>
      <xdr:col>13</xdr:col>
      <xdr:colOff>219075</xdr:colOff>
      <xdr:row>32</xdr:row>
      <xdr:rowOff>95250</xdr:rowOff>
    </xdr:from>
    <xdr:ext cx="361950" cy="352425"/>
    <xdr:sp macro="" textlink="">
      <xdr:nvSpPr>
        <xdr:cNvPr id="4" name="Shape 4">
          <a:extLst>
            <a:ext uri="{FF2B5EF4-FFF2-40B4-BE49-F238E27FC236}">
              <a16:creationId xmlns:a16="http://schemas.microsoft.com/office/drawing/2014/main" id="{00000000-0008-0000-0100-000004000000}"/>
            </a:ext>
          </a:extLst>
        </xdr:cNvPr>
        <xdr:cNvSpPr/>
      </xdr:nvSpPr>
      <xdr:spPr>
        <a:xfrm>
          <a:off x="5169788" y="3608550"/>
          <a:ext cx="352425" cy="342900"/>
        </a:xfrm>
        <a:prstGeom prst="rect">
          <a:avLst/>
        </a:prstGeom>
        <a:solidFill>
          <a:srgbClr val="AA72D4"/>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13</xdr:col>
      <xdr:colOff>209550</xdr:colOff>
      <xdr:row>34</xdr:row>
      <xdr:rowOff>123825</xdr:rowOff>
    </xdr:from>
    <xdr:ext cx="361950" cy="352425"/>
    <xdr:sp macro="" textlink="">
      <xdr:nvSpPr>
        <xdr:cNvPr id="5" name="Shape 5">
          <a:extLst>
            <a:ext uri="{FF2B5EF4-FFF2-40B4-BE49-F238E27FC236}">
              <a16:creationId xmlns:a16="http://schemas.microsoft.com/office/drawing/2014/main" id="{00000000-0008-0000-0100-000005000000}"/>
            </a:ext>
          </a:extLst>
        </xdr:cNvPr>
        <xdr:cNvSpPr/>
      </xdr:nvSpPr>
      <xdr:spPr>
        <a:xfrm>
          <a:off x="5169788" y="3608550"/>
          <a:ext cx="352425" cy="342900"/>
        </a:xfrm>
        <a:prstGeom prst="rect">
          <a:avLst/>
        </a:prstGeom>
        <a:solidFill>
          <a:srgbClr val="A8D08C"/>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13</xdr:col>
      <xdr:colOff>219075</xdr:colOff>
      <xdr:row>36</xdr:row>
      <xdr:rowOff>142875</xdr:rowOff>
    </xdr:from>
    <xdr:ext cx="361950" cy="352425"/>
    <xdr:sp macro="" textlink="">
      <xdr:nvSpPr>
        <xdr:cNvPr id="6" name="Shape 6">
          <a:extLst>
            <a:ext uri="{FF2B5EF4-FFF2-40B4-BE49-F238E27FC236}">
              <a16:creationId xmlns:a16="http://schemas.microsoft.com/office/drawing/2014/main" id="{00000000-0008-0000-0100-000006000000}"/>
            </a:ext>
          </a:extLst>
        </xdr:cNvPr>
        <xdr:cNvSpPr/>
      </xdr:nvSpPr>
      <xdr:spPr>
        <a:xfrm>
          <a:off x="5169788" y="3608550"/>
          <a:ext cx="352425" cy="342900"/>
        </a:xfrm>
        <a:prstGeom prst="rect">
          <a:avLst/>
        </a:prstGeom>
        <a:solidFill>
          <a:srgbClr val="FFD966"/>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13</xdr:col>
      <xdr:colOff>219075</xdr:colOff>
      <xdr:row>39</xdr:row>
      <xdr:rowOff>0</xdr:rowOff>
    </xdr:from>
    <xdr:ext cx="361950" cy="352425"/>
    <xdr:sp macro="" textlink="">
      <xdr:nvSpPr>
        <xdr:cNvPr id="7" name="Shape 7">
          <a:extLst>
            <a:ext uri="{FF2B5EF4-FFF2-40B4-BE49-F238E27FC236}">
              <a16:creationId xmlns:a16="http://schemas.microsoft.com/office/drawing/2014/main" id="{00000000-0008-0000-0100-000007000000}"/>
            </a:ext>
          </a:extLst>
        </xdr:cNvPr>
        <xdr:cNvSpPr/>
      </xdr:nvSpPr>
      <xdr:spPr>
        <a:xfrm>
          <a:off x="5169788" y="3608550"/>
          <a:ext cx="352425" cy="342900"/>
        </a:xfrm>
        <a:prstGeom prst="rect">
          <a:avLst/>
        </a:prstGeom>
        <a:solidFill>
          <a:srgbClr val="FF5B5B"/>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13</xdr:col>
      <xdr:colOff>609600</xdr:colOff>
      <xdr:row>32</xdr:row>
      <xdr:rowOff>85725</xdr:rowOff>
    </xdr:from>
    <xdr:ext cx="2000250" cy="352425"/>
    <xdr:sp macro="" textlink="">
      <xdr:nvSpPr>
        <xdr:cNvPr id="8" name="Shape 8">
          <a:extLst>
            <a:ext uri="{FF2B5EF4-FFF2-40B4-BE49-F238E27FC236}">
              <a16:creationId xmlns:a16="http://schemas.microsoft.com/office/drawing/2014/main" id="{00000000-0008-0000-0100-000008000000}"/>
            </a:ext>
          </a:extLst>
        </xdr:cNvPr>
        <xdr:cNvSpPr txBox="1"/>
      </xdr:nvSpPr>
      <xdr:spPr>
        <a:xfrm>
          <a:off x="4350638" y="3608550"/>
          <a:ext cx="1990725" cy="34290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400">
              <a:solidFill>
                <a:schemeClr val="dk1"/>
              </a:solidFill>
              <a:latin typeface="Calibri"/>
              <a:ea typeface="Calibri"/>
              <a:cs typeface="Calibri"/>
              <a:sym typeface="Calibri"/>
            </a:rPr>
            <a:t>&gt; al 100%</a:t>
          </a:r>
          <a:endParaRPr sz="1400"/>
        </a:p>
      </xdr:txBody>
    </xdr:sp>
    <xdr:clientData fLocksWithSheet="0"/>
  </xdr:oneCellAnchor>
  <xdr:oneCellAnchor>
    <xdr:from>
      <xdr:col>13</xdr:col>
      <xdr:colOff>600075</xdr:colOff>
      <xdr:row>34</xdr:row>
      <xdr:rowOff>123825</xdr:rowOff>
    </xdr:from>
    <xdr:ext cx="2000250" cy="352425"/>
    <xdr:sp macro="" textlink="">
      <xdr:nvSpPr>
        <xdr:cNvPr id="9" name="Shape 9">
          <a:extLst>
            <a:ext uri="{FF2B5EF4-FFF2-40B4-BE49-F238E27FC236}">
              <a16:creationId xmlns:a16="http://schemas.microsoft.com/office/drawing/2014/main" id="{00000000-0008-0000-0100-000009000000}"/>
            </a:ext>
          </a:extLst>
        </xdr:cNvPr>
        <xdr:cNvSpPr txBox="1"/>
      </xdr:nvSpPr>
      <xdr:spPr>
        <a:xfrm>
          <a:off x="4350638" y="3608550"/>
          <a:ext cx="1990725" cy="34290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400">
              <a:solidFill>
                <a:schemeClr val="dk1"/>
              </a:solidFill>
              <a:latin typeface="Calibri"/>
              <a:ea typeface="Calibri"/>
              <a:cs typeface="Calibri"/>
              <a:sym typeface="Calibri"/>
            </a:rPr>
            <a:t>Entre el 80% y 100%</a:t>
          </a:r>
          <a:endParaRPr sz="1400"/>
        </a:p>
      </xdr:txBody>
    </xdr:sp>
    <xdr:clientData fLocksWithSheet="0"/>
  </xdr:oneCellAnchor>
  <xdr:oneCellAnchor>
    <xdr:from>
      <xdr:col>13</xdr:col>
      <xdr:colOff>600075</xdr:colOff>
      <xdr:row>36</xdr:row>
      <xdr:rowOff>152400</xdr:rowOff>
    </xdr:from>
    <xdr:ext cx="2000250" cy="352425"/>
    <xdr:sp macro="" textlink="">
      <xdr:nvSpPr>
        <xdr:cNvPr id="10" name="Shape 10">
          <a:extLst>
            <a:ext uri="{FF2B5EF4-FFF2-40B4-BE49-F238E27FC236}">
              <a16:creationId xmlns:a16="http://schemas.microsoft.com/office/drawing/2014/main" id="{00000000-0008-0000-0100-00000A000000}"/>
            </a:ext>
          </a:extLst>
        </xdr:cNvPr>
        <xdr:cNvSpPr txBox="1"/>
      </xdr:nvSpPr>
      <xdr:spPr>
        <a:xfrm>
          <a:off x="4350638" y="3608550"/>
          <a:ext cx="1990725" cy="34290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400">
              <a:solidFill>
                <a:schemeClr val="dk1"/>
              </a:solidFill>
              <a:latin typeface="Calibri"/>
              <a:ea typeface="Calibri"/>
              <a:cs typeface="Calibri"/>
              <a:sym typeface="Calibri"/>
            </a:rPr>
            <a:t>Entre el 60% y 99,9%</a:t>
          </a:r>
          <a:endParaRPr sz="1400"/>
        </a:p>
      </xdr:txBody>
    </xdr:sp>
    <xdr:clientData fLocksWithSheet="0"/>
  </xdr:oneCellAnchor>
  <xdr:oneCellAnchor>
    <xdr:from>
      <xdr:col>13</xdr:col>
      <xdr:colOff>600075</xdr:colOff>
      <xdr:row>39</xdr:row>
      <xdr:rowOff>0</xdr:rowOff>
    </xdr:from>
    <xdr:ext cx="2000250" cy="352425"/>
    <xdr:sp macro="" textlink="">
      <xdr:nvSpPr>
        <xdr:cNvPr id="11" name="Shape 11">
          <a:extLst>
            <a:ext uri="{FF2B5EF4-FFF2-40B4-BE49-F238E27FC236}">
              <a16:creationId xmlns:a16="http://schemas.microsoft.com/office/drawing/2014/main" id="{00000000-0008-0000-0100-00000B000000}"/>
            </a:ext>
          </a:extLst>
        </xdr:cNvPr>
        <xdr:cNvSpPr txBox="1"/>
      </xdr:nvSpPr>
      <xdr:spPr>
        <a:xfrm>
          <a:off x="4350638" y="3608550"/>
          <a:ext cx="1990725" cy="34290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400">
              <a:solidFill>
                <a:schemeClr val="dk1"/>
              </a:solidFill>
              <a:latin typeface="Calibri"/>
              <a:ea typeface="Calibri"/>
              <a:cs typeface="Calibri"/>
              <a:sym typeface="Calibri"/>
            </a:rPr>
            <a:t>Menor al 60%</a:t>
          </a:r>
          <a:endParaRPr sz="1400"/>
        </a:p>
      </xdr:txBody>
    </xdr:sp>
    <xdr:clientData fLocksWithSheet="0"/>
  </xdr:oneCellAnchor>
  <xdr:oneCellAnchor>
    <xdr:from>
      <xdr:col>0</xdr:col>
      <xdr:colOff>2038350</xdr:colOff>
      <xdr:row>4</xdr:row>
      <xdr:rowOff>95250</xdr:rowOff>
    </xdr:from>
    <xdr:ext cx="1590675" cy="581025"/>
    <xdr:sp macro="" textlink="">
      <xdr:nvSpPr>
        <xdr:cNvPr id="12" name="Shape 12">
          <a:extLst>
            <a:ext uri="{FF2B5EF4-FFF2-40B4-BE49-F238E27FC236}">
              <a16:creationId xmlns:a16="http://schemas.microsoft.com/office/drawing/2014/main" id="{00000000-0008-0000-0100-00000C000000}"/>
            </a:ext>
          </a:extLst>
        </xdr:cNvPr>
        <xdr:cNvSpPr/>
      </xdr:nvSpPr>
      <xdr:spPr>
        <a:xfrm>
          <a:off x="4555425" y="3494250"/>
          <a:ext cx="1581150" cy="571500"/>
        </a:xfrm>
        <a:prstGeom prst="roundRect">
          <a:avLst>
            <a:gd name="adj" fmla="val 16667"/>
          </a:avLst>
        </a:prstGeom>
        <a:solidFill>
          <a:srgbClr val="32B29B"/>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a:solidFill>
                <a:schemeClr val="lt1"/>
              </a:solidFill>
              <a:latin typeface="Calibri"/>
              <a:ea typeface="Calibri"/>
              <a:cs typeface="Calibri"/>
              <a:sym typeface="Calibri"/>
            </a:rPr>
            <a:t>ACTUALIZAR</a:t>
          </a:r>
          <a:endParaRPr sz="1400"/>
        </a:p>
        <a:p>
          <a:pPr marL="0" lvl="0" indent="0" algn="ctr" rtl="0">
            <a:spcBef>
              <a:spcPts val="0"/>
            </a:spcBef>
            <a:spcAft>
              <a:spcPts val="0"/>
            </a:spcAft>
            <a:buNone/>
          </a:pPr>
          <a:r>
            <a:rPr lang="en-US" sz="1400" b="1">
              <a:solidFill>
                <a:schemeClr val="lt1"/>
              </a:solidFill>
              <a:latin typeface="Calibri"/>
              <a:ea typeface="Calibri"/>
              <a:cs typeface="Calibri"/>
              <a:sym typeface="Calibri"/>
            </a:rPr>
            <a:t>REPORTE</a:t>
          </a:r>
          <a:endParaRPr sz="1400"/>
        </a:p>
      </xdr:txBody>
    </xdr:sp>
    <xdr:clientData fLocksWithSheet="0"/>
  </xdr:oneCellAnchor>
  <xdr:oneCellAnchor>
    <xdr:from>
      <xdr:col>0</xdr:col>
      <xdr:colOff>114300</xdr:colOff>
      <xdr:row>0</xdr:row>
      <xdr:rowOff>114300</xdr:rowOff>
    </xdr:from>
    <xdr:ext cx="895350" cy="1000125"/>
    <xdr:pic>
      <xdr:nvPicPr>
        <xdr:cNvPr id="2" name="image2.pn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28</xdr:col>
      <xdr:colOff>688357</xdr:colOff>
      <xdr:row>0</xdr:row>
      <xdr:rowOff>0</xdr:rowOff>
    </xdr:from>
    <xdr:ext cx="1666916" cy="588818"/>
    <xdr:grpSp>
      <xdr:nvGrpSpPr>
        <xdr:cNvPr id="2" name="Shape 2">
          <a:extLst>
            <a:ext uri="{FF2B5EF4-FFF2-40B4-BE49-F238E27FC236}">
              <a16:creationId xmlns:a16="http://schemas.microsoft.com/office/drawing/2014/main" id="{00000000-0008-0000-0200-000002000000}"/>
            </a:ext>
          </a:extLst>
        </xdr:cNvPr>
        <xdr:cNvGrpSpPr/>
      </xdr:nvGrpSpPr>
      <xdr:grpSpPr>
        <a:xfrm>
          <a:off x="37978080" y="0"/>
          <a:ext cx="1666916" cy="588818"/>
          <a:chOff x="4350638" y="3365663"/>
          <a:chExt cx="1990725" cy="828675"/>
        </a:xfrm>
      </xdr:grpSpPr>
      <xdr:grpSp>
        <xdr:nvGrpSpPr>
          <xdr:cNvPr id="13" name="Shape 13">
            <a:extLst>
              <a:ext uri="{FF2B5EF4-FFF2-40B4-BE49-F238E27FC236}">
                <a16:creationId xmlns:a16="http://schemas.microsoft.com/office/drawing/2014/main" id="{00000000-0008-0000-0200-00000D000000}"/>
              </a:ext>
            </a:extLst>
          </xdr:cNvPr>
          <xdr:cNvGrpSpPr/>
        </xdr:nvGrpSpPr>
        <xdr:grpSpPr>
          <a:xfrm>
            <a:off x="4350638" y="3365663"/>
            <a:ext cx="1990725" cy="828675"/>
            <a:chOff x="26433867" y="49806"/>
            <a:chExt cx="2002306" cy="947016"/>
          </a:xfrm>
        </xdr:grpSpPr>
        <xdr:sp macro="" textlink="">
          <xdr:nvSpPr>
            <xdr:cNvPr id="14" name="Shape 14">
              <a:extLst>
                <a:ext uri="{FF2B5EF4-FFF2-40B4-BE49-F238E27FC236}">
                  <a16:creationId xmlns:a16="http://schemas.microsoft.com/office/drawing/2014/main" id="{00000000-0008-0000-0200-00000E000000}"/>
                </a:ext>
              </a:extLst>
            </xdr:cNvPr>
            <xdr:cNvSpPr/>
          </xdr:nvSpPr>
          <xdr:spPr>
            <a:xfrm>
              <a:off x="26433867" y="49806"/>
              <a:ext cx="2002300" cy="9470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15" name="Shape 15">
              <a:extLst>
                <a:ext uri="{FF2B5EF4-FFF2-40B4-BE49-F238E27FC236}">
                  <a16:creationId xmlns:a16="http://schemas.microsoft.com/office/drawing/2014/main" id="{00000000-0008-0000-0200-00000F000000}"/>
                </a:ext>
              </a:extLst>
            </xdr:cNvPr>
            <xdr:cNvSpPr/>
          </xdr:nvSpPr>
          <xdr:spPr>
            <a:xfrm>
              <a:off x="26437217" y="49806"/>
              <a:ext cx="180000" cy="180000"/>
            </a:xfrm>
            <a:prstGeom prst="rect">
              <a:avLst/>
            </a:prstGeom>
            <a:solidFill>
              <a:srgbClr val="AA72D4"/>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000"/>
            </a:p>
          </xdr:txBody>
        </xdr:sp>
        <xdr:sp macro="" textlink="">
          <xdr:nvSpPr>
            <xdr:cNvPr id="16" name="Shape 16">
              <a:extLst>
                <a:ext uri="{FF2B5EF4-FFF2-40B4-BE49-F238E27FC236}">
                  <a16:creationId xmlns:a16="http://schemas.microsoft.com/office/drawing/2014/main" id="{00000000-0008-0000-0200-000010000000}"/>
                </a:ext>
              </a:extLst>
            </xdr:cNvPr>
            <xdr:cNvSpPr/>
          </xdr:nvSpPr>
          <xdr:spPr>
            <a:xfrm>
              <a:off x="26434244" y="241475"/>
              <a:ext cx="180000" cy="180000"/>
            </a:xfrm>
            <a:prstGeom prst="rect">
              <a:avLst/>
            </a:prstGeom>
            <a:solidFill>
              <a:srgbClr val="A8D08C"/>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000"/>
            </a:p>
          </xdr:txBody>
        </xdr:sp>
        <xdr:sp macro="" textlink="">
          <xdr:nvSpPr>
            <xdr:cNvPr id="17" name="Shape 17">
              <a:extLst>
                <a:ext uri="{FF2B5EF4-FFF2-40B4-BE49-F238E27FC236}">
                  <a16:creationId xmlns:a16="http://schemas.microsoft.com/office/drawing/2014/main" id="{00000000-0008-0000-0200-000011000000}"/>
                </a:ext>
              </a:extLst>
            </xdr:cNvPr>
            <xdr:cNvSpPr/>
          </xdr:nvSpPr>
          <xdr:spPr>
            <a:xfrm>
              <a:off x="26433867" y="433710"/>
              <a:ext cx="180000" cy="180000"/>
            </a:xfrm>
            <a:prstGeom prst="rect">
              <a:avLst/>
            </a:prstGeom>
            <a:solidFill>
              <a:srgbClr val="FFD966"/>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000"/>
            </a:p>
          </xdr:txBody>
        </xdr:sp>
        <xdr:sp macro="" textlink="">
          <xdr:nvSpPr>
            <xdr:cNvPr id="18" name="Shape 18">
              <a:extLst>
                <a:ext uri="{FF2B5EF4-FFF2-40B4-BE49-F238E27FC236}">
                  <a16:creationId xmlns:a16="http://schemas.microsoft.com/office/drawing/2014/main" id="{00000000-0008-0000-0200-000012000000}"/>
                </a:ext>
              </a:extLst>
            </xdr:cNvPr>
            <xdr:cNvSpPr/>
          </xdr:nvSpPr>
          <xdr:spPr>
            <a:xfrm>
              <a:off x="26438686" y="621295"/>
              <a:ext cx="180000" cy="180000"/>
            </a:xfrm>
            <a:prstGeom prst="rect">
              <a:avLst/>
            </a:prstGeom>
            <a:solidFill>
              <a:srgbClr val="F4B081"/>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000"/>
            </a:p>
          </xdr:txBody>
        </xdr:sp>
        <xdr:sp macro="" textlink="">
          <xdr:nvSpPr>
            <xdr:cNvPr id="19" name="Shape 19">
              <a:extLst>
                <a:ext uri="{FF2B5EF4-FFF2-40B4-BE49-F238E27FC236}">
                  <a16:creationId xmlns:a16="http://schemas.microsoft.com/office/drawing/2014/main" id="{00000000-0008-0000-0200-000013000000}"/>
                </a:ext>
              </a:extLst>
            </xdr:cNvPr>
            <xdr:cNvSpPr txBox="1"/>
          </xdr:nvSpPr>
          <xdr:spPr>
            <a:xfrm>
              <a:off x="26633666" y="50225"/>
              <a:ext cx="1802507" cy="180000"/>
            </a:xfrm>
            <a:prstGeom prst="rect">
              <a:avLst/>
            </a:prstGeom>
            <a:solidFill>
              <a:schemeClr val="lt1"/>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00">
                  <a:solidFill>
                    <a:schemeClr val="dk1"/>
                  </a:solidFill>
                  <a:latin typeface="Calibri"/>
                  <a:ea typeface="Calibri"/>
                  <a:cs typeface="Calibri"/>
                  <a:sym typeface="Calibri"/>
                </a:rPr>
                <a:t>&gt; al 100%</a:t>
              </a:r>
              <a:endParaRPr sz="1000"/>
            </a:p>
          </xdr:txBody>
        </xdr:sp>
        <xdr:sp macro="" textlink="">
          <xdr:nvSpPr>
            <xdr:cNvPr id="20" name="Shape 20">
              <a:extLst>
                <a:ext uri="{FF2B5EF4-FFF2-40B4-BE49-F238E27FC236}">
                  <a16:creationId xmlns:a16="http://schemas.microsoft.com/office/drawing/2014/main" id="{00000000-0008-0000-0200-000014000000}"/>
                </a:ext>
              </a:extLst>
            </xdr:cNvPr>
            <xdr:cNvSpPr txBox="1"/>
          </xdr:nvSpPr>
          <xdr:spPr>
            <a:xfrm>
              <a:off x="26630202" y="241591"/>
              <a:ext cx="1802507" cy="180000"/>
            </a:xfrm>
            <a:prstGeom prst="rect">
              <a:avLst/>
            </a:prstGeom>
            <a:solidFill>
              <a:schemeClr val="lt1"/>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00">
                  <a:solidFill>
                    <a:schemeClr val="dk1"/>
                  </a:solidFill>
                  <a:latin typeface="Calibri"/>
                  <a:ea typeface="Calibri"/>
                  <a:cs typeface="Calibri"/>
                  <a:sym typeface="Calibri"/>
                </a:rPr>
                <a:t>Entre el 80% y 100%</a:t>
              </a:r>
              <a:endParaRPr sz="1000"/>
            </a:p>
          </xdr:txBody>
        </xdr:sp>
        <xdr:sp macro="" textlink="">
          <xdr:nvSpPr>
            <xdr:cNvPr id="21" name="Shape 21">
              <a:extLst>
                <a:ext uri="{FF2B5EF4-FFF2-40B4-BE49-F238E27FC236}">
                  <a16:creationId xmlns:a16="http://schemas.microsoft.com/office/drawing/2014/main" id="{00000000-0008-0000-0200-000015000000}"/>
                </a:ext>
              </a:extLst>
            </xdr:cNvPr>
            <xdr:cNvSpPr txBox="1"/>
          </xdr:nvSpPr>
          <xdr:spPr>
            <a:xfrm>
              <a:off x="26631934" y="431223"/>
              <a:ext cx="1802507" cy="180000"/>
            </a:xfrm>
            <a:prstGeom prst="rect">
              <a:avLst/>
            </a:prstGeom>
            <a:solidFill>
              <a:schemeClr val="lt1"/>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00">
                  <a:solidFill>
                    <a:schemeClr val="dk1"/>
                  </a:solidFill>
                  <a:latin typeface="Calibri"/>
                  <a:ea typeface="Calibri"/>
                  <a:cs typeface="Calibri"/>
                  <a:sym typeface="Calibri"/>
                </a:rPr>
                <a:t>Entre el 60% y 79,9%</a:t>
              </a:r>
              <a:endParaRPr sz="1000"/>
            </a:p>
          </xdr:txBody>
        </xdr:sp>
        <xdr:sp macro="" textlink="">
          <xdr:nvSpPr>
            <xdr:cNvPr id="22" name="Shape 22">
              <a:extLst>
                <a:ext uri="{FF2B5EF4-FFF2-40B4-BE49-F238E27FC236}">
                  <a16:creationId xmlns:a16="http://schemas.microsoft.com/office/drawing/2014/main" id="{00000000-0008-0000-0200-000016000000}"/>
                </a:ext>
              </a:extLst>
            </xdr:cNvPr>
            <xdr:cNvSpPr txBox="1"/>
          </xdr:nvSpPr>
          <xdr:spPr>
            <a:xfrm>
              <a:off x="26630877" y="625457"/>
              <a:ext cx="1802507" cy="180000"/>
            </a:xfrm>
            <a:prstGeom prst="rect">
              <a:avLst/>
            </a:prstGeom>
            <a:solidFill>
              <a:schemeClr val="lt1"/>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00">
                  <a:solidFill>
                    <a:schemeClr val="dk1"/>
                  </a:solidFill>
                  <a:latin typeface="Calibri"/>
                  <a:ea typeface="Calibri"/>
                  <a:cs typeface="Calibri"/>
                  <a:sym typeface="Calibri"/>
                </a:rPr>
                <a:t>Menor al 60%</a:t>
              </a:r>
              <a:endParaRPr sz="1400"/>
            </a:p>
          </xdr:txBody>
        </xdr:sp>
        <xdr:sp macro="" textlink="">
          <xdr:nvSpPr>
            <xdr:cNvPr id="23" name="Shape 23">
              <a:extLst>
                <a:ext uri="{FF2B5EF4-FFF2-40B4-BE49-F238E27FC236}">
                  <a16:creationId xmlns:a16="http://schemas.microsoft.com/office/drawing/2014/main" id="{00000000-0008-0000-0200-000017000000}"/>
                </a:ext>
              </a:extLst>
            </xdr:cNvPr>
            <xdr:cNvSpPr/>
          </xdr:nvSpPr>
          <xdr:spPr>
            <a:xfrm>
              <a:off x="26439552" y="808330"/>
              <a:ext cx="180000" cy="180000"/>
            </a:xfrm>
            <a:prstGeom prst="rect">
              <a:avLst/>
            </a:prstGeom>
            <a:solidFill>
              <a:srgbClr val="FF5B5B"/>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000"/>
            </a:p>
          </xdr:txBody>
        </xdr:sp>
        <xdr:sp macro="" textlink="">
          <xdr:nvSpPr>
            <xdr:cNvPr id="24" name="Shape 24">
              <a:extLst>
                <a:ext uri="{FF2B5EF4-FFF2-40B4-BE49-F238E27FC236}">
                  <a16:creationId xmlns:a16="http://schemas.microsoft.com/office/drawing/2014/main" id="{00000000-0008-0000-0200-000018000000}"/>
                </a:ext>
              </a:extLst>
            </xdr:cNvPr>
            <xdr:cNvSpPr txBox="1"/>
          </xdr:nvSpPr>
          <xdr:spPr>
            <a:xfrm>
              <a:off x="26627413" y="816822"/>
              <a:ext cx="1802507" cy="180000"/>
            </a:xfrm>
            <a:prstGeom prst="rect">
              <a:avLst/>
            </a:prstGeom>
            <a:solidFill>
              <a:schemeClr val="lt1"/>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00">
                  <a:solidFill>
                    <a:schemeClr val="dk1"/>
                  </a:solidFill>
                  <a:latin typeface="Calibri"/>
                  <a:ea typeface="Calibri"/>
                  <a:cs typeface="Calibri"/>
                  <a:sym typeface="Calibri"/>
                </a:rPr>
                <a:t>Igual a 0</a:t>
              </a:r>
              <a:endParaRPr sz="1000"/>
            </a:p>
          </xdr:txBody>
        </xdr:sp>
      </xdr:grpSp>
    </xdr:grpSp>
    <xdr:clientData fLocksWithSheet="0"/>
  </xdr:oneCellAnchor>
  <xdr:oneCellAnchor>
    <xdr:from>
      <xdr:col>8</xdr:col>
      <xdr:colOff>85725</xdr:colOff>
      <xdr:row>0</xdr:row>
      <xdr:rowOff>76200</xdr:rowOff>
    </xdr:from>
    <xdr:ext cx="1581150" cy="485775"/>
    <xdr:pic>
      <xdr:nvPicPr>
        <xdr:cNvPr id="3" name="image3.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116914</xdr:colOff>
      <xdr:row>0</xdr:row>
      <xdr:rowOff>1</xdr:rowOff>
    </xdr:from>
    <xdr:ext cx="450851" cy="283882"/>
    <xdr:pic>
      <xdr:nvPicPr>
        <xdr:cNvPr id="4" name="image1.png" descr="Potencia de vida">
          <a:extLst>
            <a:ext uri="{FF2B5EF4-FFF2-40B4-BE49-F238E27FC236}">
              <a16:creationId xmlns:a16="http://schemas.microsoft.com/office/drawing/2014/main" id="{00000000-0008-0000-0200-000004000000}"/>
            </a:ext>
          </a:extLst>
        </xdr:cNvPr>
        <xdr:cNvPicPr preferRelativeResize="0"/>
      </xdr:nvPicPr>
      <xdr:blipFill>
        <a:blip xmlns:r="http://schemas.openxmlformats.org/officeDocument/2006/relationships" r:embed="rId2" cstate="print"/>
        <a:stretch>
          <a:fillRect/>
        </a:stretch>
      </xdr:blipFill>
      <xdr:spPr>
        <a:xfrm>
          <a:off x="116914" y="1"/>
          <a:ext cx="450851" cy="283882"/>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17</xdr:col>
      <xdr:colOff>314325</xdr:colOff>
      <xdr:row>34</xdr:row>
      <xdr:rowOff>66675</xdr:rowOff>
    </xdr:from>
    <xdr:ext cx="9029700" cy="4857750"/>
    <xdr:graphicFrame macro="">
      <xdr:nvGraphicFramePr>
        <xdr:cNvPr id="949543939" name="Chart 4">
          <a:extLst>
            <a:ext uri="{FF2B5EF4-FFF2-40B4-BE49-F238E27FC236}">
              <a16:creationId xmlns:a16="http://schemas.microsoft.com/office/drawing/2014/main" id="{00000000-0008-0000-0300-000003E498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447675</xdr:colOff>
      <xdr:row>34</xdr:row>
      <xdr:rowOff>104775</xdr:rowOff>
    </xdr:from>
    <xdr:ext cx="6762750" cy="4791075"/>
    <xdr:graphicFrame macro="">
      <xdr:nvGraphicFramePr>
        <xdr:cNvPr id="554211812" name="Chart 5">
          <a:extLst>
            <a:ext uri="{FF2B5EF4-FFF2-40B4-BE49-F238E27FC236}">
              <a16:creationId xmlns:a16="http://schemas.microsoft.com/office/drawing/2014/main" id="{00000000-0008-0000-0300-0000E49908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14</xdr:col>
      <xdr:colOff>542925</xdr:colOff>
      <xdr:row>65</xdr:row>
      <xdr:rowOff>28575</xdr:rowOff>
    </xdr:from>
    <xdr:ext cx="7781925" cy="6381750"/>
    <xdr:graphicFrame macro="">
      <xdr:nvGraphicFramePr>
        <xdr:cNvPr id="1435817117" name="Chart 6">
          <a:extLst>
            <a:ext uri="{FF2B5EF4-FFF2-40B4-BE49-F238E27FC236}">
              <a16:creationId xmlns:a16="http://schemas.microsoft.com/office/drawing/2014/main" id="{00000000-0008-0000-0300-00009DD494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xdr:col>
      <xdr:colOff>190500</xdr:colOff>
      <xdr:row>65</xdr:row>
      <xdr:rowOff>28575</xdr:rowOff>
    </xdr:from>
    <xdr:ext cx="7505700" cy="5724525"/>
    <xdr:graphicFrame macro="">
      <xdr:nvGraphicFramePr>
        <xdr:cNvPr id="1656794699" name="Chart 7">
          <a:extLst>
            <a:ext uri="{FF2B5EF4-FFF2-40B4-BE49-F238E27FC236}">
              <a16:creationId xmlns:a16="http://schemas.microsoft.com/office/drawing/2014/main" id="{00000000-0008-0000-0300-00004BAEC0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riana Esther Castillo Bolaño" refreshedDate="46259.480110416669" createdVersion="8" refreshedVersion="8" minRefreshableVersion="3" recordCount="276" xr:uid="{934CCB7E-9241-44CD-A91E-B5C753C2E11F}">
  <cacheSource type="worksheet">
    <worksheetSource ref="A4:AU280" sheet="PLAN DE ACCION EN SALUD"/>
  </cacheSource>
  <cacheFields count="47">
    <cacheField name="0.Id Actividad" numFmtId="0">
      <sharedItems containsSemiMixedTypes="0" containsString="0" containsNumber="1" containsInteger="1" minValue="1" maxValue="277"/>
    </cacheField>
    <cacheField name="1. Núcleo de Inequidad Socio-Sanitaria" numFmtId="0">
      <sharedItems longText="1"/>
    </cacheField>
    <cacheField name="2. Eje estrátegico PDSP 2022-2031" numFmtId="0">
      <sharedItems/>
    </cacheField>
    <cacheField name="3. Pilares del Modelo de salud preventivo, predictivo y resolutivo" numFmtId="0">
      <sharedItems/>
    </cacheField>
    <cacheField name="4. Resultado esperado por Eje PDSP 2022-2031" numFmtId="0">
      <sharedItems longText="1"/>
    </cacheField>
    <cacheField name="5. Estrategia del Plan Territorial de Salud" numFmtId="0">
      <sharedItems longText="1"/>
    </cacheField>
    <cacheField name="6. Meta estratégica del PDSP 2022-2031" numFmtId="0">
      <sharedItems longText="1"/>
    </cacheField>
    <cacheField name="6.1 Meta estratégica del PTS adaptada al territorio" numFmtId="0">
      <sharedItems longText="1"/>
    </cacheField>
    <cacheField name="7. Meta de resultado en salud del PDSP 2022-2031" numFmtId="0">
      <sharedItems longText="1"/>
    </cacheField>
    <cacheField name="7.1 Meta de resultado en salud del PTS adaptada al territorio" numFmtId="0">
      <sharedItems longText="1"/>
    </cacheField>
    <cacheField name="8. Programa " numFmtId="0">
      <sharedItems/>
    </cacheField>
    <cacheField name="9. Subprograma" numFmtId="0">
      <sharedItems/>
    </cacheField>
    <cacheField name="10. Proyecto BPI" numFmtId="0">
      <sharedItems containsBlank="1" containsMixedTypes="1" containsNumber="1" containsInteger="1" minValue="2020002470037" maxValue="2020002470037"/>
    </cacheField>
    <cacheField name="11. Meta de Producto" numFmtId="0">
      <sharedItems longText="1"/>
    </cacheField>
    <cacheField name="12. Línea Operativa PDSP 2022-2031" numFmtId="0">
      <sharedItems/>
    </cacheField>
    <cacheField name="13. Gestion territorial integral para la salud pública" numFmtId="0">
      <sharedItems longText="1"/>
    </cacheField>
    <cacheField name="14. Actividad" numFmtId="0">
      <sharedItems/>
    </cacheField>
    <cacheField name="15. Cantidad" numFmtId="0">
      <sharedItems containsSemiMixedTypes="0" containsString="0" containsNumber="1" containsInteger="1" minValue="1" maxValue="68986"/>
    </cacheField>
    <cacheField name="16. Unidad de medida" numFmtId="0">
      <sharedItems containsBlank="1"/>
    </cacheField>
    <cacheField name="Programado I" numFmtId="0">
      <sharedItems containsBlank="1" containsMixedTypes="1" containsNumber="1" minValue="0" maxValue="100"/>
    </cacheField>
    <cacheField name="Ejecutado I" numFmtId="0">
      <sharedItems containsString="0" containsBlank="1" containsNumber="1" minValue="0" maxValue="92"/>
    </cacheField>
    <cacheField name="% Cumplimiento _x000a_I Trimestre" numFmtId="0">
      <sharedItems containsMixedTypes="1" containsNumber="1" minValue="0" maxValue="1200"/>
    </cacheField>
    <cacheField name="Programado II" numFmtId="0">
      <sharedItems containsBlank="1" containsMixedTypes="1" containsNumber="1" minValue="0" maxValue="131"/>
    </cacheField>
    <cacheField name="Ejecutado II" numFmtId="0">
      <sharedItems containsString="0" containsBlank="1" containsNumber="1" minValue="0" maxValue="159"/>
    </cacheField>
    <cacheField name="% cumplimiento _x000a_II Trimestre" numFmtId="164">
      <sharedItems containsMixedTypes="1" containsNumber="1" minValue="0" maxValue="1200"/>
    </cacheField>
    <cacheField name="Programado III" numFmtId="0">
      <sharedItems containsBlank="1" containsMixedTypes="1" containsNumber="1" minValue="0" maxValue="260"/>
    </cacheField>
    <cacheField name="Ejecutado III" numFmtId="0">
      <sharedItems containsString="0" containsBlank="1" containsNumber="1" containsInteger="1" minValue="0" maxValue="15"/>
    </cacheField>
    <cacheField name="% Cumplimiento _x000a_III Trimestre" numFmtId="164">
      <sharedItems containsMixedTypes="1" containsNumber="1" minValue="0" maxValue="107.14285714285714"/>
    </cacheField>
    <cacheField name="Programado IV" numFmtId="0">
      <sharedItems containsBlank="1" containsMixedTypes="1" containsNumber="1" minValue="0" maxValue="100"/>
    </cacheField>
    <cacheField name="Ejecutado IV" numFmtId="0">
      <sharedItems containsString="0" containsBlank="1" containsNumber="1" containsInteger="1" minValue="0" maxValue="0"/>
    </cacheField>
    <cacheField name="% Cumplimiento _x000a_IV Trimestre" numFmtId="164">
      <sharedItems containsMixedTypes="1" containsNumber="1" containsInteger="1" minValue="0" maxValue="0"/>
    </cacheField>
    <cacheField name="Programado TOTAL" numFmtId="0">
      <sharedItems containsSemiMixedTypes="0" containsString="0" containsNumber="1" containsInteger="1" minValue="1" maxValue="68986"/>
    </cacheField>
    <cacheField name="Ejecutado TOTAL" numFmtId="0">
      <sharedItems containsSemiMixedTypes="0" containsString="0" containsNumber="1" minValue="0" maxValue="225"/>
    </cacheField>
    <cacheField name="% Cumplimiento_x000a_Acumulado" numFmtId="164">
      <sharedItems containsMixedTypes="1" containsNumber="1" minValue="0" maxValue="1200"/>
    </cacheField>
    <cacheField name="Fecha de inicio de la actividad (digite mes/dia/año numerico)" numFmtId="0">
      <sharedItems containsSemiMixedTypes="0" containsNonDate="0" containsDate="1" containsString="0" minDate="2026-01-04T00:00:00" maxDate="2026-04-02T00:00:00"/>
    </cacheField>
    <cacheField name="Fecha de terminación de la actividad (digite mes/dia/año numerico)" numFmtId="0">
      <sharedItems containsSemiMixedTypes="0" containsNonDate="0" containsDate="1" containsString="0" minDate="2026-03-31T00:00:00" maxDate="2027-04-01T00:00:00"/>
    </cacheField>
    <cacheField name="Rubro Presupuestal" numFmtId="0">
      <sharedItems containsBlank="1"/>
    </cacheField>
    <cacheField name="Fuente de Financiación" numFmtId="0">
      <sharedItems containsBlank="1"/>
    </cacheField>
    <cacheField name="Codigo de Fuente" numFmtId="0">
      <sharedItems containsBlank="1" containsMixedTypes="1" containsNumber="1" containsInteger="1" minValue="0" maxValue="0"/>
    </cacheField>
    <cacheField name="Apropiación " numFmtId="39">
      <sharedItems containsString="0" containsBlank="1" containsNumber="1" containsInteger="1" minValue="0" maxValue="10826626481"/>
    </cacheField>
    <cacheField name="Compromiso" numFmtId="39">
      <sharedItems containsString="0" containsBlank="1" containsNumber="1" containsInteger="1" minValue="0" maxValue="10826626481"/>
    </cacheField>
    <cacheField name="Obligaciones" numFmtId="39">
      <sharedItems containsString="0" containsBlank="1" containsNumber="1" containsInteger="1" minValue="0" maxValue="10826626481"/>
    </cacheField>
    <cacheField name="Pagado" numFmtId="4">
      <sharedItems containsString="0" containsBlank="1" containsNumber="1" containsInteger="1" minValue="0" maxValue="100000000"/>
    </cacheField>
    <cacheField name="20. Población sujeto" numFmtId="0">
      <sharedItems containsBlank="1" longText="1"/>
    </cacheField>
    <cacheField name="21. Concepto de gasto (Antes de registrar verifique en la hoja “valores listas desplegables” a que componente corresponde el gasto y registre el valor asignado en la Fila 699 Columna J “Concepto 2”)" numFmtId="0">
      <sharedItems containsBlank="1"/>
    </cacheField>
    <cacheField name="22. Responsables del cumplimiento " numFmtId="3">
      <sharedItems containsBlank="1" count="38">
        <s v="Laura Viveros Paez"/>
        <s v="Rafael Tapias"/>
        <s v="Carlos Escobar"/>
        <s v="Merly Bonett - Mary Luz Cabrera - Linda Acosta-Rossana Cormane"/>
        <s v="Merly Bonett - Mary Luz Cabrera - Linda Acosta"/>
        <s v="Luz Mary García Agudelo"/>
        <s v="Miriam Eusse "/>
        <s v="MIRIAM eusse - claudia Chi "/>
        <s v="Claudia Chi "/>
        <s v=" María Fernanda Larios - Margareth Pinto"/>
        <s v="María Fernanda Larios - Margaret Pinto"/>
        <s v="rina Marquez-Doraine Guerrero-Paola Gale"/>
        <s v="Jairo Gamarra"/>
        <s v="Eliecer Peñaranda"/>
        <s v="Gissell Zamora"/>
        <s v="Marly Sierra/ Jacqueline Garcìa M."/>
        <s v="Evelyn Gutierrez"/>
        <s v="Evelyn Gutierrez, Jairo Santos"/>
        <s v="Yamina Yañez, Mayra Cantillo"/>
        <s v="RUBY PONCE BALDOVINO"/>
        <m/>
        <s v="Leydy Constanza Cuellar _x000a_ Coordinadora VSP"/>
        <s v="Guillermo Valencia"/>
        <s v="Diana Celedon"/>
        <s v="Andrea Palacios"/>
        <s v="Jesus rebolledo"/>
        <s v="MARIA JOSEFA LÓPEZ"/>
        <s v="MARIA HILARIA GONZALES"/>
        <s v="ARIADGNA CASTRO"/>
        <s v="RICARDO RUIZ ROMERO"/>
        <s v="LIZETH AGUIRRE"/>
        <s v="LIZETH AGUIRRE -RICARDO RUIZ ROMERO"/>
        <s v="MARI LUZ CABRERA"/>
        <s v="PIEDAD DE LA HOZ"/>
        <s v="MARCO DONADO"/>
        <s v="JURIDICA"/>
        <s v="KAREN RAMIREZ"/>
        <s v="ANDRES BELTRAN"/>
      </sharedItems>
    </cacheField>
    <cacheField name="23. Avance Cualitativo"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16" refreshedDate="46282.736176041668" refreshedVersion="8" recordCount="277" xr:uid="{00000000-000A-0000-FFFF-FFFF02000000}">
  <cacheSource type="worksheet">
    <worksheetSource ref="A4:AH281" sheet="PLAN DE ACCION EN SALUD"/>
  </cacheSource>
  <cacheFields count="43">
    <cacheField name="0.Id Actividad" numFmtId="0">
      <sharedItems containsString="0" containsBlank="1" containsNumber="1" containsInteger="1" minValue="1" maxValue="277"/>
    </cacheField>
    <cacheField name="1. Núcleo de Inequidad Socio-Sanitaria" numFmtId="0">
      <sharedItems containsBlank="1"/>
    </cacheField>
    <cacheField name="2. Eje estrátegico PDSP 2022-2031" numFmtId="0">
      <sharedItems containsBlank="1"/>
    </cacheField>
    <cacheField name="3. Pilares del Modelo de salud preventivo, predictivo y resolutivo" numFmtId="0">
      <sharedItems containsBlank="1"/>
    </cacheField>
    <cacheField name="4. Resultado esperado por Eje PDSP 2022-2031" numFmtId="0">
      <sharedItems containsBlank="1"/>
    </cacheField>
    <cacheField name="5. Estrategia del Plan Territorial de Salud" numFmtId="0">
      <sharedItems containsBlank="1"/>
    </cacheField>
    <cacheField name="6. Meta estratégica del PDSP 2022-2031" numFmtId="0">
      <sharedItems containsBlank="1"/>
    </cacheField>
    <cacheField name="6.1 Meta estratégica del PTS adaptada al territorio" numFmtId="0">
      <sharedItems containsBlank="1"/>
    </cacheField>
    <cacheField name="7. Meta de resultado en salud del PDSP 2022-2031" numFmtId="0">
      <sharedItems containsBlank="1"/>
    </cacheField>
    <cacheField name="7.1 Meta de resultado en salud del PTS adaptada al territorio" numFmtId="0">
      <sharedItems containsBlank="1"/>
    </cacheField>
    <cacheField name="8. Programa " numFmtId="0">
      <sharedItems containsBlank="1"/>
    </cacheField>
    <cacheField name="9. Subprograma" numFmtId="0">
      <sharedItems containsBlank="1"/>
    </cacheField>
    <cacheField name="10. Proyecto BPI" numFmtId="0">
      <sharedItems containsBlank="1" containsMixedTypes="1" containsNumber="1" containsInteger="1" minValue="2020002470037" maxValue="2020002470037"/>
    </cacheField>
    <cacheField name="11. Meta de Producto" numFmtId="0">
      <sharedItems containsBlank="1"/>
    </cacheField>
    <cacheField name="12. Línea Operativa PDSP 2022-2031" numFmtId="0">
      <sharedItems containsBlank="1"/>
    </cacheField>
    <cacheField name="13. Gestion territorial integral para la salud pública" numFmtId="0">
      <sharedItems containsBlank="1"/>
    </cacheField>
    <cacheField name="14. Actividad" numFmtId="0">
      <sharedItems containsBlank="1"/>
    </cacheField>
    <cacheField name="15. Cantidad" numFmtId="0">
      <sharedItems containsString="0" containsBlank="1" containsNumber="1" containsInteger="1" minValue="1" maxValue="68986"/>
    </cacheField>
    <cacheField name="16. Unidad de medida" numFmtId="0">
      <sharedItems containsBlank="1"/>
    </cacheField>
    <cacheField name="Programado I" numFmtId="0">
      <sharedItems containsBlank="1" containsMixedTypes="1" containsNumber="1" minValue="0" maxValue="100"/>
    </cacheField>
    <cacheField name="Ejecutado I" numFmtId="0">
      <sharedItems containsString="0" containsBlank="1" containsNumber="1" minValue="0" maxValue="92"/>
    </cacheField>
    <cacheField name="% Cumplimiento _x000a_I Trimestre" numFmtId="0">
      <sharedItems containsMixedTypes="1" containsNumber="1" minValue="0" maxValue="1200"/>
    </cacheField>
    <cacheField name="Programado II" numFmtId="0">
      <sharedItems containsBlank="1" containsMixedTypes="1" containsNumber="1" minValue="0" maxValue="131"/>
    </cacheField>
    <cacheField name="Ejecutado II" numFmtId="0">
      <sharedItems containsString="0" containsBlank="1" containsNumber="1" minValue="0" maxValue="159"/>
    </cacheField>
    <cacheField name="% cumplimiento _x000a_II Trimestre" numFmtId="164">
      <sharedItems containsMixedTypes="1" containsNumber="1" minValue="0" maxValue="1200"/>
    </cacheField>
    <cacheField name="Programado III" numFmtId="0">
      <sharedItems containsBlank="1" containsMixedTypes="1" containsNumber="1" minValue="0" maxValue="260"/>
    </cacheField>
    <cacheField name="Ejecutado III" numFmtId="0">
      <sharedItems containsString="0" containsBlank="1" containsNumber="1" containsInteger="1" minValue="0" maxValue="15"/>
    </cacheField>
    <cacheField name="% Cumplimiento _x000a_III Trimestre" numFmtId="164">
      <sharedItems containsMixedTypes="1" containsNumber="1" minValue="0" maxValue="107.14285714285714"/>
    </cacheField>
    <cacheField name="Programado IV" numFmtId="0">
      <sharedItems containsBlank="1" containsMixedTypes="1" containsNumber="1" minValue="0" maxValue="100"/>
    </cacheField>
    <cacheField name="Ejecutado IV" numFmtId="0">
      <sharedItems containsString="0" containsBlank="1" containsNumber="1" containsInteger="1" minValue="0" maxValue="0"/>
    </cacheField>
    <cacheField name="% Cumplimiento _x000a_IV Trimestre" numFmtId="164">
      <sharedItems containsMixedTypes="1" containsNumber="1" containsInteger="1" minValue="0" maxValue="0"/>
    </cacheField>
    <cacheField name="Programado TOTAL" numFmtId="0">
      <sharedItems containsSemiMixedTypes="0" containsString="0" containsNumber="1" containsInteger="1" minValue="0" maxValue="68986"/>
    </cacheField>
    <cacheField name="Ejecutado TOTAL" numFmtId="0">
      <sharedItems containsSemiMixedTypes="0" containsString="0" containsNumber="1" minValue="0" maxValue="225"/>
    </cacheField>
    <cacheField name="% Cumplimiento_x000a_Acumulado" numFmtId="164">
      <sharedItems containsMixedTypes="1" containsNumber="1" minValue="0" maxValue="1200"/>
    </cacheField>
    <cacheField name=" % Cumplimiento I trim" numFmtId="0" formula="'Ejecutado I'/'Programado I'*100" databaseField="0"/>
    <cacheField name=" % Cumplimiento II Trim" numFmtId="0" formula="'Ejecutado II'/'Programado II'*100" databaseField="0"/>
    <cacheField name=" % Cumplimiento III Trim" numFmtId="0" formula="'Ejecutado III'/'Programado III'*100" databaseField="0"/>
    <cacheField name=" % Cumplimiento IV Trimestre" numFmtId="0" formula="'Ejecutado IV'/'Programado IV'*100" databaseField="0"/>
    <cacheField name=" % Cumplimiento total" numFmtId="0" formula="'Ejecutado TOTAL'/'Programado TOTAL'*100" databaseField="0"/>
    <cacheField name=" I trim" numFmtId="0" formula="'Ejecutado I'/'Programado I'*100" databaseField="0"/>
    <cacheField name=" II Trim" numFmtId="0" formula="'Ejecutado II'/'Programado II'*100" databaseField="0"/>
    <cacheField name=" III Trim" numFmtId="0" formula="'Ejecutado III'/'Programado III'*100" databaseField="0"/>
    <cacheField name=" IV Trim" numFmtId="0" formula="'Ejecutado IV'/'Programado IV'*100"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6">
  <r>
    <n v="1"/>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Fortalecimiento de capacidades a las comunidades para el desarrollo de la APS con_x000a_  acciones territorializadas, universales, sistemáticas, permanentes y participativas bajo un enfoque_x000a_  familiar y comunitario."/>
    <s v="a 2031 el 100% de las entidades territoriales del orden departamental, distrital y municipal han desarrollado procesos de ajuste institucional para el fortalecimiento de las capacidades de la autoridad sanitaria y la apropiacion territorial del modelo de salud basado en APS"/>
    <s v="a 2027 el 100% de las entidades territoriales del orden departamental, han desarrollado procesos de ajuste institucional para el fortalecimiento de las capacidades de la autoridad sanitaria y la apropiacion territorial del modelo de salud basado en APS"/>
    <s v="98-Actividad trasversal a Resultados"/>
    <s v="A 2027 el 100% de las entidades territoriales del orden departamental y municipal desarrollan mecanismos para el fortalecimiento de la rectorí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Implementar el plan de cuidado e intervencion de las personas y familias por microterritorio en el entorno hogar de acuerdo al curso de vida, garantizando la canalizacion oportuna a los servicios de salud y el seguimiento de manera permanente hasta lograr su recuperacion o estabilidad de su enfermedad"/>
    <s v="PIC(Anexo técnico)"/>
    <n v="29"/>
    <s v="Número"/>
    <n v="29"/>
    <m/>
    <e v="#DIV/0!"/>
    <n v="29"/>
    <m/>
    <n v="0"/>
    <n v="29"/>
    <m/>
    <n v="0"/>
    <n v="29"/>
    <m/>
    <n v="0"/>
    <n v="29"/>
    <n v="0"/>
    <n v="0"/>
    <d v="2026-04-01T00:00:00"/>
    <d v="2027-03-31T00:00:00"/>
    <s v="N/A"/>
    <s v="SGP-SALUD-SALUD PUBLICA (1.2.4.2.02)"/>
    <s v="1.2.4.2.02"/>
    <n v="4344000000"/>
    <n v="4344000000"/>
    <n v="4344000000"/>
    <n v="0"/>
    <s v="Familias, colectivos y comunidades"/>
    <s v="N/A"/>
    <x v="0"/>
    <m/>
  </r>
  <r>
    <n v="2"/>
    <s v="Deficiencias en la infraestructura sanitaria que se ve reflejada en bajas coberturas de alcantarillado y prestación del servicio de aseo así como la mala calidad del agua que condiciona la incidencia de"/>
    <s v="Gobernabilidad y gobernanza de la salud pública"/>
    <s v="i). Gobernabilidad, Gobernanza y Territorialización"/>
    <s v="Entidades Territoriales Departamentales, Distritales y Municipales con mecanismos fortalecidos para el ejercicio de la Rectoría en Salud."/>
    <s v="Alineación y armonización al ordenamiento jurídico en materia de salud publica de cada entidad territorial de acuerdo con cada categoria administrativa y fiscal en el marco de las competencias fijadas por la ley"/>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Al 2027,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397 toma de muestra de agua en la red de distribución del departamento, de acuerdo con los articulos 24 y 26 de la resolución 2115 de 2007."/>
    <s v="Procesos transversales de la Gestion de la Salud Pública"/>
    <n v="397"/>
    <s v="Número"/>
    <n v="66"/>
    <n v="66"/>
    <n v="100"/>
    <n v="131"/>
    <n v="159"/>
    <n v="121.37404580152671"/>
    <n v="100"/>
    <m/>
    <n v="0"/>
    <n v="100"/>
    <m/>
    <n v="0"/>
    <n v="397"/>
    <n v="225"/>
    <n v="114.21319796954315"/>
    <d v="2026-04-01T00:00:00"/>
    <d v="2027-03-31T00:00:00"/>
    <s v="N/A"/>
    <s v="SGP-SALUD-SALUD PUBLICA (1.2.4.2.02)"/>
    <s v="1.2.4.2.02"/>
    <m/>
    <m/>
    <m/>
    <m/>
    <s v="Personal de Salud"/>
    <s v="N/A"/>
    <x v="1"/>
    <m/>
  </r>
  <r>
    <n v="3"/>
    <s v="Aumento de la Tasa de Incidencia de las enfermedades transmitidas por vectores como el dengue;"/>
    <s v="Conocimiento en salud pública y Soberanía Sanitaria"/>
    <s v="i). Gobernabilidad, Gobernanza y Territorialización"/>
    <s v="Capacidades fortalecidas para la gestión del conocimiento en salud pública"/>
    <s v="Fortlecimiento de capacidades tecnicas para el ejercicio en la rectoria en salud."/>
    <s v="A 2031 se fortalecerá en el 100% de los territorios la apropiación social del conocimiento en salud pública y el desarrollo de investigaciones que den respuesta a las necesidades en salud de cada territorio"/>
    <s v="A 2027 se fortalecerá en el 100% de los territorios la apropiación social del conocimiento en salud pública y el desarrollo de investigaciones que den respuesta a las necesidades en salud de cada territorio"/>
    <s v="A 2031, el 100% las DTS departamentales, distritales y municipios habrán implementado las estrategias de Entornos Saludables"/>
    <s v="A 2027,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Desarrollar capacidades a los entes territoriales en gestion de riesgo quimico"/>
    <s v="Desarrollo institucional y sectorial para el ejercicio de la autoridad sanitaria"/>
    <s v="Desarrollar duarnte la vigencia una jornada de formación de 3 dias a las alcaldias municipales en la implementacion del modelo de seguridad quimica para el desarrollo de capacidades municipales."/>
    <s v="Procesos transversales de la Gestion de la Salud Pública"/>
    <n v="1"/>
    <s v="Número"/>
    <n v="1"/>
    <n v="1"/>
    <n v="100"/>
    <n v="0"/>
    <n v="0"/>
    <e v="#DIV/0!"/>
    <n v="0"/>
    <n v="0"/>
    <e v="#DIV/0!"/>
    <n v="0"/>
    <n v="0"/>
    <e v="#DIV/0!"/>
    <n v="1"/>
    <n v="1"/>
    <n v="100"/>
    <d v="2026-04-01T00:00:00"/>
    <d v="2027-03-31T00:00:00"/>
    <s v="N/A"/>
    <s v="SGP-SALUD-SALUD PUBLICA (1.2.4.2.02)"/>
    <s v="1.2.4.2.02"/>
    <n v="30000000"/>
    <n v="30000000"/>
    <n v="30000000"/>
    <n v="30000000"/>
    <s v="Personal de Salud"/>
    <s v="N/A"/>
    <x v="1"/>
    <m/>
  </r>
  <r>
    <n v="4"/>
    <s v="Aumento de la Tasa de Incidencia de las enfermedades transmitidas por vectores como el dengue;"/>
    <s v="Conocimiento en salud pública y Soberanía Sanitaria"/>
    <s v="i). Gobernabilidad, Gobernanza y Territorialización"/>
    <s v="Políticas en salud pública para contribuir a la mitigación y adaptación al cambio climático."/>
    <s v="Fortalecimiento de las capacidades del personal de salud en todo lo relacionado con los posibles efectos de la variabilidad del cambio climático"/>
    <s v="A 2031 se incorporará en el 100% de los departamentos y distritos, el plan de gestión en sistemas de alerta temprana para la identificación del riesgos por el cambio climático y la posible vulnerabilidad de la población desde un enfoque territorial"/>
    <s v="Al 2027 se incorporará en el 100% de los municipios, el plan de gestión en sistemas de alerta temprana para la identificación del riesgos por el cambio climático y la posible vulnerabilidad de la población desde un enfoque territorial"/>
    <s v="Al 2031, se formularán acciones de adaptación en promoción de la salud y prevención de la enfermedad que aporten a reducir los casos de enfermedades sensibles al clima en el 100% de las Entidades Territoriales en el sector salud, del nivel departamental, distrital y estarán implementadas en un 40% de éstas."/>
    <s v="A 2027, se formularán acciones de adaptación en promoción de la salud y prevención de la enfermedad que aporten a reducir los casos de enfermedades sensibles al clima en el 100% de las Entidades Territoriales en el sector salud, del nivel departamental, distrital y estarán implementadas en un 40% de éstas."/>
    <s v="Salud Pública"/>
    <s v="Médico en tu casa"/>
    <s v="Fortalecimiento de Estrategias para la Promoción de la Salud y Prevención de Enfermedades en Comunidades, mediante acciones Integrales, Participativas y Sostenibles en el Departamento del Magdalena."/>
    <s v="Implementar el PACCSA"/>
    <s v="Desarrollo institucional y sectorial para el ejercicio de la autoridad sanitaria"/>
    <s v="Desarrollar durante la vigencia una jornada de formación de 3 dias a las alcaldias municipales en medidas de adaptacion al cambio climatico para el desarrollo de capacidades municipales"/>
    <s v="Procesos transversales de la Gestion de la Salud Pública"/>
    <n v="1"/>
    <s v="Número"/>
    <n v="0"/>
    <n v="0"/>
    <e v="#DIV/0!"/>
    <n v="1"/>
    <n v="1"/>
    <n v="100"/>
    <m/>
    <m/>
    <e v="#DIV/0!"/>
    <n v="0"/>
    <m/>
    <e v="#DIV/0!"/>
    <n v="1"/>
    <n v="1"/>
    <n v="100"/>
    <d v="2026-04-01T00:00:00"/>
    <d v="2027-03-31T00:00:00"/>
    <s v="N/A"/>
    <s v="SGP-SALUD-SALUD PUBLICA (1.2.4.2.02)"/>
    <s v="1.2.4.2.02"/>
    <n v="30000000"/>
    <n v="30000000"/>
    <n v="30000000"/>
    <n v="30000000"/>
    <s v="Personal de Salud"/>
    <s v="N/A"/>
    <x v="1"/>
    <m/>
  </r>
  <r>
    <n v="5"/>
    <s v="Deficiencias en la infraestructura sanitaria que se ve reflejada en bajas coberturas de alcantarillado y prestación del servicio de aseo así como la mala calidad del agua que condiciona la incidencia de "/>
    <s v="Conocimiento en salud pública y Soberanía Sanitaria"/>
    <s v="i). Gobernabilidad, Gobernanza y Territorialización"/>
    <s v="Capacidades fortalecidas para la gestión del conocimiento en salud pública"/>
    <s v="Entoros laborales saludables que promueven la salud, mejoran las condiciones de trabajo y disminuyen los riesgos laborales"/>
    <s v="A 2031 se incorporará en el 100% de los departamentos y distritos, el plan de gestión en sistemas de alerta temprana para la identificación del riesgos por el cambio climático y la posible vulnerabilidad de la población desde un enfoque territorial"/>
    <s v="A 2027 se incorporará en el 100% de los municipios, el plan de gestión en sistemas de alerta temprana para la identificación del riesgos por el cambio climático y la posible vulnerabilidad de la población desde un enfoque territorial"/>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Desarrollar una jornada de capacitación de 3 dias a las alcaldias municipales en el modelo de IVC y fomento de conciencia sanitaria para el desarrollo de capacidades municipales"/>
    <s v="Procesos transversales de la Gestion de la Salud Pública"/>
    <n v="1"/>
    <s v="Número"/>
    <n v="0"/>
    <n v="0"/>
    <e v="#DIV/0!"/>
    <n v="1"/>
    <n v="1"/>
    <n v="100"/>
    <n v="0"/>
    <m/>
    <e v="#DIV/0!"/>
    <n v="0"/>
    <m/>
    <e v="#DIV/0!"/>
    <n v="1"/>
    <n v="1"/>
    <n v="100"/>
    <d v="2026-04-01T00:00:00"/>
    <d v="2027-03-31T00:00:00"/>
    <s v="N/A"/>
    <s v="SGP-SALUD-SALUD PUBLICA (1.2.4.2.02)"/>
    <s v="1.2.4.2.02"/>
    <n v="30000000"/>
    <n v="30000000"/>
    <n v="30000000"/>
    <n v="30000000"/>
    <s v="Familias, colectivos y comunidades"/>
    <s v="N/A"/>
    <x v="1"/>
    <m/>
  </r>
  <r>
    <n v="6"/>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 para la planeación integral en salud y la gestión territorial en el marco del modelo de salud preventivo, predictivo y resolutivo basado en AP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formular e Implementar el  plan de fortalecimiento de capacidades de gestion en salud ambiental a partir del diagnostico realizado con base en la informacion de la vigencia 2025  (GETSA)"/>
    <s v="Procesos transversales de la Gestion de la Salud Pública"/>
    <n v="1"/>
    <s v="Porcentaje"/>
    <n v="1"/>
    <n v="1"/>
    <n v="100"/>
    <n v="0"/>
    <m/>
    <e v="#DIV/0!"/>
    <n v="0"/>
    <m/>
    <e v="#DIV/0!"/>
    <n v="0"/>
    <m/>
    <e v="#DIV/0!"/>
    <n v="1"/>
    <n v="1"/>
    <n v="100"/>
    <d v="2026-04-01T00:00:00"/>
    <d v="2027-03-31T00:00:00"/>
    <s v="N/A"/>
    <s v="SGP-SALUD-SALUD PUBLICA (1.2.4.2.02)"/>
    <s v="1.2.4.2.02"/>
    <m/>
    <m/>
    <m/>
    <m/>
    <s v="Personal de Salud_x000a_"/>
    <s v="N/A"/>
    <x v="1"/>
    <m/>
  </r>
  <r>
    <n v="7"/>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68-A 2031,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Tomar muestras de agua en 30 puntos definidos para monitorear Cristosporidium , entregar resultados e informe"/>
    <s v="Procesos transversales de la Gestion de la Salud Pública"/>
    <n v="30"/>
    <s v="Número"/>
    <n v="0"/>
    <n v="0"/>
    <e v="#DIV/0!"/>
    <n v="0"/>
    <n v="0"/>
    <e v="#DIV/0!"/>
    <n v="0"/>
    <m/>
    <e v="#DIV/0!"/>
    <n v="30"/>
    <m/>
    <n v="0"/>
    <n v="30"/>
    <n v="0"/>
    <e v="#DIV/0!"/>
    <d v="2026-04-01T00:00:00"/>
    <d v="2027-03-31T00:00:00"/>
    <s v="N/A"/>
    <s v="SGP-SALUD-SALUD PUBLICA (1.2.4.2.02)"/>
    <s v="1.2.4.2.02"/>
    <n v="200000000"/>
    <n v="200000000"/>
    <n v="200000000"/>
    <n v="0"/>
    <s v="Personal de Salud_x000a_"/>
    <s v="N/A"/>
    <x v="1"/>
    <m/>
  </r>
  <r>
    <n v="8"/>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68-A 2031,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Ejecutar al 100% el plan de adquisisiones de insumos parea la vigilancia sanitaria de la calidad del agua y alimentos"/>
    <s v="Procesos transversales de la Gestion de la Salud Pública"/>
    <n v="100"/>
    <s v="Porcentaje"/>
    <n v="0"/>
    <n v="0"/>
    <e v="#DIV/0!"/>
    <n v="0"/>
    <n v="0"/>
    <e v="#DIV/0!"/>
    <n v="0"/>
    <m/>
    <e v="#DIV/0!"/>
    <n v="100"/>
    <m/>
    <n v="0"/>
    <n v="100"/>
    <n v="0"/>
    <e v="#DIV/0!"/>
    <d v="2026-04-01T00:00:00"/>
    <d v="2027-03-31T00:00:00"/>
    <s v="N/A"/>
    <s v="SGP-SALUD-SALUD PUBLICA (1.2.4.2.02)"/>
    <s v="1.2.4.2.02"/>
    <n v="45000000"/>
    <n v="45000000"/>
    <n v="45000000"/>
    <n v="0"/>
    <s v="Personal de Salud_x000a_"/>
    <s v="N/A"/>
    <x v="1"/>
    <m/>
  </r>
  <r>
    <n v="9"/>
    <s v="Deficiencias en la infraestructura sanitaria que se ve reflejada en bajas coberturas de alcantarillado y prestación del servicio de aseo así como la mala calidad del agua que condiciona la incidencia de "/>
    <s v="Conocimiento en salud pública y Soberanía Sanitaria"/>
    <s v="i). Gobernabilidad, Gobernanza y Territorialización"/>
    <s v="Capacidades fortalecidas para la gestión del conocimiento en salud pública"/>
    <s v="Entoros laborales saludables que promueven la salud, mejoran las condiciones de trabajo y disminuyen los riesgos laborales"/>
    <s v="A 2031 el 100% de los Departamentos, Distritos y Municipios del País integran en su Planes de Desarrollo Territoriales estrategias para afectar de manera positiva los determinantes sociales de la salud en sus territorios."/>
    <s v="A 2027 el 100% de Municipios del País integran en su Planes de Desarrollo Territoriales estrategias para afectar de manera positiva los determinantes sociales de la salud en sus territorio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Desarrollo de capacidades a los facilitadores de la red com (capacitadores), en coordinacion con el area de VSP "/>
    <s v="Procesos transversales de la Gestion de la Salud Pública"/>
    <n v="1"/>
    <s v="Número"/>
    <n v="0"/>
    <n v="0"/>
    <e v="#DIV/0!"/>
    <n v="1"/>
    <n v="1"/>
    <n v="100"/>
    <n v="0"/>
    <m/>
    <e v="#DIV/0!"/>
    <n v="0"/>
    <m/>
    <e v="#DIV/0!"/>
    <n v="1"/>
    <n v="1"/>
    <n v="100"/>
    <d v="2026-04-01T00:00:00"/>
    <d v="2027-03-31T00:00:00"/>
    <s v="N/A"/>
    <s v="SGP-SALUD-SALUD PUBLICA (1.2.4.2.02)"/>
    <s v="1.2.4.2.02"/>
    <n v="30000000"/>
    <n v="30000000"/>
    <n v="30000000"/>
    <n v="30000000"/>
    <s v="Personal de Salud_x000a_"/>
    <s v="N/A"/>
    <x v="1"/>
    <m/>
  </r>
  <r>
    <n v="10"/>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Ejecutar al 100% el plan de IVC formulado para la vigencia para dar respuesta a lo dispuesto en al Resolucion 1229 de 2013"/>
    <s v="Procesos transversales de la Gestion de la Salud Pública"/>
    <n v="100"/>
    <s v="Porcentaje"/>
    <n v="10"/>
    <n v="25"/>
    <n v="250"/>
    <n v="30"/>
    <n v="30"/>
    <n v="100"/>
    <n v="30"/>
    <m/>
    <n v="0"/>
    <n v="30"/>
    <m/>
    <n v="0"/>
    <n v="100"/>
    <n v="55"/>
    <n v="137.5"/>
    <d v="2026-02-01T00:00:00"/>
    <d v="2027-03-31T00:00:00"/>
    <s v="N/A"/>
    <s v="SGP-SALUD-SALUD PUBLICA (1.2.4.2.02)"/>
    <s v="1.2.4.2.02"/>
    <m/>
    <m/>
    <m/>
    <m/>
    <s v="Familias, colectivos y comunidades"/>
    <s v="N/A"/>
    <x v="1"/>
    <m/>
  </r>
  <r>
    <n v="11"/>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Apoyar la ejecucion del plan de IVC con servicio de transporte disponiendo de 2 vehiculos 24x7"/>
    <s v="Procesos transversales de la Gestion de la Salud Pública"/>
    <n v="100"/>
    <s v="Porcentaje"/>
    <n v="0"/>
    <n v="10"/>
    <e v="#DIV/0!"/>
    <n v="30"/>
    <n v="30"/>
    <n v="100"/>
    <n v="40"/>
    <m/>
    <n v="0"/>
    <n v="30"/>
    <m/>
    <n v="0"/>
    <n v="100"/>
    <n v="40"/>
    <n v="133.33333333333331"/>
    <d v="2026-04-01T00:00:00"/>
    <d v="2027-03-31T00:00:00"/>
    <s v="N/A"/>
    <s v="SGP-SALUD-SALUD PUBLICA (1.2.4.2.02)"/>
    <s v="1.2.4.2.02"/>
    <n v="260000000"/>
    <n v="260000000"/>
    <n v="260000000"/>
    <n v="0"/>
    <s v="Familias, colectivos y comunidades"/>
    <s v="N/A"/>
    <x v="1"/>
    <m/>
  </r>
  <r>
    <n v="12"/>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ens intersectoriales y transecvtoriales definiendo temas transcversales y objetivos comun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Gestión transectorial a través de 32 reuniones del COTSA y las mesas de calidad de agua, Comité de residuos, comité de cárceles, comité de entornos saludables y movilidad segura, comité de plaguicidas, comité de sanidad portuaria, comité seccional de zoonosis"/>
    <s v="Procesos transversales de la Gestion de la Salud Pública"/>
    <n v="32"/>
    <s v="Número"/>
    <n v="8"/>
    <n v="6"/>
    <n v="75"/>
    <n v="8"/>
    <n v="8"/>
    <n v="100"/>
    <n v="8"/>
    <n v="0"/>
    <n v="0"/>
    <n v="8"/>
    <m/>
    <n v="0"/>
    <n v="32"/>
    <n v="14"/>
    <n v="58.333333333333336"/>
    <d v="2026-04-01T00:00:00"/>
    <d v="2027-03-31T00:00:00"/>
    <s v="N/A"/>
    <s v="SGP-SALUD-SALUD PUBLICA (1.2.4.2.02)"/>
    <s v="1.2.4.2.02"/>
    <m/>
    <m/>
    <m/>
    <m/>
    <s v="Familias, colectivos y comunidades"/>
    <s v="N/A"/>
    <x v="1"/>
    <m/>
  </r>
  <r>
    <n v="13"/>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ens intersectoriales y transecvtoriales definiendo temas transcversales y objetivos comun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Ejecutar al 100% los planes de accion de las mesas y comites asociados al COTSA"/>
    <s v="Procesos transversales de la Gestion de la Salud Pública"/>
    <n v="100"/>
    <s v="Porcentaje"/>
    <n v="10"/>
    <n v="25"/>
    <n v="250"/>
    <n v="30"/>
    <n v="30"/>
    <n v="100"/>
    <n v="30"/>
    <m/>
    <n v="0"/>
    <n v="30"/>
    <m/>
    <n v="0"/>
    <n v="100"/>
    <n v="55"/>
    <n v="137.5"/>
    <d v="2026-04-01T00:00:00"/>
    <d v="2027-03-31T00:00:00"/>
    <s v="N/A"/>
    <s v="SGP-SALUD-SALUD PUBLICA (1.2.4.2.02)"/>
    <s v="1.2.4.2.02"/>
    <m/>
    <m/>
    <m/>
    <m/>
    <s v="Familias, colectivos y comunidades"/>
    <s v="N/A"/>
    <x v="1"/>
    <m/>
  </r>
  <r>
    <n v="14"/>
    <s v="Deficiencias en la infraestructura sanitaria que se ve reflejada en bajas coberturas de alcantarillado y prestación del servicio de aseo así como la mala calidad del agua que condiciona la incidencia de "/>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Desarrollo de estrategias de comunicación, educación, para el cambio de comportamiento y de acción colectiva que favorezcan la transformación de la cultura de seguridad social en salud y promover los entornos saludables y protector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A 2031, reducir en 50% la tasa de mortalidad por EDA en menores de 5 años"/>
    <s v="9-A 2031, reducir en 50% la tasa de mortalidad por EDA en menores de 5 años"/>
    <s v="Salud Pública"/>
    <s v="Médico en tu casa"/>
    <s v="Fortalecimiento de Estrategias para la Promoción de la Salud y Prevención de Enfermedades en Comunidades, mediante acciones Integrales, Participativas y Sostenibles en el Departamento del Magdalena."/>
    <s v="Implementar la estrategia de prevencion de ETA mediante la educacion a 88160 famlias sobre manual basico de manipulaciond e alimentos"/>
    <s v="Cuidado de la salud en el territorio"/>
    <s v="Capacitar a 30000 familias del departamento en las 10 normas basicas de manipulacion de alimentos en el marco de las visitas familiares."/>
    <s v="PIC(Anexo técnico)"/>
    <n v="30000"/>
    <s v="Número"/>
    <n v="10"/>
    <n v="0"/>
    <n v="0"/>
    <n v="30"/>
    <n v="0"/>
    <n v="0"/>
    <n v="30"/>
    <n v="0"/>
    <n v="0"/>
    <n v="30"/>
    <n v="0"/>
    <n v="0"/>
    <n v="30000"/>
    <n v="0"/>
    <n v="0"/>
    <d v="2026-02-01T00:00:00"/>
    <d v="2027-03-31T00:00:00"/>
    <s v="N/A"/>
    <s v="SGP-SALUD-SALUD PUBLICA (1.2.4.2.02)"/>
    <s v="1.2.4.2.02"/>
    <n v="400000000"/>
    <n v="400000000"/>
    <n v="400000000"/>
    <n v="0"/>
    <s v="Familias, colectivos y comunidades"/>
    <s v="N/A"/>
    <x v="1"/>
    <m/>
  </r>
  <r>
    <n v="15"/>
    <s v="Deficiencias en la infraestructura sanitaria que se ve reflejada en bajas coberturas de alcantarillado y prestación del servicio de aseo así como la mala calidad del agua que condiciona la incidencia de "/>
    <s v="Conocimiento en salud pública y Soberanía Sanitaria"/>
    <s v="i). Gobernabilidad, Gobernanza y Territorialización"/>
    <s v="Capacidades fortalecidas para la gestión del conocimiento en salud pública"/>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sociales del orden departamental y municipal desarrollan mecanismos para el fortalecimiento de la rectoría en salud en su territorio, conforme a las competencias establecidas"/>
    <s v="A 2027 el 100% de las entidades territoriales sociales del orden departamental y municipal desarrollan mecanismos para el fortalecimiento de la rectoría en salud en su territorio, conforme a las competencias establecidas"/>
    <s v="9-A 2031, reducir en 50% la tasa de mortalidad por EDA en menores de 5 años"/>
    <s v="9-A 2031, reducir en 50% la tasa de mortalidad por EDA en menores de 5 año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Desarrollar de capacidades los equipos municipales y departamental en prevencion y manejo de ETAS"/>
    <s v="Procesos transversales de la Gestion de la Salud Pública"/>
    <n v="1"/>
    <s v="Número"/>
    <n v="0"/>
    <n v="0"/>
    <e v="#DIV/0!"/>
    <n v="30"/>
    <n v="0"/>
    <n v="0"/>
    <n v="40"/>
    <m/>
    <n v="0"/>
    <n v="30"/>
    <m/>
    <n v="0"/>
    <n v="1"/>
    <n v="0"/>
    <n v="0"/>
    <d v="2026-04-01T00:00:00"/>
    <d v="2027-03-31T00:00:00"/>
    <s v="N/A"/>
    <s v="SGP-SALUD-SALUD PUBLICA (1.2.4.2.02)"/>
    <s v="1.2.4.2.02"/>
    <n v="26000000"/>
    <n v="26000000"/>
    <n v="26000000"/>
    <n v="0"/>
    <s v="Familias, colectivos y comunidades"/>
    <s v="N/A"/>
    <x v="1"/>
    <m/>
  </r>
  <r>
    <n v="16"/>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Desarrollo e implementación de otras estrategias para la generación de conocimiento acerca de las condiciones en salud de la población y sus DSS a nivel territorial tales como observatorios, ASIS, unidades de análisis, seminarios, evaluaciones de riesgo ambientales de la salud, entre otro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la reunion departamental de salud ambiental de dos dias de duracion, con el tema central de entorno educativo saludable"/>
    <s v="Procesos transversales de la Gestion de la Salud Pública"/>
    <n v="1"/>
    <s v="Número"/>
    <n v="0"/>
    <n v="0"/>
    <e v="#DIV/0!"/>
    <n v="0"/>
    <n v="0"/>
    <e v="#DIV/0!"/>
    <n v="1"/>
    <m/>
    <n v="0"/>
    <n v="0"/>
    <m/>
    <e v="#DIV/0!"/>
    <n v="1"/>
    <n v="0"/>
    <e v="#DIV/0!"/>
    <d v="2026-02-01T00:00:00"/>
    <d v="2027-03-31T00:00:00"/>
    <s v="N/A"/>
    <s v="SGP-SALUD-SALUD PUBLICA (1.2.4.2.02)"/>
    <s v="1.2.4.2.02"/>
    <n v="50000000"/>
    <n v="50000000"/>
    <n v="50000000"/>
    <n v="0"/>
    <s v="Personal de Salud_x000a_"/>
    <s v="N/A"/>
    <x v="1"/>
    <m/>
  </r>
  <r>
    <n v="17"/>
    <s v="Las agresiones por animales potencialmente transmisores de la rabia"/>
    <s v="Conocimiento en salud pública y Soberanía Sanitaria"/>
    <s v="i). Gobernabilidad, Gobernanza y Territorialización"/>
    <s v="Capacidades fortalecidas para la gestión del conocimiento en salud pública"/>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A 2031, reducir en 50% la tasa de mortalidad por EDA en menores de 5 años"/>
    <s v="9-A 2031, reducir en 50% la tasa de mortalidad por EDA en menores de 5 años"/>
    <s v="Salud Publica"/>
    <s v="Médico en tu casa"/>
    <s v="Fortalecimiento de Estrategias para la Promoción de la Salud y Prevención de Enfermedades en Comunidades, mediante acciones Integrales, Participativas y Sostenibles en el Departamento del Magdalena."/>
    <s v="Implementar la estrategia de prevencion de ETA mediante la educacion a 88160 famlias sobre manual basico de manipulaciond e alimentos"/>
    <s v="Desarrollo institucional y sectorial para el ejercicio de la autoridad sanitaria"/>
    <s v="Desarrollo de capacidades a los miembros del comite SAN en practicas de inocuidad de alimentos "/>
    <s v="Procesos transversales de la Gestion de la Salud Pública"/>
    <n v="1"/>
    <s v="Número"/>
    <n v="0"/>
    <n v="1"/>
    <e v="#DIV/0!"/>
    <n v="1"/>
    <n v="0"/>
    <n v="0"/>
    <n v="0"/>
    <n v="0"/>
    <n v="0"/>
    <n v="0"/>
    <n v="0"/>
    <e v="#DIV/0!"/>
    <n v="1"/>
    <n v="1"/>
    <n v="100"/>
    <d v="2026-02-01T00:00:00"/>
    <d v="2027-03-31T00:00:00"/>
    <s v="N/A"/>
    <s v="SGP-SALUD-SALUD PUBLICA (1.2.4.2.02)"/>
    <s v="1.2.4.2.02"/>
    <n v="15000000"/>
    <n v="15000000"/>
    <n v="15000000"/>
    <n v="15000000"/>
    <s v="Personal de Salud_x000a_"/>
    <s v="N/A"/>
    <x v="1"/>
    <m/>
  </r>
  <r>
    <n v="18"/>
    <s v="Las agresiones por animales potencialmente transmisores de la rabia"/>
    <s v="Atención Primaria en Salud"/>
    <s v="ii) Redes Integrales e Integradas Territoriales de Salud - RIITS"/>
    <s v="Espacios e instancias intersectoriales que incluyen en sus planes de acción la transversalización de los enfoques de pueblos y comunidades, género y diferencial e integran los sistemas de conocimiento propio de los pueblos y comunidades étnicas y campesinas"/>
    <s v="Alineación y armonización al ordenamiento jurídico en materia de salud publica de cada entidad territorial de acuerdo con cada categoria administrativa y fiscal en el marco de las competencias fijadas por la ley"/>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Desarrollar jornada de vacunación antirrábica canina y felina masiva casa a casa (entorno hogar), en los 29 municipios del departamento del Magdalena en zona urbana, rural y rural disperso, garantizando cobertura del 90% en animales mayores de tres meses, Con una duración máxima de 45 días"/>
    <s v="PIC(Anexo técnico)"/>
    <n v="100"/>
    <s v="Porcentaje"/>
    <n v="0"/>
    <n v="0"/>
    <e v="#DIV/0!"/>
    <n v="0"/>
    <n v="5"/>
    <e v="#DIV/0!"/>
    <n v="0"/>
    <m/>
    <e v="#DIV/0!"/>
    <n v="100"/>
    <m/>
    <n v="0"/>
    <n v="100"/>
    <n v="5"/>
    <e v="#DIV/0!"/>
    <d v="2026-04-01T00:00:00"/>
    <d v="2027-03-31T00:00:00"/>
    <s v="N/A"/>
    <s v="SGP-SALUD-SALUD PUBLICA (1.2.4.2.02)"/>
    <s v="1.2.4.2.02"/>
    <n v="1600000000"/>
    <n v="1600000000"/>
    <n v="1600000000"/>
    <n v="0"/>
    <s v="Familias, colectivos y comunidades"/>
    <s v="N/A"/>
    <x v="1"/>
    <m/>
  </r>
  <r>
    <n v="19"/>
    <s v="Las agresiones por animales potencialmente transmisores de la rabia"/>
    <s v="Atención Primaria en Salud"/>
    <s v="ii) Redes Integrales e Integradas Territoriales de Salud - RIITS"/>
    <s v="Espacios e instancias intersectoriales que incluyen en sus planes de acción la transversalización de los enfoques de pueblos y comunidades, género y diferencial e integran los sistemas de conocimiento propio de los pueblos y comunidades étnicas y campesinas"/>
    <s v="Alineación y armonización al ordenamiento jurídico en materia de salud publica de cada entidad territorial de acuerdo con cada categoria administrativa y fiscal en el marco de las competencias fijadas por la ley"/>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Realizar mantenimiento a  la vacunación antirrábica de perros y gatos durante los meses que no se esté realizando la masiva, mediante la busqueda de animales que no se pudieron vacunar en la masiva, animales nuevos que ingresen o nazcan en el periodo, vacunación en las zonas de foco y perifoco de los brotes de rabia que se presenten en su municipio y puntos fijos de vacunación. Cobertura mínima del 1%."/>
    <s v="PIC(Anexo técnico)"/>
    <n v="100"/>
    <s v="Porcentaje"/>
    <n v="33.299999999999997"/>
    <n v="0"/>
    <n v="0"/>
    <n v="33.299999999999997"/>
    <n v="33.299999999999997"/>
    <n v="100"/>
    <n v="33.299999999999997"/>
    <m/>
    <n v="0"/>
    <n v="33.4"/>
    <m/>
    <n v="0"/>
    <n v="100"/>
    <n v="33.299999999999997"/>
    <n v="50"/>
    <d v="2026-04-01T00:00:00"/>
    <d v="2027-03-31T00:00:00"/>
    <s v="N/A"/>
    <s v="SGP-SALUD-SALUD PUBLICA (1.2.4.2.02)"/>
    <s v="1.2.4.2.02"/>
    <n v="700000000"/>
    <n v="700000000"/>
    <n v="700000000"/>
    <n v="0"/>
    <s v="Personal de Salud_x000a_"/>
    <s v="N/A"/>
    <x v="1"/>
    <m/>
  </r>
  <r>
    <n v="20"/>
    <s v="Las agresiones por animales potencialmente transmisores de la rabia"/>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Fortalecimiento de la red de frio para la vacunacion antirrábica canina y felina"/>
    <s v="Procesos transversales de la Gestion de la Salud Pública"/>
    <n v="100"/>
    <s v="Porcentaje"/>
    <n v="0"/>
    <n v="0"/>
    <e v="#DIV/0!"/>
    <n v="0"/>
    <n v="0"/>
    <e v="#DIV/0!"/>
    <n v="100"/>
    <m/>
    <n v="0"/>
    <n v="0"/>
    <m/>
    <e v="#DIV/0!"/>
    <n v="100"/>
    <n v="0"/>
    <e v="#DIV/0!"/>
    <d v="2026-04-01T00:00:00"/>
    <d v="2027-03-31T00:00:00"/>
    <s v="N/A"/>
    <s v="SGP-SALUD-SALUD PUBLICA (1.2.4.2.02)"/>
    <s v="1.2.4.2.02"/>
    <n v="30000000"/>
    <n v="30000000"/>
    <n v="30000000"/>
    <n v="0"/>
    <s v="Personal de Salud_x000a_"/>
    <s v="N/A"/>
    <x v="1"/>
    <m/>
  </r>
  <r>
    <n v="21"/>
    <s v="Las agresiones por animales potencialmente transmisores de la rabia"/>
    <s v="Pueblos y comunidades étnicas y campesinas, mujeres, sectores LGBTIQ+ y otras poblaciones por condición y/o situación"/>
    <s v="i) Gobernabilidad, Gobernanza y Territorialización."/>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Implementación de acciones dirigidas a mejorar la_x000a_ relación salud-ambiente-territorio para promover_x000a_ acciones dirigidas a mejorar las condiciones de vid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Desarrollar la vacunacion de perros y gatos en municipios con poblacion indigena Cienaga, Fundación, Aracataca y San Angel) y actividades de información, educación y  comuncicación de riesgo  de la rabia en IED indígena o mixta "/>
    <s v="PIC(Anexo técnico)"/>
    <n v="100"/>
    <s v="Porcentaje"/>
    <n v="0"/>
    <n v="0"/>
    <n v="0"/>
    <n v="20"/>
    <n v="5"/>
    <n v="25"/>
    <n v="40"/>
    <m/>
    <n v="0"/>
    <n v="40"/>
    <n v="0"/>
    <n v="0"/>
    <n v="100"/>
    <n v="5"/>
    <n v="8.3333333333333321"/>
    <d v="2026-04-01T00:00:00"/>
    <d v="2027-03-31T00:00:00"/>
    <s v="N/A"/>
    <s v="SGP-SALUD-SALUD PUBLICA (1.2.4.2.02)"/>
    <s v="1.2.4.2.02"/>
    <n v="182400000"/>
    <n v="182400000"/>
    <n v="182400000"/>
    <n v="0"/>
    <s v="Personal de Salud_x000a_"/>
    <s v="N/A"/>
    <x v="1"/>
    <m/>
  </r>
  <r>
    <n v="22"/>
    <s v="Las agresiones por animales potencialmente transmisores de la rabia"/>
    <s v="Gobernabilidad y gobernanza de la salud pública"/>
    <s v="i). Gobernabilidad, Gobernanza y Territorialización"/>
    <s v="Entidades Territoriales Departamentales, Distritales y Municipales con mecanismos fortalecidos para el ejercicio de la Rectoría en Salud."/>
    <s v="Alineación y armonización al ordenamiento jurídico en materia de salud publica de cada entidad territorial de acuerdo con cada categoria administrativa y fiscal en el marco de las competencias fijadas por la ley"/>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Realizar monitoreo de cobertura en en 100% de  los municipios que se prioricen."/>
    <s v="Procesos transversales de la Gestion de la Salud Pública"/>
    <n v="100"/>
    <s v="Porcentaje"/>
    <n v="25"/>
    <n v="0"/>
    <n v="0"/>
    <n v="25"/>
    <n v="0"/>
    <n v="0"/>
    <n v="25"/>
    <m/>
    <n v="0"/>
    <n v="25"/>
    <m/>
    <n v="0"/>
    <n v="100"/>
    <n v="0"/>
    <n v="0"/>
    <d v="2026-04-01T00:00:00"/>
    <d v="2027-03-31T00:00:00"/>
    <s v="N/A"/>
    <s v="SGP-SALUD-SALUD PUBLICA (1.2.4.2.02)"/>
    <s v="1.2.4.2.02"/>
    <m/>
    <m/>
    <m/>
    <m/>
    <s v="Familias, colectivos y comunidades"/>
    <s v="N/A"/>
    <x v="2"/>
    <m/>
  </r>
  <r>
    <n v="23"/>
    <s v="Las agresiones por animales potencialmente transmisores de la rabia"/>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Suministrar insumos para la vacunación antirrábica de perros y gatos y control de rabia de acuerdo al plan de adquisiciones"/>
    <s v="Procesos transversales de la Gestion de la Salud Pública"/>
    <n v="100"/>
    <s v="Porcentaje"/>
    <n v="0"/>
    <n v="0"/>
    <e v="#DIV/0!"/>
    <n v="100"/>
    <n v="33.299999999999997"/>
    <n v="33.299999999999997"/>
    <n v="0"/>
    <m/>
    <e v="#DIV/0!"/>
    <n v="0"/>
    <m/>
    <e v="#DIV/0!"/>
    <n v="100"/>
    <n v="33.299999999999997"/>
    <n v="33.299999999999997"/>
    <d v="2026-04-01T00:00:00"/>
    <d v="2027-03-31T00:00:00"/>
    <s v="N/A"/>
    <s v="SGP-SALUD-SALUD PUBLICA (1.2.4.2.02)"/>
    <s v="1.2.4.2.02"/>
    <n v="140000000"/>
    <n v="140000000"/>
    <n v="140000000"/>
    <n v="0"/>
    <s v="Familias, colectivos y comunidades"/>
    <s v="N/A"/>
    <x v="2"/>
    <m/>
  </r>
  <r>
    <n v="24"/>
    <s v="Las agresiones por animales potencialmente transmisores de la rabia"/>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Gestión territorial para el cuidado de la salud basado_x000a_ en la atención primaria en salud."/>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 Desarrollar un programa radial sobre la prevención de la rabia y otras zoonosis (accidente Ofídico, leptospira, toxoplasmosis) en cada uno de los 29 municipios "/>
    <s v="PIC(Anexo técnico)"/>
    <n v="29"/>
    <s v="Número"/>
    <n v="0"/>
    <n v="0"/>
    <e v="#DIV/0!"/>
    <n v="0"/>
    <n v="0"/>
    <e v="#DIV/0!"/>
    <n v="29"/>
    <m/>
    <n v="0"/>
    <n v="0"/>
    <m/>
    <e v="#DIV/0!"/>
    <n v="29"/>
    <n v="0"/>
    <e v="#DIV/0!"/>
    <d v="2026-04-01T00:00:00"/>
    <d v="2027-03-31T00:00:00"/>
    <s v="N/A"/>
    <s v="SGP-SALUD-SALUD PUBLICA (1.2.4.2.02)"/>
    <s v="1.2.4.2.02"/>
    <n v="60000000"/>
    <n v="60000000"/>
    <n v="60000000"/>
    <n v="0"/>
    <s v="Personal de Salud_x000a_"/>
    <s v="N/A"/>
    <x v="2"/>
    <m/>
  </r>
  <r>
    <n v="25"/>
    <s v="Las agresiones por animales potencialmente transmisores de la rabia"/>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
    <s v="Gestión territorial para el cuidado de la salud basado_x000a_ en la atención primaria en salud."/>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Conmemorar el dia mundial contra la rabia realizando actividad de información educación y comunicación de riesgo de la rabia en (1) una institución educativa   de cada uno de los 29 municipios "/>
    <s v="PIC(Anexo técnico)"/>
    <n v="29"/>
    <s v="Número"/>
    <n v="0"/>
    <n v="0"/>
    <e v="#DIV/0!"/>
    <n v="0"/>
    <n v="0"/>
    <e v="#DIV/0!"/>
    <n v="29"/>
    <m/>
    <n v="0"/>
    <n v="0"/>
    <m/>
    <e v="#DIV/0!"/>
    <n v="29"/>
    <n v="0"/>
    <e v="#DIV/0!"/>
    <d v="2026-04-01T00:00:00"/>
    <d v="2027-03-31T00:00:00"/>
    <s v="N/A"/>
    <s v="SGP-SALUD-SALUD PUBLICA (1.2.4.2.02)"/>
    <s v="1.2.4.2.02"/>
    <n v="100000000"/>
    <n v="100000000"/>
    <n v="100000000"/>
    <n v="0"/>
    <s v="Indigenas"/>
    <s v="N/A"/>
    <x v="2"/>
    <m/>
  </r>
  <r>
    <n v="26"/>
    <s v="Las agresiones por animales potencialmente transmisores de la rabia"/>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Gestión territorial para el cuidado de la salud basado_x000a_ en la atención primaria en salud."/>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Desarrollar actividad de información educación y comunicación de riesgo sobre la TENENCIA RESPONSABLE DE MASCOTAS, en una institución educativa de cada uno de los 29 municipios "/>
    <s v="PIC(Anexo técnico)"/>
    <n v="29"/>
    <s v="Número"/>
    <n v="0"/>
    <n v="0"/>
    <e v="#DIV/0!"/>
    <n v="0"/>
    <n v="0"/>
    <e v="#DIV/0!"/>
    <n v="29"/>
    <m/>
    <n v="0"/>
    <n v="0"/>
    <m/>
    <e v="#DIV/0!"/>
    <n v="29"/>
    <n v="0"/>
    <e v="#DIV/0!"/>
    <d v="2026-02-01T00:00:00"/>
    <d v="2027-03-31T00:00:00"/>
    <s v="N/A"/>
    <s v="SGP-SALUD-SALUD PUBLICA (1.2.4.2.02)"/>
    <s v="1.2.4.2.02"/>
    <n v="80000000"/>
    <n v="80000000"/>
    <n v="80000000"/>
    <n v="0"/>
    <s v="Familias, colectivos y comunidades"/>
    <s v="N/A"/>
    <x v="2"/>
    <m/>
  </r>
  <r>
    <n v="27"/>
    <s v="Las agresiones por animales potencialmente transmisores de la rabia"/>
    <s v="Gobernabilidad y gobernanza de la salud pública"/>
    <s v="i). Gobernabilidad, Gobernanza y Territorialización"/>
    <s v="Entidades Territoriales Departamentales, Distritales y Municipales con mecanismos fortalecidos para el ejercicio de la Rectoría en Salud."/>
    <s v="Alineación y armonización al ordenamiento jurídico en materia de salud publica de cada entidad territorial de acuerdo con cada categoria administrativa y fiscal en el marco de las competencias fijadas por la ley"/>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Seguimiento al 50% de los casos de exposicion leve y grave a rabia"/>
    <s v="Procesos transversales de la Gestion de la Salud Pública"/>
    <n v="50"/>
    <s v="Porcentaje"/>
    <n v="12.5"/>
    <n v="12.5"/>
    <n v="100"/>
    <n v="12.5"/>
    <n v="12.5"/>
    <n v="100"/>
    <n v="12.5"/>
    <m/>
    <n v="0"/>
    <n v="12.5"/>
    <m/>
    <n v="0"/>
    <n v="50"/>
    <n v="25"/>
    <n v="100"/>
    <d v="2026-04-01T00:00:00"/>
    <d v="2027-03-31T00:00:00"/>
    <s v="N/A"/>
    <s v="SGP-SALUD-SALUD PUBLICA (1.2.4.2.02)"/>
    <s v="1.2.4.2.02"/>
    <m/>
    <m/>
    <m/>
    <m/>
    <s v="Familias, colectivos y comunidades"/>
    <s v="N/A"/>
    <x v="2"/>
    <m/>
  </r>
  <r>
    <n v="28"/>
    <s v="Las agresiones por animales potencialmente transmisores de la rabia"/>
    <s v="Gobernabilidad y gobernanza de la salud pública"/>
    <s v="i). Gobernabilidad, Gobernanza y Territorialización"/>
    <s v="Entidades Territoriales Departamentales, Distritales y Municipales con mecanismos fortalecidos para el ejercicio de la Rectoría en Salud."/>
    <s v="Alineación y armonización al ordenamiento jurídico en materia de salud publica de cada entidad territorial de acuerdo con cada categoria administrativa y fiscal en el marco de las competencias fijadas por la ley"/>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88-A 2031, el 100% de las DTS departamentales, distritales y municipios categorías especial, 1, 2 y 3 a riesgo, implementan los planes estratégicos para la vigilancia y control de zoonosis (brucelosis bovina, toxoplasmosis congénita y gestacional, accidente ofídico)."/>
    <s v="88-A 2031, el 100% de las DTS departamentales, distritales y municipios categorías especial, 1, 2 y 3 a riesgo, implementan los planes estratégicos para la vigilancia y control de zoonosis (brucelosis bovina, toxoplasmosis congénita y gestacional, accidente ofídico)."/>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Realizar monitoreo al 100% de la red publica y privada que cuente con servicio de urgencias en la disponibilidad de sueros antiofidicos"/>
    <s v="Procesos transversales de la Gestion de la Salud Pública"/>
    <n v="100"/>
    <s v="Porcentaje"/>
    <n v="25"/>
    <n v="25"/>
    <n v="100"/>
    <n v="25"/>
    <n v="25"/>
    <n v="100"/>
    <n v="25"/>
    <m/>
    <n v="0"/>
    <n v="25"/>
    <m/>
    <n v="0"/>
    <n v="100"/>
    <n v="50"/>
    <n v="100"/>
    <d v="2026-04-01T00:00:00"/>
    <d v="2027-03-31T00:00:00"/>
    <s v="N/A"/>
    <s v="SGP-SALUD-SALUD PUBLICA (1.2.4.2.02)"/>
    <s v="1.2.4.2.02"/>
    <m/>
    <m/>
    <m/>
    <m/>
    <s v="Familias, colectivos y comunidades"/>
    <s v="N/A"/>
    <x v="2"/>
    <m/>
  </r>
  <r>
    <n v="29"/>
    <s v="Las agresiones por animales potencialmente transmisores de la rabia"/>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desarrollar capacidades al recurso humano en salud para la atencion integral de accidente ofidico y APTR para medicos de area rural y EBS"/>
    <s v="Procesos transversales de la Gestion de la Salud Pública"/>
    <n v="1"/>
    <s v="Número"/>
    <n v="0"/>
    <n v="0"/>
    <e v="#DIV/0!"/>
    <n v="0"/>
    <n v="0"/>
    <e v="#DIV/0!"/>
    <n v="1"/>
    <m/>
    <n v="0"/>
    <n v="0"/>
    <m/>
    <e v="#DIV/0!"/>
    <n v="1"/>
    <n v="0"/>
    <e v="#DIV/0!"/>
    <d v="2026-04-01T00:00:00"/>
    <d v="2027-03-31T00:00:00"/>
    <s v="N/A"/>
    <s v="SGP-SALUD-SALUD PUBLICA (1.2.4.2.02)"/>
    <s v="1.2.4.2.02"/>
    <n v="40000000"/>
    <n v="40000000"/>
    <n v="40000000"/>
    <n v="0"/>
    <s v="Familias, colectivos y comunidades"/>
    <s v="N/A"/>
    <x v="2"/>
    <m/>
  </r>
  <r>
    <n v="30"/>
    <s v="Las agresiones por animales potencialmente transmisores de la rabia"/>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desarrollar capacidades institucionales con el fin de mejorar las habilidades individuales en la prevención y control de de zoonosis al nivel municipal"/>
    <s v="Procesos transversales de la Gestion de la Salud Pública"/>
    <n v="1"/>
    <s v="Número"/>
    <n v="0"/>
    <n v="0"/>
    <e v="#DIV/0!"/>
    <n v="0"/>
    <n v="1"/>
    <e v="#DIV/0!"/>
    <n v="0"/>
    <n v="0"/>
    <e v="#DIV/0!"/>
    <n v="1"/>
    <n v="0"/>
    <n v="0"/>
    <n v="1"/>
    <n v="1"/>
    <n v="100"/>
    <d v="2026-04-01T00:00:00"/>
    <d v="2027-03-31T00:00:00"/>
    <s v="N/A"/>
    <s v="SGP-SALUD-SALUD PUBLICA (1.2.4.2.02)"/>
    <s v="1.2.4.2.02"/>
    <n v="40000000"/>
    <n v="40000000"/>
    <n v="40000000"/>
    <n v="40000000"/>
    <s v="Familias, colectivos y comunidades"/>
    <s v="N/A"/>
    <x v="2"/>
    <m/>
  </r>
  <r>
    <n v="31"/>
    <s v="Los malos hábitos alimenticios, los estilos de vida y el entorno laboral contribuyen a la alta prevalencia de HTA y diabetes y ERC. El sedentarismo se ha convertido en un flagelo del siglo XXI ; el 4 % de los asistentes a las mesas lo reconoció como un problema de salud. Bajas frecuencias en el suministro de agua, incide en la alta incidencia de ETAs, EDA e Hep A. La baja oferta laboral obliga a la población a buscar fuentes de supervivencia a través de prácticas agrícolas no tecnificadas que conllevan el uso y manejo inadecuado de plaguicidas que condicionan la presencia de intoxicaciones por estas sustancias. "/>
    <s v="Atención Primaria en Salud"/>
    <s v="ii) Redes Integrales e Integradas Territoriales de Salud - RIITS"/>
    <s v="Entidades Territoriales Departamentales, Distritales que organizan la prestación de servicios de salud en redes integrales e integradas territoriales bajo un modelo de salud predictivo, preventivo y resolutivo fundamentado en la Atención Primaria en Salud – APS con criterios de subsidiaridad y complementariedad."/>
    <s v="Conformación de las Redes Integrales e Integradas_x000a_ Territoriales de Salud con base en la aplicación de_x000a_ criterios determinantes incluyendo el reconocimiento_x000a_ de las condiciones de vida y salud de personas,_x000a_ familias y comunidades bajo el liderazgo de las_x000a_ Entidades Territoriales Departamentales y_x000a_ Distrital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1-A 2031, la prevalencia de caries se reduce al menos en 10 puntos porcentuales en primera infancia, en infancia y en adolescencia."/>
    <s v="61-A 2031, la prevalencia de caries se reduce al menos en 10 puntos porcentuales en primera infancia, en infancia y en adolescencia."/>
    <s v="Salud Pública"/>
    <s v="Médico en tu casa"/>
    <s v="Fortalecimiento de Estrategias para la Promoción de la Salud y Prevención de Enfermedades en Comunidades, mediante acciones Integrales, Participativas y Sostenibles en el Departamento del Magdalena."/>
    <s v="Implementar en el 100% de los municipios del Departamento la estrategia CERSS"/>
    <s v="Cuidado de la salud en el territorio"/>
    <s v="Promover la adopcion de habitos saludables relacionados con higiene visual, cuidado auditivo y autocuidado oral en niños, niñas y adolescentes, mediante estrategias ludicas y educativas que fomenten el aprendizaje práctico y participativo en los ambitos urbano o rural del departamento, en los cursos de vida de primera infancia, infancia y adolescencia del entorno educativo."/>
    <s v="PIC(Anexo técnico)"/>
    <n v="29"/>
    <s v="Número"/>
    <n v="0"/>
    <n v="0"/>
    <e v="#DIV/0!"/>
    <n v="10"/>
    <m/>
    <n v="0"/>
    <n v="10"/>
    <m/>
    <n v="0"/>
    <n v="9"/>
    <m/>
    <n v="0"/>
    <n v="29"/>
    <n v="0"/>
    <e v="#DIV/0!"/>
    <d v="2026-02-01T00:00:00"/>
    <d v="2027-03-31T00:00:00"/>
    <s v="N/A"/>
    <s v="SGP-SALUD-SALUD PUBLICA (1.2.4.2.02)"/>
    <s v="1.2.4.2.02"/>
    <n v="200000000"/>
    <n v="200000000"/>
    <n v="200000000"/>
    <n v="0"/>
    <s v="Personal de Salud_x000a_"/>
    <s v="N/A"/>
    <x v="3"/>
    <m/>
  </r>
  <r>
    <n v="32"/>
    <s v="Los malos hábitos alimenticios, los estilos de vida y el entorno laboral contribuyen a la alta prevalencia de HTA y diabetes y ERC. El sedentarismo se ha convertido en un flagelo del siglo XXI ; el 4 % de los asistentes a las mesas lo reconoció como un problema de salud. Bajas frecuencias en el suministro de agua, incide en la alta incidencia de ETAs, EDA e Hep A. La baja oferta laboral obliga a la población a buscar fuentes de supervivencia a través de prácticas agrícolas no tecnificadas que conllevan el uso y manejo inadecuado de plaguicidas que condicionan la presencia de intoxicaciones por estas sustancias. "/>
    <s v="Atención Primaria en Salud"/>
    <s v="ii) Redes Integrales e Integradas Territoriales de Salud - RIITS"/>
    <s v="Entidades Territoriales Departamentales, Distritales y Municipales fortalecidas como autoridad sanitaria local para la Gobernanza en Salud Pública."/>
    <s v="Conformación de las Redes Integrales e Integradas_x000a_ Territoriales de Salud con base en la aplicación de_x000a_ criterios determinantes incluyendo el reconocimiento_x000a_ de las condiciones de vida y salud de personas,_x000a_ familias y comunidades bajo el liderazgo de las_x000a_ Entidades Territoriales Departamentales y_x000a_ Distrital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40-A 2031, se garantiza que entre la sospecha médica y la confirmación diagnóstica de cáncer de cuello uterino transcurran en promedio 30 días o menos"/>
    <s v="40-A 2031, se garantiza que entre la sospecha médica y la confirmación diagnóstica de cáncer de cuello uterino transcurran en promedio 30 días o menos"/>
    <s v="Salud Pública"/>
    <s v="Médico en tu casa"/>
    <s v="Fortalecimiento de Estrategias para la Promoción de la Salud y Prevención de Enfermedades en Comunidades, mediante acciones Integrales, Participativas y Sostenibles en el Departamento del Magdalena."/>
    <s v="Implementar en el 100% de los municipios del Departamento la estrategia CERSS"/>
    <s v="Cuidado de la salud en el territorio"/>
    <s v="Jornadas de salud que permitan identificar el riesgo haciendo promocion de la salud bucal, auditiva, comunicatva, tamizaje de riesgo cardiovascular, tamizaje para CCU, autoexamen de seno, aplicacion de barniz de fluor, de acuerdo al curso de vida en el entorno comunitario en los microcroterritorios definidos."/>
    <s v="PIC(Anexo técnico)"/>
    <n v="29"/>
    <s v="Número"/>
    <n v="0"/>
    <n v="0"/>
    <e v="#DIV/0!"/>
    <n v="10"/>
    <n v="0"/>
    <n v="0"/>
    <n v="10"/>
    <m/>
    <n v="0"/>
    <n v="9"/>
    <m/>
    <n v="0"/>
    <n v="29"/>
    <n v="0"/>
    <n v="0"/>
    <d v="2026-02-01T00:00:00"/>
    <d v="2027-03-31T00:00:00"/>
    <s v="N/A"/>
    <s v="SGP-SALUD-SALUD PUBLICA (1.2.4.2.02)"/>
    <s v="1.2.4.2.02"/>
    <n v="100000000"/>
    <n v="100000000"/>
    <n v="100000000"/>
    <n v="0"/>
    <s v="Personal de Salud_x000a_"/>
    <s v="N/A"/>
    <x v="3"/>
    <m/>
  </r>
  <r>
    <n v="33"/>
    <s v="Los malos hábitos alimenticios, los estilos de vida y el entorno laboral contribuyen a la alta prevalencia de HTA y diabetes y ERC. El sedentarismo se ha convertido en un flagelo del siglo XXI ; el 4 % de los asistentes a las mesas lo reconoció como un problema de salud. Bajas frecuencias en el suministro de agua, incide en la alta incidencia de ETAs, EDA e Hep A. La baja oferta laboral obliga a la población a buscar fuentes de supervivencia a través de prácticas agrícolas no tecnificadas que conllevan el uso y manejo inadecuado de plaguicidas que condicionan la presencia de intoxicaciones por estas sustancias. "/>
    <s v="Atención Primaria en Salud"/>
    <s v="ii) Redes Integrales e Integradas Territoriales de Salud - RIITS"/>
    <s v="Entidades Territoriales Departamentales, Distritales que organizan la prestación de servicios de salud en redes integrales e integradas territoriales bajo un modelo de salud predictivo, preventivo y resolutivo fundamentado en la Atención Primaria en Salud – APS con criterios de subsidiaridad y complementariedad."/>
    <s v="Conformación de las Redes Integrales e Integradas_x000a_ Territoriales de Salud con base en la aplicación de_x000a_ criterios determinantes incluyendo el reconocimiento_x000a_ de las condiciones de vida y salud de personas,_x000a_ familias y comunidades bajo el liderazgo de las_x000a_ Entidades Territoriales Departamentales y_x000a_ Distrital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Implementar en el 100% de los municipios del Departamento la estrategia CERSS"/>
    <s v="Cuidado de la salud en el territorio"/>
    <s v="Conmemorar la semana de hábitos y estilos de vida saludables a través de actividades educativas, recreativas y de sensibilización enfocadas en la alimentación balanceada, la actividad física, el bienestar emocional y la prevención de enfermedades, fortaleciendo la cultura del autocuidado, en los diferentes cursos de vida, en el entorno comunitario y educativo del ambito urbano y rural de los territorios priorizados."/>
    <s v="PIC(Anexo técnico)"/>
    <n v="29"/>
    <s v="Número"/>
    <n v="0"/>
    <n v="0"/>
    <e v="#DIV/0!"/>
    <n v="10"/>
    <n v="0"/>
    <n v="0"/>
    <n v="10"/>
    <m/>
    <n v="0"/>
    <n v="9"/>
    <m/>
    <n v="0"/>
    <n v="29"/>
    <n v="0"/>
    <n v="0"/>
    <d v="2026-04-01T00:00:00"/>
    <d v="2027-03-31T00:00:00"/>
    <s v="N/A"/>
    <s v="SGP-SALUD-SALUD PUBLICA (1.2.4.2.02)"/>
    <s v="1.2.4.2.02"/>
    <n v="120000000"/>
    <n v="120000000"/>
    <n v="120000000"/>
    <n v="0"/>
    <s v="Personal de Salud_x000a_"/>
    <s v="N/A"/>
    <x v="3"/>
    <m/>
  </r>
  <r>
    <n v="34"/>
    <s v="Los malos hábitos alimenticios, los estilos de vida y el entorno laboral contribuyen a la alta prevalencia de HTA y diabetes y ERC. El sedentarismo se ha convertido en un flagelo del siglo XXI ; el 4 % de los asistentes a las mesas lo reconoció como un problema de salud. Bajas frecuencias en el suministro de agua, incide en la alta incidencia de ETAs, EDA e Hep A. La baja oferta laboral obliga a la población a buscar fuentes de supervivencia a través de prácticas agrícolas no tecnificadas que conllevan el uso y manejo inadecuado de plaguicidas que condicionan la presencia de intoxicaciones por estas sustancias. "/>
    <s v="Gobernabilidad y gobernanza de la salud pública"/>
    <s v="i). Gobernabilidad, Gobernanza y Territorialización"/>
    <s v="Entidades Territoriales Departamentales, Distritales y Municipales con mecanismos fortalecidos para el ejercicio de la Rectoría en Salud."/>
    <s v="Implementación de mecanismos para la_x000a_ coordinación y gestión de la operación de las redes_x000a_ integrales e integradas territoriales de salud en el_x000a_ marco de un modelo preventivo,"/>
    <s v="A 2031 el 100% de las Entidades Territoriales del orden departamental, distrital y municipal desarrollan mecanismos para el fortalecimiento de la rectoría en salud en su territorio, conforme a las competencias establecidas."/>
    <s v="A 2031 el 100% de las Entidades Territoriales del orden departamental, distrital y municipal desarrollan mecanismos para el fortalecimiento de la rectoría en salud en su territorio, conforme a las competencias establecidas."/>
    <s v="62-A 2031, las personas sin pérdida dental (dentición permanente) por enfermedad bucodental prevenible, se incrementa en 5 puntos porcentuales (mínimo) en las edades de 20-34 años; 35-44 años; 45-64 años y 65-79 y más años"/>
    <s v="62-A 2031, las personas sin pérdida dental (dentición permanente) por enfermedad bucodental prevenible, se incrementa en 5 puntos porcentuales (mínimo) en las edades de 20-34 años; 35-44 años; 45-64 años y 65-79 y más años"/>
    <s v="Salud Pública"/>
    <s v="Médico en tu casa"/>
    <s v="Fortalecimiento de Estrategias para la Promoción de la Salud y Prevención de Enfermedades en Comunidades, mediante acciones Integrales, Participativas y Sostenibles en el Departamento del Magdalena."/>
    <s v="Implementar en el 100% de los municipios del Departamento la estrategia CERSS"/>
    <s v="Desarrollo institucional y sectorial para el ejercicio de la autoridad sanitaria"/>
    <s v="Alianzas transectoriales, que busquen fortalecer la promoción de la salud bucal mediante el desarrollo de actividades y estrategias de prevención, educación, detección temprana, atención integral y oportuna."/>
    <s v="Procesos transversales de la Gestion de la Salud Pública"/>
    <n v="3"/>
    <s v="Número"/>
    <n v="0"/>
    <n v="0"/>
    <n v="0"/>
    <n v="1"/>
    <m/>
    <n v="0"/>
    <n v="1"/>
    <m/>
    <n v="0"/>
    <n v="1"/>
    <m/>
    <n v="0"/>
    <n v="3"/>
    <n v="0"/>
    <e v="#DIV/0!"/>
    <d v="2026-04-01T00:00:00"/>
    <d v="2027-03-31T00:00:00"/>
    <s v="N/A"/>
    <s v="SGP-SALUD-SALUD PUBLICA (1.2.4.2.02)"/>
    <s v="1.2.4.2.02"/>
    <n v="12000000"/>
    <n v="12000000"/>
    <n v="12000000"/>
    <n v="0"/>
    <s v="Personal de Salud_x000a_"/>
    <s v="N/A"/>
    <x v="4"/>
    <m/>
  </r>
  <r>
    <n v="35"/>
    <s v="Los malos hábitos alimenticios, los estilos de vida y el entorno laboral contribuyen a la alta prevalencia de HTA y diabetes y ERC. El sedentarismo se ha convertido en un flagelo del siglo XXI ; el 4 % de los asistentes a las mesas lo reconoció como un problema de salud. Bajas frecuencias en el suministro de agua, incide en la alta incidencia de ETAs, EDA e Hep A. La baja oferta laboral obliga a la población a buscar fuentes de supervivencia a través de prácticas agrícolas no tecnificadas que conllevan el uso y manejo inadecuado de plaguicidas que condicionan la presencia de intoxicaciones por estas sustancias. "/>
    <s v="Gobernabilidad y gobernanza de la salud pública"/>
    <s v="i). Gobernabilidad, Gobernanza y Territorialización"/>
    <s v="Entidades Territoriales Departamentales, Distritales y Municipales con mecanismos fortalecidos para el ejercicio de la Rectoría en Salud."/>
    <s v="DESARROLLO Y FORTALECIMIENTO DE CAPACIDADES PARA LA PLANEACION INTEGRAL EN SALUD Y LA GESTION TERRITTORIAL EN EL MARCO DEL MODELO DE SALUD PTREVENTIVO, PREDICTIVO Y RESOLUTIVO BASADO EN AP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Alcanzar una cobertura del 20% con esquema completo de aplicación de barniz de flúor en la población entre 1 y 17 años para avanzar en la mejora de las condiciones de salud bucal."/>
    <s v="Desarrollo institucional y sectorial para el ejercicio de la autoridad sanitaria"/>
    <s v="Brindar asistencia Tecnica a todos los actores del sistema en todos los componentes de Promocion Y prevencion de las enfermedades crónicas no transmisibles mediante levantamiento de linea base de total de personas que padecen HTA . DM y ERC  ( incidencia ) como de estrategias para deteccion temprana y seguimiento de personas con dicho riesgos."/>
    <s v="Procesos transversales de la Gestion de la Salud Pública"/>
    <n v="29"/>
    <s v="Número"/>
    <n v="8"/>
    <n v="0"/>
    <n v="0"/>
    <n v="8"/>
    <n v="7"/>
    <n v="87.5"/>
    <n v="8"/>
    <m/>
    <n v="0"/>
    <n v="5"/>
    <m/>
    <n v="0"/>
    <n v="29"/>
    <n v="7"/>
    <n v="43.75"/>
    <d v="2026-04-01T00:00:00"/>
    <d v="2027-03-31T00:00:00"/>
    <s v="N/A"/>
    <s v="SGP-SALUD-SALUD PUBLICA (1.2.4.2.02)"/>
    <s v="1.2.4.2.02"/>
    <m/>
    <m/>
    <m/>
    <m/>
    <s v="primera infancia, infancia y adolescencia."/>
    <s v="N/A"/>
    <x v="3"/>
    <m/>
  </r>
  <r>
    <n v="36"/>
    <s v="Los malos hábitos alimenticios, los estilos de vida y el entorno laboral contribuyen a la alta prevalencia de HTA y diabetes y ERC. El sedentarismo se ha convertido en un flagelo del siglo XXI ; el 4 % de los asistentes a las mesas lo reconoció como un problema de salud. Bajas frecuencias en el suministro de agua, incide en la alta incidencia de ETAs, EDA e Hep A. La baja oferta laboral obliga a la población a buscar fuentes de supervivencia a través de prácticas agrícolas no tecnificadas que conllevan el uso y manejo inadecuado de plaguicidas que condicionan la presencia de intoxicaciones por estas sustancias. "/>
    <s v="Gobernabilidad y gobernanza de la salud pública"/>
    <s v="i). Gobernabilidad, Gobernanza y Territorialización"/>
    <s v="Entidades Territoriales Departamentales, Distritales y Municipales con mecanismos fortalecidos para el ejercicio de la Rectoría en Salud."/>
    <s v="Implementación de mecanismos para la_x000a_ coordinación y gestión de la operación de las redes_x000a_ integrales e integradas territoriales de salud en el_x000a_ marco de un modelo preventivo,"/>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0-A 2031, se reducirá la tasa ajustada de mortalidad por cáncer infantil a menos de 4,00 x 100000 niños, niñas y adolescentes"/>
    <s v="50-A 2031, se reducirá la tasa ajustada de mortalidad por cáncer infantil a menos de 4,00 x 100000 niños, niñas y adolescentes"/>
    <s v="Salud Pública"/>
    <s v="Médico en tu casa"/>
    <s v="Fortalecimiento de Estrategias para la Promoción de la Salud y Prevención de Enfermedades en Comunidades, mediante acciones Integrales, Participativas y Sostenibles en el Departamento del Magdalena."/>
    <s v="Consolidar los planes de choque en Cancer de mama, cáncer cervicouterino y cáncer infantil de los 29 municipios y EAPB del departamento del Magdalena"/>
    <s v="Desarrollo institucional y sectorial para el ejercicio de la autoridad sanitaria"/>
    <s v="Realizar 4 sesiones del Consejo Departamental Asesor en Cancer Infantil de la mano de los actores definidos en la resolucion 1101 del 15 de noviembre de 2012 y el reglamento interno del CODACAI"/>
    <s v="Procesos transversales de la Gestion de la Salud Pública"/>
    <n v="4"/>
    <m/>
    <n v="1"/>
    <n v="1"/>
    <n v="100"/>
    <n v="1"/>
    <n v="1"/>
    <n v="100"/>
    <n v="1"/>
    <m/>
    <n v="0"/>
    <n v="1"/>
    <m/>
    <n v="0"/>
    <n v="4"/>
    <n v="2"/>
    <n v="100"/>
    <d v="2026-04-01T00:00:00"/>
    <d v="2027-03-31T00:00:00"/>
    <s v="N/A"/>
    <s v="SGP-SALUD-SALUD PUBLICA (1.2.4.2.02)"/>
    <s v="1.2.4.2.02"/>
    <n v="16000000"/>
    <n v="16000000"/>
    <n v="16000000"/>
    <n v="16000000"/>
    <s v="Familias, colectivos y comunidades"/>
    <s v="N/A"/>
    <x v="4"/>
    <m/>
  </r>
  <r>
    <n v="37"/>
    <s v="Los malos hábitos alimenticios, los estilos de vida y el entorno laboral contribuyen a la alta prevalencia de HTA y diabetes y ERC. El sedentarismo se ha convertido en un flagelo del siglo XXI ; el 4 % de los asistentes a las mesas lo reconoció como un problema de salud. Bajas frecuencias en el suministro de agua, incide en la alta incidencia de ETAs, EDA e Hep A. La baja oferta laboral obliga a la población a buscar fuentes de supervivencia a través de prácticas agrícolas no tecnificadas que conllevan el uso y manejo inadecuado de plaguicidas que condicionan la presencia de intoxicaciones por estas sustancias. "/>
    <s v="Conocimiento en salud pública y Soberanía Sanitaria"/>
    <s v="i). Gobernabilidad, Gobernanza y Territorialización"/>
    <s v="Entidades Territoriales Departamentales, Distritales y Municipales con mecanismos fortalecidos para el ejercicio de la Rectoría en Salud."/>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Alcanzar una cobertura del 20% con esquema completo de aplicación de barniz de flúor en la población entre 1 y 17 años para avanzar en la mejora de las condiciones de salud bucal."/>
    <s v="Desarrollo institucional y sectorial para el ejercicio de la autoridad sanitaria"/>
    <s v="Realizar promocion activa de CERSS - fase de ejecucion, monitoreo y evaluacion (Herramientas: Implementacion de CERSS, monitoreo y evaluacion en los 29 municipios. Realizacion de taller para la implementacion, monitoreo y evaluacion de la estrategias CERSS en los 29 municipios del departamento del Magdalena."/>
    <s v="Procesos transversales de la Gestion de la Salud Pública"/>
    <n v="4"/>
    <s v="Número"/>
    <n v="0"/>
    <n v="0"/>
    <e v="#DIV/0!"/>
    <n v="0"/>
    <n v="0"/>
    <e v="#DIV/0!"/>
    <n v="2"/>
    <m/>
    <n v="0"/>
    <n v="2"/>
    <m/>
    <n v="0"/>
    <n v="4"/>
    <n v="0"/>
    <e v="#DIV/0!"/>
    <d v="2026-04-01T00:00:00"/>
    <d v="2027-03-31T00:00:00"/>
    <s v="N/A"/>
    <s v="SGP-SALUD-SALUD PUBLICA (1.2.4.2.02)"/>
    <s v="1.2.4.2.02"/>
    <n v="50000000"/>
    <n v="50000000"/>
    <n v="50000000"/>
    <n v="0"/>
    <s v="Familias, colectivos y comunidades"/>
    <s v="N/A"/>
    <x v="4"/>
    <m/>
  </r>
  <r>
    <n v="38"/>
    <s v="Los malos hábitos alimenticios, los estilos de vida y el entorno laboral contribuyen a la alta prevalencia de HTA y diabetes y ERC. El sedentarismo se ha convertido en un flagelo del siglo XXI ; el 4 % de los asistentes a las mesas lo reconoció como un problema de salud. Bajas frecuencias en el suministro de agua, incide en la alta incidencia de ETAs, EDA e Hep A. La baja oferta laboral obliga a la población a buscar fuentes de supervivencia a través de prácticas agrícolas no tecnificadas que conllevan el uso y manejo inadecuado de plaguicidas que condicionan la presencia de intoxicaciones por estas sustancias. "/>
    <s v="Gobernabilidad y gobernanza de la salud pública"/>
    <s v="i). Gobernabilidad, Gobernanza y Territorialización"/>
    <s v="Entidades Territoriales Departamentales, Distritales y Municipales con mecanismos fortalecidos para el ejercicio de la Rectoría en Salud."/>
    <s v="DESARROLLO Y FORTALECIMIENTO DE CAPACIDADES PARA LA PLANEACION INTEGRAL EN SALUD Y LA GESTION TERRITTORIAL EN EL MARCO DEL MODELO DE SALUD PTREVENTIVO, PREDICTIVO Y RESOLUTIVO BASADO EN AP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Alcanzar una cobertura del 20% con esquema completo de aplicación de barniz de flúor en la población entre 1 y 17 años para avanzar en la mejora de las condiciones de salud bucal."/>
    <s v="Desarrollo institucional y sectorial para el ejercicio de la autoridad sanitaria"/>
    <s v="Desarrollo de capacidades en enfermedades cronicas dirigido a medicos y enfermeros jefes de las entidades prestadoras de servicios en el departamento del Magdalena."/>
    <s v="Procesos transversales de la Gestion de la Salud Pública"/>
    <n v="1"/>
    <s v="Número"/>
    <n v="0"/>
    <n v="0"/>
    <e v="#DIV/0!"/>
    <n v="0"/>
    <n v="0"/>
    <e v="#DIV/0!"/>
    <n v="0"/>
    <m/>
    <e v="#DIV/0!"/>
    <n v="1"/>
    <m/>
    <n v="0"/>
    <n v="1"/>
    <n v="0"/>
    <e v="#DIV/0!"/>
    <d v="2026-04-01T00:00:00"/>
    <d v="2027-03-31T00:00:00"/>
    <s v="N/A"/>
    <s v="SGP-SALUD-SALUD PUBLICA (1.2.4.2.02)"/>
    <s v="1.2.4.2.02"/>
    <n v="30000000"/>
    <n v="30000000"/>
    <n v="30000000"/>
    <n v="0"/>
    <s v="Personal de Salud_x000a_"/>
    <s v="N/A"/>
    <x v="4"/>
    <m/>
  </r>
  <r>
    <n v="39"/>
    <s v="La pérdida de valores, falta de involucramiento parental, mitos y creencias que naturalizan el maltrato se relaciona con el deterioro de la salud mental"/>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Gestión territorial para el cuidado de la salud basado en la atención primaria en salud."/>
    <s v="A 2031 el 80% de las necesidades en salud de la población Colombiana se resuelven en el nivel primario de atención en salud."/>
    <s v="A 2027 el 80% de las necesidades en salud de la población Colombiana se resuelven en el nivel primario de atención en salud."/>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Implementar la estrategia nacional para la prevencion de la conducta suicida en las 33 ESE públicas del departamento"/>
    <s v="Cuidado de la salud en el territorio"/>
    <s v="Implementar las Zonas de Orientación y/o Centros de Escucha en el entorno educativo en cada uno de los 29 municipios, fortaleciendo la promoción y atención primaria de la salud mental, la prevención del consumo de SPA, la conducta suicida y las violencias sexuales y de género; el cuidado de pacientes con discapacidad mental, trastornos de la conducta alimentaria, involucramiento parental y convivencia pacífica y la canalización a las rutas integrales de atención."/>
    <s v="PIC(Anexo técnico)"/>
    <n v="35"/>
    <s v="Número"/>
    <n v="35"/>
    <n v="0"/>
    <n v="0"/>
    <n v="35"/>
    <n v="10"/>
    <n v="28.571428571428569"/>
    <n v="35"/>
    <m/>
    <n v="0"/>
    <n v="35"/>
    <m/>
    <n v="0"/>
    <n v="35"/>
    <n v="10"/>
    <n v="14.285714285714285"/>
    <d v="2026-02-01T00:00:00"/>
    <d v="2027-03-31T00:00:00"/>
    <s v="N/A"/>
    <s v="SGP-SALUD-SALUD PUBLICA (1.2.4.2.02)"/>
    <s v="1.2.4.2.02"/>
    <n v="419200000"/>
    <n v="419200000"/>
    <n v="419200000"/>
    <n v="0"/>
    <s v="Talento Humano en salud"/>
    <s v="N/A"/>
    <x v="5"/>
    <m/>
  </r>
  <r>
    <n v="40"/>
    <s v="La pérdida de valores, falta de involucramiento parental, mitos y creencias que naturalizan el maltrato se relaciona con el deterioro de la salud mental"/>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Gestión territorial para el cuidado de la salud basado en la atención primaria en salud."/>
    <s v="A 2031 el 80% de las necesidades en salud de la población Colombiana se resuelven en el nivel primario de atención en salud."/>
    <s v="A 2027 el 80% de las necesidades en salud de la población Colombiana se resuelven en el nivel primario de atención en salud."/>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Implementar la estrategia nacional para la prevencion de la conducta suicida en las 33 ESE públicas del departamento"/>
    <s v="Cuidado de la salud en el territorio"/>
    <s v="Promover la educación e información en salud en el entorno familiar y educativo orientado hacia la promocion de la salud mental, prevencion del consumo de spa, prevencion de la conducta suicida, prevencion de la violencia en el entorno escolar en los 29 Municipios del departamento del Magdalena."/>
    <s v="PIC(Anexo técnico)"/>
    <n v="102"/>
    <s v="Número"/>
    <n v="0"/>
    <n v="0"/>
    <e v="#DIV/0!"/>
    <n v="34"/>
    <n v="24"/>
    <n v="70.588235294117652"/>
    <n v="34"/>
    <m/>
    <n v="0"/>
    <n v="34"/>
    <m/>
    <n v="0"/>
    <n v="102"/>
    <n v="24"/>
    <n v="70.588235294117652"/>
    <d v="2026-04-01T00:00:00"/>
    <d v="2027-03-31T00:00:00"/>
    <s v="N/A"/>
    <s v="SGP-SALUD-SALUD PUBLICA (1.2.4.2.02)"/>
    <s v="1.2.4.2.02"/>
    <n v="171000000"/>
    <n v="171000000"/>
    <n v="171000000"/>
    <n v="0"/>
    <s v="Talento Humano en salud"/>
    <s v="N/A"/>
    <x v="5"/>
    <m/>
  </r>
  <r>
    <n v="41"/>
    <s v="La pérdida de valores, falta de involucramiento parental, mitos y creencias que naturalizan el maltrato se relaciona con el deterioro de la salud mental"/>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Gestión territorial para el cuidado de la salud basado en la atención primaria en salud."/>
    <s v="A 2031 el 80% de las necesidades en salud de la población Colombiana se resuelven en el nivel primario de atención en salud."/>
    <s v="A 2027 el 80% de las necesidades en salud de la población Colombiana se resuelven en el nivel primario de atención en salud."/>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Implementar la estrategia nacional para la prevencion de la conducta suicida en las 33 ESE públicas del departamento"/>
    <s v="Cuidado de la salud en el territorio"/>
    <s v="Realizar la conmemoración de: Día Mundial de la Salud Mental, Dia Internacional y semana  de la Prevención de la conducta suicida, Dia Internacional de la Eliminación de la violencia contra la mujer,  semana de la prevención del consumo de sustancias psicoactivas y reducción de riesgos y daños, siguiendo los lineamientos técnicos del Ministerio de Salud y Protección Social, que promueva la salud mental y reducción del estigma. _x000a_"/>
    <s v="PIC(Anexo técnico)"/>
    <n v="102"/>
    <s v="Número"/>
    <n v="0"/>
    <n v="0"/>
    <n v="0"/>
    <n v="34"/>
    <n v="29"/>
    <n v="85.294117647058826"/>
    <n v="34"/>
    <m/>
    <n v="0"/>
    <n v="34"/>
    <m/>
    <n v="0"/>
    <n v="102"/>
    <n v="29"/>
    <n v="85.294117647058826"/>
    <d v="2026-04-01T00:00:00"/>
    <d v="2027-03-31T00:00:00"/>
    <s v="N/A"/>
    <s v="SGP-SALUD-SALUD PUBLICA (1.2.4.2.02)"/>
    <s v="1.2.4.2.02"/>
    <n v="119000000"/>
    <n v="119000000"/>
    <n v="119000000"/>
    <n v="0"/>
    <s v="Personal de Salud_x000a_"/>
    <s v="N/A"/>
    <x v="5"/>
    <m/>
  </r>
  <r>
    <n v="42"/>
    <s v="La pérdida de valores, falta de involucramiento parental, mitos y creencias que naturalizan el maltrato se relaciona con el deterioro de la salud mental, "/>
    <s v="Conocimiento en salud pública y Soberanía Sanitaria"/>
    <s v="i). Gobernabilidad, Gobernanza y Territorialización"/>
    <s v="Capacidades fortalecidas para la gestión del conocimiento en salud pública"/>
    <s v="Fortalecimiento de las capacidades del Talento Humano en la implementación de estrategias para la generación de conocimiento de las condiciones de salud de la población y sus determinantes tales como observatorios, ASIS, unidades de análisis, seminarios, entre otras."/>
    <s v="A 2031 el 100% las entidades territoriales Departamentales, Distritales han implementado las medidas de atención para la atención a las mujeres víctimas de violencia de género."/>
    <s v="A 2027 el 100% las entidades territoriales han implementado las medidas de atención para la atención a las mujeres víctimas de violencia de género."/>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Mantener por debajo de 161.9 por 100.000 habitantes la tasa de violencia intrafamiliar."/>
    <s v="Desarrollo institucional y sectorial para el ejercicio de la autoridad sanitaria"/>
    <s v="Desarrollar capacidades del Talento Humano en salud de las EAPB y ESE mediante talleres en Salud mental comunitaria e intervención temprana, atención en salud para las mujeres víctimas de violencias de genero e intrafamiliar, ruta de atención integral en salud mental, y socialización del del sistema de responsabilidad penal para adolescentes en los 29 municipios del departamento del Magdalena incluyendo IPS Indígena."/>
    <s v="Procesos transversales de la Gestion de la Salud Pública"/>
    <n v="1"/>
    <s v="Número"/>
    <n v="0"/>
    <n v="0"/>
    <n v="0"/>
    <n v="0"/>
    <n v="0"/>
    <e v="#DIV/0!"/>
    <n v="1"/>
    <m/>
    <n v="0"/>
    <n v="1"/>
    <m/>
    <n v="0"/>
    <n v="1"/>
    <n v="0"/>
    <e v="#DIV/0!"/>
    <d v="2026-02-01T00:00:00"/>
    <d v="2027-03-31T00:00:00"/>
    <s v="N/A"/>
    <s v="SGP-SALUD-SALUD PUBLICA (1.2.4.2.02)"/>
    <s v="1.2.4.2.02"/>
    <n v="120000000"/>
    <n v="120000000"/>
    <n v="120000000"/>
    <n v="0"/>
    <s v="Talento Humano en salud"/>
    <s v="N/A"/>
    <x v="5"/>
    <m/>
  </r>
  <r>
    <n v="43"/>
    <s v="La pérdida de valores, falta de involucramiento parental, mitos y creencias que naturalizan el maltrato se relaciona con el deterioro de la salud mental, "/>
    <s v="Conocimiento en salud pública y Soberanía Sanitaria"/>
    <s v="i). Gobernabilidad, Gobernanza y Territorialización"/>
    <s v="Capacidades fortalecidas para la gestión del conocimiento en salud pública"/>
    <s v="Fortalecimiento de las capacidades del Talento Humano en la irnplementación de estrategias para la generación de conocimiento de las condiciones de salud de la población y sus determinantes tales como bservatorios, ASIS, unidades de análisis, seminarios, entre otras."/>
    <s v="A 2031, mantener la tasa de mortalidad de suicidio"/>
    <s v="A 2027, mantener la tasa de mortalidad de suicidio"/>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Mantener por debajo de 2,7 por 100.000 habitantes la tasa de suicidio"/>
    <s v="Desarrollo institucional y sectorial para el ejercicio de la autoridad sanitaria"/>
    <s v="Desarrollo de capacidades a través de un taller por subregión, referente a primeros auxilios psicológicos, dirigido a los equipos de profesionales de las ESE, equipos básicos en atención primaria en salud y docentes orientadores de los 29 municipios que conforman el departamento del Magdalena; que permita brindar atención oportun frente a los eventos de salud mental."/>
    <s v="Procesos transversales de la Gestion de la Salud Pública"/>
    <n v="4"/>
    <s v="Número"/>
    <n v="0"/>
    <n v="0"/>
    <n v="0"/>
    <n v="1"/>
    <n v="0"/>
    <n v="0"/>
    <n v="2"/>
    <m/>
    <n v="0"/>
    <n v="4"/>
    <m/>
    <n v="0"/>
    <n v="4"/>
    <n v="0"/>
    <n v="0"/>
    <d v="2026-04-01T00:00:00"/>
    <d v="2027-03-31T00:00:00"/>
    <s v="N/A"/>
    <s v="SGP-SALUD-SALUD PUBLICA (1.2.4.2.02)"/>
    <s v="1.2.4.2.02"/>
    <n v="120000000"/>
    <n v="120000000"/>
    <n v="120000000"/>
    <n v="0"/>
    <s v="Familias, colectivos y comunidades;  Población materno perinatal; _x000a_Primera infancia; Infancia;  Adolescencia;  Juventud; Adultez; _x000a_Persona mayor, Personas con discapacidad, Victimas del conflicto armado, Población migrante_x000a_Población campesina, Mujeres, Población LGBTIQ+, Indígenas, Negros, afrocolombianos, raizales y palenqueros-NARP, Pueblo rrom- gitano_x000a_"/>
    <s v="N/A"/>
    <x v="5"/>
    <m/>
  </r>
  <r>
    <n v="44"/>
    <s v="La pérdida de valores, falta de involucramiento parental, mitos y creencias que naturalizan el maltrato se relaciona con el deterioro de la salud mental, "/>
    <s v="Conocimiento en salud pública y Soberanía Sanitaria"/>
    <s v="i). Gobernabilidad, Gobernanza y Territorialización"/>
    <s v="Capacidades fortalecidas para la gestión del conocimiento en salud pública"/>
    <s v="Fortalecimiento de las capacidades del Talento Humano en la irnplementación de estrategias para la generación de conocimiento de las condiciones de salud de la población y sus determinantes tales como bservatorios, ASIS, unidades de análisis, seminarios, entre otras."/>
    <s v="A 2031, mantener la tasa de mortalidad de suicidio"/>
    <s v="A 2027, mantener la tasa de mortalidad de suicidio"/>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Mantener por debajo de 2,7 por 100.000 habitantes la tasa de suicidio"/>
    <s v="Desarrollo institucional y sectorial para el ejercicio de la autoridad sanitaria"/>
    <s v="Desarrollo y fortalecimiento de capacidades a través de un taller por subregión, referente  a Promover la salud integral e integrada y prevenir el consumo de SPA,  rutas de atención para garantizar el acceso a la detección, tratamiento y atención de los problemas por consumo de sustancias psicoactivas, de acuerdo a resoluciones vigentes y la nueva Política Nacional De Drogas. "/>
    <s v="Procesos transversales de la Gestion de la Salud Pública"/>
    <n v="4"/>
    <s v="Número"/>
    <n v="0"/>
    <n v="0"/>
    <n v="0"/>
    <n v="1"/>
    <n v="0"/>
    <n v="0"/>
    <n v="1"/>
    <m/>
    <n v="0"/>
    <n v="2"/>
    <m/>
    <n v="0"/>
    <n v="4"/>
    <n v="0"/>
    <n v="0"/>
    <d v="2026-04-01T00:00:00"/>
    <d v="2027-03-31T00:00:00"/>
    <s v="N/A"/>
    <s v="SGP-SALUD-SALUD PUBLICA (1.2.4.2.02)"/>
    <s v="1.2.4.2.02"/>
    <n v="120000000"/>
    <n v="120000000"/>
    <n v="120000000"/>
    <n v="0"/>
    <s v="Familias, colectivos y comunidades;  Población materno perinatal; _x000a_Primera infancia; Infancia;  Adolescencia;  Juventud; Adultez; _x000a_Persona mayor, Personas con discapacidad, Victimas del conflicto armado, Población migrante_x000a_Población campesina, Mujeres, Población LGBTIQ+, Indígenas, Negros, afrocolombianos, raizales y palenqueros-NARP, Pueblo rrom- gitano_x000a_"/>
    <s v="N/A"/>
    <x v="5"/>
    <m/>
  </r>
  <r>
    <n v="45"/>
    <s v="La pérdida de valores, falta de involucramiento parental, mitos y creencias que naturalizan el maltrato se relaciona con el deterioro de la salud mental, "/>
    <s v="Conocimiento en salud pública y Soberanía Sanitaria"/>
    <s v="i). Gobernabilidad, Gobernanza y Territorialización"/>
    <s v="Capacidades fortalecidas para la gestión del conocimiento en salud pública"/>
    <s v="Fortalecimiento de las capacidades del Talento Humano en la irnplementación de estrategias para la generación de conocimiento de las condiciones de salud de la población y sus determinantes tales como bservatorios, ASIS, unidades de análisis, seminarios, entre otras."/>
    <s v="A 2031, mantener la tasa de mortalidad de suicidio"/>
    <s v="A 2027, mantener la tasa de mortalidad de suicidio"/>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Mantener por debajo de 2,7 por 100.000 habitantes la tasa de suicidio"/>
    <s v="Desarrollo institucional y sectorial para el ejercicio de la autoridad sanitaria"/>
    <s v="Desarrollo y fortalecimiento de capacidades a través de un taller referente a reducir la conducta suicida en el departamento, con estrategias locales y en contexto, diferenciadas por curso de vida y entornos de desarrollo. Fortalecer las rutas de promoción de la salud mental, identificación del riesgo y atención integral a la conducta suicida, de acuerdo al Decreto 0729 de 2025 y normativas vigentes."/>
    <s v="Procesos transversales de la Gestion de la Salud Pública"/>
    <n v="2"/>
    <s v="Número"/>
    <n v="0"/>
    <n v="0"/>
    <n v="0"/>
    <n v="0"/>
    <n v="0"/>
    <e v="#DIV/0!"/>
    <n v="1"/>
    <m/>
    <n v="0"/>
    <n v="1"/>
    <m/>
    <n v="0"/>
    <n v="2"/>
    <n v="0"/>
    <e v="#DIV/0!"/>
    <d v="2026-04-01T00:00:00"/>
    <d v="2027-03-31T00:00:00"/>
    <s v="N/A"/>
    <s v="SGP-SALUD-SALUD PUBLICA (1.2.4.2.02)"/>
    <s v="1.2.4.2.02"/>
    <n v="60000000"/>
    <n v="60000000"/>
    <n v="60000000"/>
    <n v="0"/>
    <s v="Familias, colectivos y comunidades;  Población materno perinatal; _x000a_Primera infancia; Infancia;  Adolescencia;  Juventud; Adultez; _x000a_Persona mayor, Personas con discapacidad, Victimas del conflicto armado, Población migrante_x000a_Población campesina, Mujeres, Población LGBTIQ+, Indígenas, Negros, afrocolombianos, raizales y palenqueros-NARP, Pueblo rrom- gitano_x000a_"/>
    <s v="N/A"/>
    <x v="5"/>
    <m/>
  </r>
  <r>
    <n v="46"/>
    <s v="La pérdida de valores, falta de involucramiento parental, mitos y creencias que naturalizan el maltrato se relaciona con el deterioro de la salud mental, "/>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en la irnplementación de estrategias para la generación de conocimiento de las condiciones de salud de la población y sus determinantes tales como bservatorios, ASIS, unidades de análisis, seminarios, entre otras."/>
    <s v="A 2031, disminuir la tasa de violencia interpersonal a 230 por 100.000 habitantes"/>
    <s v="A 2027, mantener la tasa de mortalidad de suicidio"/>
    <s v="95-A 2031, mantener la tasa de mortalidad de suicidio por debajo de 5"/>
    <s v="A 2027,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Mantener por debajo de 161.9 por 100.000 habitantes la tasa de violencia intrafamiliar."/>
    <s v="Desarrollo institucional y sectorial para el ejercicio de la autoridad sanitaria"/>
    <s v="Realizar encuentro departamental de referentes de convivencia social y salud mental de los 29 municipios del departamento"/>
    <s v="Procesos transversales de la Gestion de la Salud Pública"/>
    <n v="1"/>
    <s v="Número"/>
    <n v="0"/>
    <n v="0"/>
    <n v="0"/>
    <n v="1"/>
    <n v="0"/>
    <n v="0"/>
    <n v="0"/>
    <m/>
    <e v="#DIV/0!"/>
    <n v="0"/>
    <m/>
    <e v="#DIV/0!"/>
    <n v="1"/>
    <n v="0"/>
    <n v="0"/>
    <d v="2026-04-01T00:00:00"/>
    <d v="2027-03-31T00:00:00"/>
    <s v="N/A"/>
    <s v="SGP-SALUD-SALUD PUBLICA (1.2.4.2.02)"/>
    <s v="1.2.4.2.02"/>
    <n v="50000000"/>
    <n v="50000000"/>
    <n v="50000000"/>
    <n v="0"/>
    <s v="Personal de Salud_x000a_"/>
    <s v="N/A"/>
    <x v="5"/>
    <m/>
  </r>
  <r>
    <n v="47"/>
    <s v="La pérdida de valores, falta de involucramiento parental, mitos y creencias que naturalizan el maltrato se relaciona con el deterioro de la salud mental, "/>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implmentación integral en salud y la gestion territorial en el marco del modelo de salud preventivo y predictivo y resolución basado en APS."/>
    <s v="A 2031, mantener la tasa de mortalidad de suicidio"/>
    <s v="A 2027, mantener la tasa de mortalidad de suicidio"/>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Implementar la estrategia nacional para la prevencion de la conducta suicida en las 33 ESE públicas del departamento"/>
    <s v="Desarrollo institucional y sectorial para el ejercicio de la autoridad sanitaria"/>
    <s v="Realizar 2 sesiones de Comités de Departamental de Drogas; 2 de Consejo Seccional de Estupefacientes; 2 de consejos de departamental de salud mental.  2 mesas de articulación para la atención integral de las violencias basadas en genero. "/>
    <s v="Procesos transversales de la Gestion de la Salud Pública"/>
    <n v="9"/>
    <s v="Número"/>
    <n v="0"/>
    <m/>
    <n v="0"/>
    <n v="3"/>
    <n v="2"/>
    <n v="66.666666666666657"/>
    <n v="3"/>
    <m/>
    <n v="0"/>
    <n v="3"/>
    <m/>
    <n v="0"/>
    <n v="9"/>
    <n v="2"/>
    <e v="#DIV/0!"/>
    <d v="2026-04-01T00:00:00"/>
    <d v="2027-03-31T00:00:00"/>
    <s v="N/A"/>
    <s v="SGP-SALUD-SALUD PUBLICA (1.2.4.2.02)"/>
    <s v="1.2.4.2.02"/>
    <n v="32000000"/>
    <n v="32000000"/>
    <n v="32000000"/>
    <n v="0"/>
    <s v="Personal de Salud_x000a_"/>
    <s v="N/A"/>
    <x v="5"/>
    <m/>
  </r>
  <r>
    <n v="4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
    <s v="Desarrollo de estrategias para la organización y acompañamiento de la participación ciudadana dirigida a la identificación de problemáticas, análisis, comprensión y definición de decisiones que impacten de manera positiva la salud"/>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15-A 2031, reducir en un 20% la prevalencia de anemia en los niños, niñas menores de 5 años"/>
    <s v="15-A 2031, reducir en un 20% la prevalencia de anemia en los niños, niñas menores de 5 años"/>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Cuidado de la Salud en el Territorio."/>
    <s v=" implementación de huertas en megacolegios con continuidad, capacitación en las nuevas GABAS con enfoque diferencial dirigido a docentes y rectores de colegios la promoción de loncheras saludables con articulación intersectorial "/>
    <s v="PIC(Anexo técnico)"/>
    <n v="29"/>
    <s v="Número"/>
    <n v="7"/>
    <n v="0"/>
    <n v="0"/>
    <n v="7"/>
    <n v="0"/>
    <n v="0"/>
    <n v="7"/>
    <m/>
    <n v="0"/>
    <n v="8"/>
    <m/>
    <n v="0"/>
    <n v="29"/>
    <n v="0"/>
    <n v="0"/>
    <d v="2026-04-01T00:00:00"/>
    <d v="2027-03-31T00:00:00"/>
    <s v="N/A"/>
    <s v="SGP-SALUD-SALUD PUBLICA (1.2.4.2.02)"/>
    <s v="1.2.4.2.02"/>
    <n v="150000000"/>
    <n v="150000000"/>
    <n v="150000000"/>
    <n v="0"/>
    <s v="Personal de Salud_x000a_"/>
    <s v="N/A"/>
    <x v="6"/>
    <m/>
  </r>
  <r>
    <n v="4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A  2027 el 100% de entidades territoriales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14-A 2031, disminuir 20% la prevalencia por retraso en talla en menores de 5 años."/>
    <s v="14-A 2031, disminuir 20% la prevalencia por retraso en talla en menores de 5 años."/>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Cuidado de la salud en el territorio"/>
    <s v="Realizar Busqueda activa comunitaria mensual de niños(as) menores de cinco años; en el  entorno hogar, en los territorios y microterritorios de los 4 municipios a cada familia se le debe educar en el código internacional de Sucedáneos, implementacion de plato saludable   "/>
    <s v="PIC(Anexo técnico)"/>
    <n v="4"/>
    <s v="Número"/>
    <n v="1"/>
    <n v="0"/>
    <n v="0"/>
    <n v="1"/>
    <n v="0"/>
    <n v="0"/>
    <n v="1"/>
    <m/>
    <n v="0"/>
    <n v="1"/>
    <m/>
    <n v="0"/>
    <n v="4"/>
    <n v="0"/>
    <n v="0"/>
    <d v="2026-04-01T00:00:00"/>
    <d v="2027-03-31T00:00:00"/>
    <s v="N/A"/>
    <s v="SGP-SALUD-SALUD PUBLICA (1.2.4.2.02)"/>
    <s v="1.2.4.2.02"/>
    <n v="80274232"/>
    <n v="80274232"/>
    <n v="80274232"/>
    <n v="0"/>
    <s v="Personal de Salud_x000a_"/>
    <s v="N/A"/>
    <x v="6"/>
    <m/>
  </r>
  <r>
    <n v="5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
    <s v="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
    <s v="Gestión territorial para el cuidado de la salud basado en la atención primaria en salud. "/>
    <s v="Gestión territorial para el cuidado de la salud basado en la atención primaria en salud. "/>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Cuidado de la salud en el territorio  "/>
    <s v="Realizar Busqueda activa comunitaria bimensual de niños(as) menores de cinco años en riesgo de desnutricion aguda en el entorno hogar, agrupados , IED y Programas de ICBF en los territorios y microterritorios totales en los 29 municpios a cada familia se le debe educar en el código internacional de Sucedáneos, implementacion de plato saludable   "/>
    <s v="PIC(Anexo técnico)"/>
    <n v="200"/>
    <s v="Número"/>
    <n v="50"/>
    <n v="0"/>
    <n v="0"/>
    <n v="50"/>
    <n v="0"/>
    <n v="0"/>
    <n v="50"/>
    <n v="0"/>
    <n v="0"/>
    <n v="50"/>
    <m/>
    <n v="0"/>
    <n v="200"/>
    <n v="0"/>
    <n v="0"/>
    <d v="2026-04-01T00:00:00"/>
    <d v="2027-03-31T00:00:00"/>
    <s v="N/A"/>
    <s v="SGP-SALUD-SALUD PUBLICA (1.2.4.2.02)"/>
    <s v="1.2.4.2.02"/>
    <n v="310000000"/>
    <n v="310000000"/>
    <n v="310000000"/>
    <n v="0"/>
    <s v="Personal de Salud_x000a_"/>
    <s v="N/A"/>
    <x v="6"/>
    <m/>
  </r>
  <r>
    <n v="5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fortalecidas como autoridad sanitaria local para la Gobernanza en Salud Pública.  "/>
    <s v="&quot; A 2031 el 100% de las Entidades Territoriales del orden departamental, distrital y municipal desarrollan mecanismos para el fortalecimiento de la rectoría en salud en su territorio, conforme a las competencias establecidas&quot;"/>
    <s v="A 2031, el 40% de los niños menores de 6 meses tienen lactancia materna exclusiva"/>
    <s v="A 2027, el 40% de los niños menores de 6 meses tienen lactancia materna exclusiva"/>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Desarrollo institucional y sectorial para el ejercicio de la autoridad sanitaria  "/>
    <s v="Capacitar al talento humano de las EPS, IPS, EBS  y PIC de los 29 municipios del departamento del Magdalena sobre lactancia y relactancia materna y Código Internacional de Comercialización de Sucedáneos de la Leche materna (CICSLM) "/>
    <s v="Procesos transversales de la Gestion de la Salud Pública"/>
    <n v="1"/>
    <s v="Número"/>
    <n v="0"/>
    <n v="0"/>
    <e v="#DIV/0!"/>
    <n v="0"/>
    <n v="1"/>
    <e v="#DIV/0!"/>
    <n v="1"/>
    <n v="0"/>
    <n v="0"/>
    <n v="0"/>
    <m/>
    <e v="#DIV/0!"/>
    <n v="1"/>
    <n v="1"/>
    <n v="100"/>
    <d v="2026-04-01T00:00:00"/>
    <d v="2027-03-31T00:00:00"/>
    <s v="N/A"/>
    <s v="SGP-SALUD-SALUD PUBLICA (1.2.4.2.02)"/>
    <s v="1.2.4.2.02"/>
    <n v="20000000"/>
    <n v="20000000"/>
    <n v="20000000"/>
    <n v="20000000"/>
    <s v="Personal de Salud_x000a_"/>
    <s v="N/A"/>
    <x v="6"/>
    <m/>
  </r>
  <r>
    <n v="5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
    <s v="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
    <s v="Gestión territorial para el cuidado de la salud basado en la atención primaria en salud. "/>
    <s v="Gestión territorial para el cuidado de la salud basado en la atención primaria en salud. "/>
    <s v="12-A 2031, el 40% de los niños menores de 6 meses tienen lactancia materna exclusiva"/>
    <s v="12-A 2031, el 40% de los niños menores de 6 meses tienen lactancia materna exclusiv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Cuidado de la salud en el territorio  "/>
    <s v="Conmemorar la semana mundial de la LM realizar por sub-región en articulación del comité SAN municipal, líderes, líderesas y gestores comunitarios acciones de movilización y sensibilización a mujeres gestantes y lactantes y sus familias a cerca de la importancia de la protección, promoción y apoyo a la Lactancia Materna LM exclusiva y la importancia de la Donación de Leche Humana siguiendo los lineamientos del Ministerio de Salud."/>
    <s v="PIC(Anexo técnico)"/>
    <n v="29"/>
    <s v="Número"/>
    <n v="0"/>
    <n v="0"/>
    <e v="#DIV/0!"/>
    <n v="0"/>
    <n v="0"/>
    <e v="#DIV/0!"/>
    <n v="29"/>
    <n v="0"/>
    <n v="0"/>
    <n v="0"/>
    <m/>
    <e v="#DIV/0!"/>
    <n v="29"/>
    <n v="0"/>
    <n v="0"/>
    <d v="2026-04-01T00:00:00"/>
    <d v="2027-03-31T00:00:00"/>
    <s v="N/A"/>
    <s v="SGP-SALUD-SALUD PUBLICA (1.2.4.2.02)"/>
    <s v="1.2.4.2.02"/>
    <n v="90000000"/>
    <n v="90000000"/>
    <n v="90000000"/>
    <n v="0"/>
    <s v="Primera infancia;_x000a_ Infancia; Adolescencia; Juventud;  Adultez; _x000a__x000a__x000a_"/>
    <s v="N/A"/>
    <x v="6"/>
    <m/>
  </r>
  <r>
    <n v="5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fortalecidas como autoridad sanitaria local para la Gobernanza en Salud Pública.  "/>
    <s v="&quot; A 2031 el 100% de las Entidades Territoriales del orden departamental, distrital y municipal desarrollan mecanismos para el fortalecimiento de la rectoría en salud en su territorio, conforme a las competencias establecidas&quot;"/>
    <s v="Gestión territorial para el cuidado de la salud basado en la atención primaria en salud. "/>
    <s v="Gestión territorial para el cuidado de la salud basado en la atención primaria en salud. "/>
    <s v="12-A 2031, el 40% de los niños menores de 6 meses tienen lactancia materna exclusiva"/>
    <s v="12-A 2031, el 40% de los niños menores de 6 meses tienen lactancia materna exclusiva"/>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Desarrollo institucional y sectorial para el ejercicio de la autoridad sanitaria  "/>
    <s v="Desarrollo de capacidades teorico practico de dos dias para la construcción de Planes de SAN Municipales en los 29 municipios del departamento del Magdalena."/>
    <s v="Procesos transversales de la Gestion de la Salud Pública"/>
    <n v="2"/>
    <s v="Número"/>
    <n v="0"/>
    <n v="0"/>
    <e v="#DIV/0!"/>
    <n v="1"/>
    <n v="1"/>
    <n v="100"/>
    <n v="1"/>
    <m/>
    <n v="0"/>
    <n v="0"/>
    <m/>
    <e v="#DIV/0!"/>
    <n v="2"/>
    <n v="1"/>
    <n v="100"/>
    <d v="2026-04-01T00:00:00"/>
    <d v="2027-03-31T00:00:00"/>
    <s v="N/A"/>
    <s v="SGP-SALUD-SALUD PUBLICA (1.2.4.2.02)"/>
    <s v="1.2.4.2.02"/>
    <n v="60000000"/>
    <n v="60000000"/>
    <n v="60000000"/>
    <n v="60000000"/>
    <s v="Indigenas"/>
    <s v="N/A"/>
    <x v="6"/>
    <m/>
  </r>
  <r>
    <n v="5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2-A 2031, el 40% de los niños menores de 6 meses tienen lactancia materna exclusiva"/>
    <s v="12-A 2031, el 40% de los niños menores de 6 meses tienen lactancia materna exclusiva"/>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Desarrollo institucional y sectorial para el ejercicio de la autoridad sanitaria  "/>
    <s v="Realizar el acompañamiento técnico a las EAPB priorizadas la implementación de la Resolución 3280 de 2018  énfasis en las atenciones que promuevan la lactancia materna y adecuada alimentación complementaria, el seguimiento y monitoreo a la consulta particular de consejería sobre LM y GABAS para el menor de dos años, la entrega de micronutrientes y seguimiento a niños con bajo peso al nacer hasta su adecuado peso."/>
    <s v="Procesos transversales de la Gestion de la Salud Pública"/>
    <n v="29"/>
    <s v="Número"/>
    <n v="0"/>
    <n v="0"/>
    <e v="#DIV/0!"/>
    <n v="10"/>
    <n v="0"/>
    <n v="0"/>
    <n v="10"/>
    <m/>
    <n v="0"/>
    <n v="9"/>
    <m/>
    <n v="0"/>
    <n v="29"/>
    <n v="0"/>
    <n v="0"/>
    <d v="2026-04-01T00:00:00"/>
    <d v="2027-03-31T00:00:00"/>
    <s v="N/A"/>
    <s v="SGP-SALUD-SALUD PUBLICA (1.2.4.2.02)"/>
    <s v="1.2.4.2.02"/>
    <m/>
    <m/>
    <m/>
    <m/>
    <s v="Primera infancia;_x000a_ Infancia"/>
    <s v="N/A"/>
    <x v="7"/>
    <m/>
  </r>
  <r>
    <n v="5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4-A 2031, disminuir 20% la prevalencia por retraso en talla en menores de 5 años."/>
    <s v="14-A 2031, disminuir 20% la prevalencia por retraso en talla en menores de 5 años."/>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Sesionar 4 Mesas de trabajo durante el año con el comité departamental SAN para evaluar y ajustar la ejecución de la politica departamental mediante plan de acción con Matriz de monitoreo para el cumplimiento del derecho humano a la alimentacion Adecuada y Sostenible (DHAAS), con la revision del documento, esta debe ser realizada por experto en el tema de politica publicas con el objetivo de definir la situacion actual de la politica departamental (DHAAS). "/>
    <s v="Procesos transversales de la Gestion de la Salud Pública"/>
    <n v="4"/>
    <s v="Número"/>
    <n v="1"/>
    <n v="0"/>
    <n v="0"/>
    <n v="1"/>
    <n v="1"/>
    <n v="100"/>
    <n v="1"/>
    <m/>
    <n v="0"/>
    <n v="1"/>
    <m/>
    <n v="0"/>
    <n v="4"/>
    <n v="1"/>
    <n v="50"/>
    <d v="2026-04-01T00:00:00"/>
    <d v="2027-03-31T00:00:00"/>
    <s v="N/A"/>
    <s v="SGP-SALUD-SALUD PUBLICA (1.2.4.2.02)"/>
    <s v="1.2.4.2.02"/>
    <n v="20000000"/>
    <n v="20000000"/>
    <n v="20000000"/>
    <n v="0"/>
    <s v="Personal de Salud"/>
    <s v="N/A"/>
    <x v="6"/>
    <m/>
  </r>
  <r>
    <n v="5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Desarrollar Capacidades técnicas, científicas y operativas al RH de la DTS, IPS, EAPB en la Resolución 2465 /2016 y resolucion 2350/2020, con la revison de los planes de la desaceleracion de la desnutricon en los 29 municipios."/>
    <s v="Procesos transversales de la Gestion de la Salud Pública"/>
    <n v="29"/>
    <s v="Número"/>
    <n v="7"/>
    <n v="0"/>
    <n v="0"/>
    <n v="7"/>
    <n v="0"/>
    <n v="0"/>
    <n v="7"/>
    <m/>
    <n v="0"/>
    <n v="8"/>
    <m/>
    <n v="0"/>
    <n v="29"/>
    <n v="0"/>
    <n v="0"/>
    <d v="2026-04-01T00:00:00"/>
    <d v="2027-03-31T00:00:00"/>
    <s v="N/A"/>
    <s v="SGP-SALUD-SALUD PUBLICA (1.2.4.2.02)"/>
    <s v="1.2.4.2.02"/>
    <n v="70000000"/>
    <n v="70000000"/>
    <n v="70000000"/>
    <n v="0"/>
    <s v="Familias, colectivos y comunidades_x000a_Población materno perinatal; _x000a_Primera infancia;"/>
    <s v="N/A"/>
    <x v="6"/>
    <m/>
  </r>
  <r>
    <n v="5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Desarrollo de capacidades teórico práctico al talento humano de las Secretarías de Salud, Profesionales de la Salud de IPS, EPS, EBS, Madres FAMI, ICBF, rectores y docentes de colegios y Alcaldias de los 29 municipios sobre las nuevas GABA con enfoque diferencial, étnico y Afro, GABA para el menor de dos años y la creación de huertas caseras y la implementación de loncheras saludables ._x000a_"/>
    <s v="Procesos transversales de la Gestion de la Salud Pública"/>
    <n v="29"/>
    <s v="Número"/>
    <n v="0"/>
    <n v="0"/>
    <e v="#DIV/0!"/>
    <n v="10"/>
    <n v="10"/>
    <n v="100"/>
    <n v="10"/>
    <m/>
    <n v="0"/>
    <n v="9"/>
    <m/>
    <n v="0"/>
    <n v="29"/>
    <n v="10"/>
    <n v="100"/>
    <d v="2026-04-01T00:00:00"/>
    <d v="2027-03-31T00:00:00"/>
    <s v="N/A"/>
    <s v="SGP-SALUD-SALUD PUBLICA (1.2.4.2.02)"/>
    <s v="1.2.4.2.02"/>
    <n v="70000000"/>
    <n v="70000000"/>
    <n v="70000000"/>
    <n v="70000000"/>
    <s v="Personal de Salud"/>
    <s v="N/A"/>
    <x v="6"/>
    <m/>
  </r>
  <r>
    <n v="5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Desarrollo de capacidades teorico practico, certificado sobre la estrategia Instituciones Amiga de la Mujer y la Infacia- IAMII, Salas Amigas de Extracción Manual de la leche materna, código internacional de sucedáneos de la leche materna, RIAS 3280, RIAS Materno Perinatal y Banco de Leche Humana dirigido  al talento humano de la salud, médicos, pediatras, nutricionistas, enfermeras, auxiliares de las IPS, EPS, y hospitales de los 29 municipios del departamento del Magdalena."/>
    <s v="Procesos transversales de la Gestion de la Salud Pública"/>
    <n v="4"/>
    <s v="Número"/>
    <n v="0"/>
    <n v="0"/>
    <e v="#DIV/0!"/>
    <n v="2"/>
    <n v="0"/>
    <n v="0"/>
    <n v="2"/>
    <m/>
    <n v="0"/>
    <n v="0"/>
    <m/>
    <e v="#DIV/0!"/>
    <n v="4"/>
    <n v="0"/>
    <n v="0"/>
    <d v="2026-04-01T00:00:00"/>
    <d v="2027-03-31T00:00:00"/>
    <s v="N/A"/>
    <s v="SGP-SALUD-SALUD PUBLICA (1.2.4.2.02)"/>
    <s v="1.2.4.2.02"/>
    <n v="80000000"/>
    <n v="80000000"/>
    <n v="80000000"/>
    <n v="0"/>
    <s v="Familias, colectivos y comunidades_x000a_Población materno perinatal; _x000a_Primera infancia;"/>
    <s v="N/A"/>
    <x v="8"/>
    <m/>
  </r>
  <r>
    <n v="5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4-A 2031, disminuir 20% la prevalencia por retraso en talla en menores de 5 años."/>
    <s v="14-A 2031, disminuir 20% la prevalencia por retraso en talla en menores de 5 años."/>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Desarrollo institucional y sectorial para el ejercicio de la autoridad sanitaria  "/>
    <s v="Desarrollo de capacidades en Resolucion 3280 dirigido al TH de las ESE, IPS; DTS de los 29 municipios"/>
    <s v="Procesos transversales de la Gestion de la Salud Pública"/>
    <n v="1"/>
    <s v="Número"/>
    <n v="1"/>
    <n v="0"/>
    <n v="0"/>
    <n v="0"/>
    <n v="1"/>
    <e v="#DIV/0!"/>
    <n v="1"/>
    <m/>
    <n v="0"/>
    <n v="0"/>
    <m/>
    <e v="#DIV/0!"/>
    <n v="1"/>
    <n v="1"/>
    <n v="100"/>
    <d v="2026-04-01T00:00:00"/>
    <d v="2027-03-31T00:00:00"/>
    <s v="N/A"/>
    <s v="SGP-SALUD-SALUD PUBLICA (1.2.4.2.02)"/>
    <s v="1.2.4.2.02"/>
    <m/>
    <m/>
    <m/>
    <m/>
    <s v="Familias, colectivos y comunidades"/>
    <s v="N/A"/>
    <x v="8"/>
    <m/>
  </r>
  <r>
    <n v="6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4-A 2031, mantener en &lt; 9% la proporción de Bajo Peso al Nacer"/>
    <s v="3-A 2031, reducir a 6 por cada 1.000 nacidos vivos la tasa de mortalidad neonatal"/>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Realizar comité trimestral del  plan  desaceleracion de muerte por desnutricion haciendo seguimientos mensuales a las EAPB Y MUNICIPIOS sobre la busquedad activa de niños reportados en la base sivigila ,según la resolucion 2350 y 2465  y realizar asistencias tecnicas a las EAPB y municipios del departamento en resolucion 2350 ,2465 y 3280"/>
    <s v="Procesos transversales de la Gestion de la Salud Pública"/>
    <n v="4"/>
    <s v="Número"/>
    <n v="1"/>
    <n v="1"/>
    <n v="100"/>
    <n v="1"/>
    <n v="0"/>
    <n v="0"/>
    <n v="1"/>
    <m/>
    <n v="0"/>
    <n v="1"/>
    <m/>
    <n v="0"/>
    <n v="4"/>
    <n v="1"/>
    <n v="50"/>
    <d v="2026-04-01T00:00:00"/>
    <d v="2027-03-31T00:00:00"/>
    <s v="N/A"/>
    <s v="SGP-SALUD-SALUD PUBLICA (1.2.4.2.02)"/>
    <s v="1.2.4.2.02"/>
    <m/>
    <m/>
    <m/>
    <m/>
    <s v="Personal de Salud"/>
    <m/>
    <x v="9"/>
    <m/>
  </r>
  <r>
    <n v="6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Entidades Territoriales Departamentales, Distritales y Municipales que conforman territorios de salud de acuerdo con las particularidades geográficas, socioculturales, político administrativas y ambientales donde se produce el proceso de salud.  "/>
    <s v="Gestión territorial para el cuidado de la salud basado en la atención primaria en salud.  "/>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de las Entidades Territoriales del orden municipal desarrollan mecanismos para el fortalecimiento de la rectoría en salud en su territorio, conforme a las competencias establecidas&quot;"/>
    <s v="20-A 2031, disminuir la tasa especifica de fecundidad adolescente de 15 a 19 años a menos de 40 nacimientos por cada 1000 mujeres adolescentes de 15 a 19 años."/>
    <s v="20-A 2031, disminuir la tasa especifica de fecundidad adolescente de 15 a 19 años a menos de 40 nacimientos por cada 1000 mujeres adolescentes de 15 a 19 años."/>
    <s v="Salud Pública"/>
    <s v="Médico en tu casa"/>
    <s v="Fortalecimiento de Estrategias para la Promoción de la Salud y Prevención de Enfermedades en Comunidades, mediante acciones Integrales, Participativas y Sostenibles en el Departamento del Magdalena."/>
    <s v="Realizar estrategias de educación en salud sexual y reproductiva en 58 IED priorizadas en el departamento"/>
    <s v="Cuidado de la salud en el territorio"/>
    <s v="Educacion en salud en el componente de prevencion de embarazo en adolescentes, prevencion de las violencias, planificacion familiar, prevencion de las enfermedades de transmisión sexual ETS (VIH/SIDA)) en el entorno escolar jovenes y adolescentes (6 a 11 de bachillerato) de las Instituciones educativas de los territorios proiorizados con enfoque preventivo "/>
    <s v="PIC(Anexo técnico)"/>
    <n v="29"/>
    <s v="Número"/>
    <n v="5"/>
    <n v="0"/>
    <n v="0"/>
    <n v="10"/>
    <n v="0"/>
    <n v="0"/>
    <n v="10"/>
    <m/>
    <n v="0"/>
    <n v="4"/>
    <m/>
    <n v="0"/>
    <n v="29"/>
    <n v="0"/>
    <n v="0"/>
    <d v="2026-04-01T00:00:00"/>
    <d v="2027-03-31T00:00:00"/>
    <s v="N/A"/>
    <s v="SGP-SALUD-SALUD PUBLICA (1.2.4.2.02)"/>
    <s v="1.2.4.2.02"/>
    <n v="100000000"/>
    <n v="100000000"/>
    <n v="100000000"/>
    <n v="0"/>
    <s v="Personal de Salud"/>
    <s v="N/A"/>
    <x v="6"/>
    <m/>
  </r>
  <r>
    <n v="6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Entidades Territoriales Departamentales, Distritales y Municipales que conforman territorios de salud de acuerdo con las particularidades geográficas, socioculturales, político administrativas y ambientales donde se produce el proceso de salud.  "/>
    <s v="Regionalización y tenitohalización del sistema de salud por áreas para la gestión en salud / territorios en salud con base en la estrategia atención primaria en salud, salud familiar y comunitaria, cuidado de la salud, gestión integral del riesgo en salud, y el enfoque diferencial poblacional y territorial."/>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de las Entidades Territoriales del orden municipal desarrollan mecanismos para el fortalecimiento de la rectoría en salud en su territorio, conforme a las competencias establecidas&quot;"/>
    <s v="20-A 2031, disminuir la tasa especifica de fecundidad adolescente de 15 a 19 años a menos de 40 nacimientos por cada 1000 mujeres adolescentes de 15 a 19 años."/>
    <s v="20-A 2031, disminuir la tasa especifica de fecundidad adolescente de 15 a 19 años a menos de 40 nacimientos por cada 1000 mujeres adolescentes de 15 a 19 años."/>
    <s v="Salud Pública"/>
    <s v="Médico en tu casa"/>
    <s v="Fortalecimiento de Estrategias para la Promoción de la Salud y Prevención de Enfermedades en Comunidades, mediante acciones Integrales, Participativas y Sostenibles en el Departamento del Magdalena."/>
    <s v="Realizar estrategias de educación en salud sexual y reproductiva en 58 IED priorizadas en el departamento"/>
    <s v="Cuidado de la salud en el territorio"/>
    <s v="Educacion en salud a padres de familia, maestros, lideres comunitarios y otros actores, en la promoción de la salud sexual y reproductiva;  fomentando un entorno de apoyo, comprensión promover relaciones respetuosas, igualitarias y libres de violencia; con el fin aumentar la gobernanza de salud y toma de decisiones para el logro de bienestar colectivo de los territorios proiorizados con enfoque preventivo en el ambito urbano de los 29 municipios"/>
    <s v="PIC(Anexo técnico)"/>
    <n v="29"/>
    <s v="Número"/>
    <n v="5"/>
    <n v="0"/>
    <n v="0"/>
    <n v="10"/>
    <n v="0"/>
    <n v="0"/>
    <n v="10"/>
    <m/>
    <n v="0"/>
    <n v="4"/>
    <m/>
    <n v="0"/>
    <n v="29"/>
    <n v="0"/>
    <n v="0"/>
    <d v="2026-04-01T00:00:00"/>
    <d v="2027-03-31T00:00:00"/>
    <s v="N/A"/>
    <s v="SGP-SALUD-SALUD PUBLICA (1.2.4.2.02)"/>
    <s v="1.2.4.2.02"/>
    <n v="110000000"/>
    <n v="110000000"/>
    <n v="110000000"/>
    <n v="0"/>
    <s v="Personal de Salud"/>
    <s v="N/A"/>
    <x v="6"/>
    <m/>
  </r>
  <r>
    <n v="6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
    <s v="Regionalización y tenitohalización del sistema de salud por áreas para la gestión en salud / territorios en salud con base en la estrategia atención primaria en salud, salud familiar y comunitaria, cuidado de la salud, gestión integral del riesgo en salud, y el enfoque diferencial poblacional y territorial."/>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 de las Entidades Territoriales del orden municipal han desarrollado procesos de ajuste institucional para el fortalecimiento de las capacidades de la autoridad sanitaria y la apropiación territorial del modelo de salud basado en la atención primaria.  "/>
    <s v="1-A 2031, reducir a 32 por 100.000 nacidos vivos la razón de mortalidad materna"/>
    <s v="1-A 2031, reducir a 32 por 100.000 nacidos vivos la razón de mortalidad materna"/>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Cuidado de la salud en el territorio"/>
    <s v="Realizar educación en salud materna y neonatal, a mujeres en edad fertil, parteras y jefes del hogar en las comunidades priorizadas, sobre factores de riesgo y desarmonías, reporte oportuno y atención en salud para evitar complicaciones en la madre y en su hijo "/>
    <s v="PIC(Anexo técnico)"/>
    <n v="4"/>
    <s v="Número"/>
    <n v="1"/>
    <n v="0"/>
    <n v="0"/>
    <n v="1"/>
    <n v="0"/>
    <n v="0"/>
    <n v="1"/>
    <m/>
    <n v="0"/>
    <n v="1"/>
    <m/>
    <n v="0"/>
    <n v="4"/>
    <n v="0"/>
    <n v="0"/>
    <d v="2026-04-01T00:00:00"/>
    <d v="2027-03-31T00:00:00"/>
    <s v="N/A"/>
    <s v="SGP-SALUD-SALUD PUBLICA (1.2.4.2.02)"/>
    <s v="1.2.4.2.02"/>
    <n v="80000000"/>
    <n v="80000000"/>
    <n v="80000000"/>
    <n v="0"/>
    <s v="Personal de Salud"/>
    <s v="N/A"/>
    <x v="8"/>
    <m/>
  </r>
  <r>
    <n v="6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
    <s v="Regionalización y tenitohalización del sistema de salud por áreas para la gestión en salud / territorios en salud con base en la estrategia atención primaria en salud, salud familiar y comunitaria, cuidado de la salud, gestión integral del riesgo en salud, y el enfoque diferencial poblacional y territorial."/>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 de las Entidades Territoriales del orden municipal han desarrollado procesos de ajuste institucional para el fortalecimiento de las capacidades de la autoridad sanitaria y la apropiación territorial del modelo de salud basado en la atención primaria.  "/>
    <s v="3-A 2031, reducir a 6 por cada 1.000 nacidos vivos la tasa de mortalidad neonatal"/>
    <s v="3-A 2031, reducir a 6 por cada 1.000 nacidos vivos la tasa de mortalidad neonatal"/>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Cuidado de la salud en el territorio"/>
    <s v="Educacion en salud para la promocion y prevencion de la salud materno perinatal dirigida a mamos, medicos, parteras y lideres con el fin de fortalecer el manejo de la guia materno perinatal"/>
    <s v="PIC(Anexo técnico)"/>
    <n v="4"/>
    <s v="Número"/>
    <n v="1"/>
    <n v="0"/>
    <n v="0"/>
    <n v="1"/>
    <n v="0"/>
    <n v="0"/>
    <n v="1"/>
    <m/>
    <n v="0"/>
    <n v="1"/>
    <m/>
    <n v="0"/>
    <n v="4"/>
    <n v="0"/>
    <n v="0"/>
    <d v="2026-04-01T00:00:00"/>
    <d v="2027-03-31T00:00:00"/>
    <s v="N/A"/>
    <s v="SGP-SALUD-SALUD PUBLICA (1.2.4.2.02)"/>
    <s v="1.2.4.2.02"/>
    <n v="80000000"/>
    <n v="80000000"/>
    <n v="80000000"/>
    <n v="0"/>
    <s v="Familias, colectivos y comunidades"/>
    <s v="N/A"/>
    <x v="10"/>
    <m/>
  </r>
  <r>
    <n v="6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Regionalización y tenitohalización del sistema de salud por áreas para la gestión en salud / territorios en salud con base en la estrategia atención primaria en salud, salud familiar y comunitaria, cuidado de la salud, gestión integral del riesgo en salud, y el enfoque diferencial poblacional y territorial."/>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 de las Entidades Territoriales del orden municipal han desarrollado procesos de ajuste institucional para el fortalecimiento de las capacidades de la autoridad sanitaria y la apropiación territorial del modelo de salud basado en la atención primaria.  "/>
    <s v="1-A 2031, reducir a 32 por 100.000 nacidos vivos la razón de mortalidad materna"/>
    <s v="1-A 2031, reducir a 32 por 100.000 nacidos vivos la razón de mortalidad materna"/>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Desarrollo institucional y sectorial para el ejercicio de la autoridad sanitaria"/>
    <s v="Desarrollo de capacidades bajo escenario de simulacion presencial teorico practicos al talento humano en salud de las ESE e IPS del Departamento del Magdalena,  sobre Ruta Materno Perinatal,  emergencias obstetricas, Planificacion Familiar dirigido a medicos generales, ginecologos y enfermeras, que ejerce funciones en consultas de control prenatal y sala de maternidad."/>
    <s v="Procesos transversales de la Gestion de la Salud Pública"/>
    <n v="2"/>
    <s v="Número"/>
    <n v="0"/>
    <n v="0"/>
    <e v="#DIV/0!"/>
    <n v="0"/>
    <n v="0"/>
    <e v="#DIV/0!"/>
    <n v="1"/>
    <m/>
    <n v="0"/>
    <n v="1"/>
    <m/>
    <n v="0"/>
    <n v="2"/>
    <n v="0"/>
    <e v="#DIV/0!"/>
    <d v="2026-04-01T00:00:00"/>
    <d v="2027-03-31T00:00:00"/>
    <s v="N/A"/>
    <s v="SGP-SALUD-SALUD PUBLICA (1.2.4.2.02)"/>
    <s v="1.2.4.2.02"/>
    <n v="100274232"/>
    <n v="100274232"/>
    <n v="100274232"/>
    <n v="0"/>
    <s v="Adolesencia y Juventud"/>
    <s v="N/A"/>
    <x v="11"/>
    <m/>
  </r>
  <r>
    <n v="6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Regionalización y tenitohalización del sistema de salud por áreas para la gestión en salud / territorios en salud con base en la estrategia atención primaria en salud, salud familiar y comunitaria, cuidado de la salud, gestión integral del riesgo en salud, y el enfoque diferencial poblacional y territorial."/>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 de las Entidades Territoriales del orden municipal han desarrollado procesos de ajuste institucional para el fortalecimiento de las capacidades de la autoridad sanitaria y la apropiación territorial del modelo de salud basado en la atención primaria.  "/>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Desarrollo institucional y sectorial para el ejercicio de la autoridad sanitaria"/>
    <s v="Desarrollar capacidades  del Talento Humano  en salud  de las EAPB y ESE mediante taller en atencion en salud para las mujeres victimas de violencias de genero e intrafamiliar, ruta de atención integral de los 29 municipios del departamento del Magdalena incluyendo IPS Indígena."/>
    <s v="Procesos transversales de la Gestion de la Salud Pública"/>
    <n v="1"/>
    <s v="Número"/>
    <n v="0"/>
    <n v="0"/>
    <e v="#DIV/0!"/>
    <n v="0"/>
    <n v="0"/>
    <e v="#DIV/0!"/>
    <n v="1"/>
    <m/>
    <n v="0"/>
    <n v="1"/>
    <m/>
    <n v="0"/>
    <n v="1"/>
    <n v="0"/>
    <e v="#DIV/0!"/>
    <d v="2026-04-01T00:00:00"/>
    <d v="2027-03-31T00:00:00"/>
    <s v="N/A"/>
    <s v="SGP-SALUD-SALUD PUBLICA (1.2.4.2.02)"/>
    <s v="1.2.4.2.02"/>
    <n v="60000000"/>
    <n v="60000000"/>
    <n v="60000000"/>
    <n v="0"/>
    <s v=" Familias, colectivos y comunidades"/>
    <s v="N/A"/>
    <x v="11"/>
    <m/>
  </r>
  <r>
    <n v="6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que conforman territorios de salud de acuerdo con las particularidades geográficas, socioculturales, político administrativas y ambientales donde se produce el proceso de salud.  "/>
    <s v="Regionalización y tenitohalización del sistema de salud por áreas para la gestión en salud / territorios en salud con base en la estrategia atención primaria en salud, salud familiar y comunitaria, cuidado de la salud, gestión integral del riesgo en salud, y el enfoque diferencial poblacional y territorial."/>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 de las Entidades Territoriales del orden municipal han desarrollado procesos de ajuste institucional para el fortalecimiento de las capacidades de la autoridad sanitaria y la apropiación territorial del modelo de salud basado en la atención primaria.  "/>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Desarrollo institucional y sectorial para el ejercicio de la autoridad sanitaria"/>
    <s v="Asistencia Tecnica Seguimiento y monitoreo a la operativizacion de la ruta de atención en salud para víctimas de violencias sexuales y violencias de genero al entorno institucional, en el marco del Modelo Atención Integral de Salud en los 29 Municipios del Departamento."/>
    <s v="Procesos transversales de la Gestion de la Salud Pública"/>
    <n v="29"/>
    <s v="Número"/>
    <n v="5"/>
    <n v="0"/>
    <n v="0"/>
    <n v="10"/>
    <n v="4"/>
    <n v="40"/>
    <n v="10"/>
    <m/>
    <n v="0"/>
    <n v="4"/>
    <m/>
    <n v="0"/>
    <n v="29"/>
    <n v="4"/>
    <n v="26.666666666666668"/>
    <d v="2026-04-01T00:00:00"/>
    <d v="2027-03-31T00:00:00"/>
    <s v="N/A"/>
    <s v="SGP-SALUD-SALUD PUBLICA (1.2.4.2.02)"/>
    <s v="1.2.4.2.02"/>
    <m/>
    <m/>
    <m/>
    <m/>
    <s v="Indigenas"/>
    <s v="N/A"/>
    <x v="11"/>
    <m/>
  </r>
  <r>
    <n v="6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Entidades Territoriales Departamentales, Distritales y Municipales que conforman territorios de salud de acuerdo con las particularidades geográficas, socioculturales, político administrativas y ambientales donde se produce el proceso de salud.  "/>
    <s v="Gestión territorial para el cuidado de la salud basado en la atención primaria en salud.  "/>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 de las Entidades Territoriales del orden municipal han desarrollado procesos de ajuste institucional para el fortalecimiento de las capacidades de la autoridad sanitaria y la apropiación territorial del modelo de salud basado en la atención primaria.  "/>
    <s v="20-A 2031, disminuir la tasa especifica de fecundidad adolescente de 15 a 19 años a menos de 40 nacimientos por cada 1000 mujeres adolescentes de 15 a 19 años."/>
    <s v="20-A 2031, disminuir la tasa especifica de fecundidad adolescente de 15 a 19 años a menos de 40 nacimientos por cada 1000 mujeres adolescentes de 15 a 19 años."/>
    <s v="Salud Pública"/>
    <s v="Médico en tu casa"/>
    <s v="Fortalecimiento de Estrategias para la Promoción de la Salud y Prevención de Enfermedades en Comunidades, mediante acciones Integrales, Participativas y Sostenibles en el Departamento del Magdalena."/>
    <s v="Realizar estrategias de educación en salud sexual y reproductiva en 58 IED priorizadas en el departamento"/>
    <s v="Cuidado de la salud en el territorio"/>
    <s v="Realizar la conmemoracion de la semana andina de prevencion de embarazo en adolescentes y niñas en los 29 municipios del  departamento de magdalena "/>
    <s v="PIC(Anexo técnico)"/>
    <n v="29"/>
    <s v="Número"/>
    <n v="4"/>
    <n v="0"/>
    <n v="0"/>
    <n v="10"/>
    <n v="0"/>
    <n v="0"/>
    <n v="10"/>
    <m/>
    <n v="0"/>
    <n v="5"/>
    <m/>
    <n v="0"/>
    <n v="29"/>
    <n v="0"/>
    <n v="0"/>
    <d v="2026-04-01T00:00:00"/>
    <d v="2027-03-31T00:00:00"/>
    <s v="N/A"/>
    <s v="SGP-SALUD-SALUD PUBLICA (1.2.4.2.02)"/>
    <s v="1.2.4.2.02"/>
    <n v="100000000"/>
    <n v="100000000"/>
    <n v="100000000"/>
    <n v="0"/>
    <s v="Indigenas"/>
    <s v="N/A"/>
    <x v="11"/>
    <m/>
  </r>
  <r>
    <n v="6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Entidades Territoriales Departamentales, Distritales y Municipales que conforman territorios de salud de acuerdo con las particularidades geográficas, socioculturales, político administrativas y ambientales donde se produce el proceso de salud.  "/>
    <s v="Gestión territorial para el cuidado de la salud basado en la atención primaria en salud.  "/>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 de las Entidades Territoriales del orden municipal han desarrollado procesos de ajuste institucional para el fortalecimiento de las capacidades de la autoridad sanitaria y la apropiación territorial del modelo de salud basado en la atención primaria.  "/>
    <s v="19-A 2031, disminuir la tasa especifica de fecundidad adolescente de 10 a 14 años a cero nacimientos por cada 1.000 niñas de 10 a 14 años."/>
    <s v="19-A 2031, disminuir la tasa especifica de fecundidad adolescente de 10 a 14 años a cero nacimientos por cada 1.000 niñas de 10 a 14 años."/>
    <s v="Salud Pública"/>
    <s v="Médico en tu casa"/>
    <s v="Fortalecimiento de Estrategias para la Promoción de la Salud y Prevención de Enfermedades en Comunidades, mediante acciones Integrales, Participativas y Sostenibles en el Departamento del Magdalena."/>
    <s v="Realizar estrategias de educación en salud sexual y reproductiva en 58 IED priorizadas en el departamento"/>
    <s v="Cuidado de la salud en el territorio"/>
    <s v="Educación En Salud Sexual y Reproductiva con Enfoque Diferencial (Lgbtiq+) y de Género en las IED de cada microterritorio dirigida a los grados 10 y 11 "/>
    <s v="PIC(Anexo técnico)"/>
    <n v="29"/>
    <s v="Número"/>
    <n v="0"/>
    <n v="0"/>
    <e v="#DIV/0!"/>
    <n v="0"/>
    <n v="0"/>
    <e v="#DIV/0!"/>
    <n v="14"/>
    <m/>
    <n v="0"/>
    <n v="15"/>
    <m/>
    <n v="0"/>
    <n v="29"/>
    <n v="0"/>
    <e v="#DIV/0!"/>
    <d v="2026-04-01T00:00:00"/>
    <d v="2027-03-31T00:00:00"/>
    <s v="N/A"/>
    <s v="SGP-SALUD-SALUD PUBLICA (1.2.4.2.02)"/>
    <s v="1.2.4.2.02"/>
    <n v="100000000"/>
    <n v="100000000"/>
    <n v="100000000"/>
    <n v="0"/>
    <s v="Personal de Salud_x000a_"/>
    <s v="N/A"/>
    <x v="11"/>
    <m/>
  </r>
  <r>
    <n v="7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Regionalización y tenitohalización del sistema de salud por áreas para la gestión en salud / territorios en salud con base en la estrategia atención primaria en salud, salud familiar y comunitaria, cuidado de la salud, gestión integral del riesgo en salud, y el enfoque diferencial poblacional y territorial."/>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 de las Entidades Territoriales del orden municipal han desarrollado procesos de ajuste institucional para el fortalecimiento de las capacidades de la autoridad sanitaria y la apropiación territorial del modelo de salud basado en la atención primaria.  "/>
    <s v="5-A 2031, reducir a 15,3 por mil nacidos vivos la tasa de mortalidad infantil"/>
    <s v="5-A 2031, reducir a 15,3 por mil nacidos vivos la tasa de mortalidad infantil"/>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Desarrollo institucional y sectorial para el ejercicio de la autoridad sanitaria"/>
    <s v="Desarrollo de capacidades del Departamento del Magdalena, sobre la estrategia ETMIPLUS"/>
    <s v="Procesos transversales de la Gestion de la Salud Pública"/>
    <n v="2"/>
    <s v="Número"/>
    <n v="0"/>
    <n v="0"/>
    <e v="#DIV/0!"/>
    <n v="0"/>
    <n v="0"/>
    <e v="#DIV/0!"/>
    <n v="1"/>
    <m/>
    <n v="0"/>
    <n v="1"/>
    <m/>
    <n v="0"/>
    <n v="2"/>
    <n v="0"/>
    <e v="#DIV/0!"/>
    <d v="2026-04-01T00:00:00"/>
    <d v="2027-03-31T00:00:00"/>
    <s v="N/A"/>
    <s v="SGP-SALUD-SALUD PUBLICA (1.2.4.2.02)"/>
    <s v="1.2.4.2.02"/>
    <n v="50000000"/>
    <n v="50000000"/>
    <n v="50000000"/>
    <n v="0"/>
    <s v="Personal de Salud_x000a_"/>
    <s v="N/A"/>
    <x v="11"/>
    <m/>
  </r>
  <r>
    <n v="71"/>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es"/>
    <s v="A 2031 se incorporará en el 100% de los departamentos y distritos, el plan de gestión en sistemas de alerta temprana para la identificación del riesgos por el cambio climático y la posible vulnerabilidad de la población desde un enfoque territorial"/>
    <s v="A 2027 se incorporará en el 100% de los municipios el plan de gestión en sistemas de alerta temprana para la identificación del riesgos por el cambio climático y la posible vulnerabilidad de la población desde un enfoque territorial"/>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Adquisicion de suministro insumo criticos para el control integral de vectores (sujeto a auotorizacion del ministerio)"/>
    <s v="Procesos transversales de la Gestion de la Salud Pública"/>
    <n v="30"/>
    <s v="Porcentaje"/>
    <n v="0"/>
    <n v="0"/>
    <e v="#DIV/0!"/>
    <n v="30"/>
    <n v="0"/>
    <n v="0"/>
    <n v="0"/>
    <m/>
    <e v="#DIV/0!"/>
    <n v="0"/>
    <m/>
    <e v="#DIV/0!"/>
    <n v="30"/>
    <n v="0"/>
    <n v="0"/>
    <d v="2026-02-01T00:00:00"/>
    <d v="2027-03-31T00:00:00"/>
    <s v="N/A"/>
    <s v="SGP-SALUD-SALUD PUBLICA (1.2.4.2.02)"/>
    <s v="1.2.4.2.02"/>
    <n v="30000000"/>
    <n v="30000000"/>
    <n v="30000000"/>
    <n v="0"/>
    <m/>
    <s v="N/A"/>
    <x v="12"/>
    <m/>
  </r>
  <r>
    <n v="72"/>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PS"/>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84-A 2031, se reduce en 40% las muertes por malaria en el periodo 2022- 2031."/>
    <s v="84-A 2031, se reduce en 40% las muertes por malaria en el periodo 2022- 203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Garantizar el acceso y disponibilidad a medicamentos para el tratamiento de Malaria, Leishmaniasis y Enfermedad de Chagas."/>
    <s v="Procesos transversales de la Gestion de la Salud Pública"/>
    <n v="12"/>
    <s v="Número"/>
    <n v="3"/>
    <n v="0"/>
    <n v="0"/>
    <n v="3"/>
    <m/>
    <n v="0"/>
    <n v="3"/>
    <m/>
    <n v="0"/>
    <n v="3"/>
    <m/>
    <n v="0"/>
    <n v="12"/>
    <n v="0"/>
    <n v="0"/>
    <d v="2026-04-01T00:00:00"/>
    <d v="2027-03-31T00:00:00"/>
    <s v="N/A"/>
    <s v="SGP-SALUD-SALUD PUBLICA (1.2.4.2.02)"/>
    <s v="1.2.4.2.02"/>
    <m/>
    <m/>
    <m/>
    <m/>
    <s v="Adolesencia y Juventud"/>
    <s v="N/A"/>
    <x v="12"/>
    <m/>
  </r>
  <r>
    <n v="73"/>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Abogacia e incidencia tecnica y politica en la agenda de otros sectores , a fin de generar acciones intersectoriales y transectoriales definiendo temas transversales y objetivos comunes"/>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Fortalecer la articulación intersectorial mediante reuniones de la mesa sectorial de ETV ."/>
    <s v="Procesos transversales de la Gestion de la Salud Pública"/>
    <n v="4"/>
    <s v="Número"/>
    <n v="1"/>
    <n v="0"/>
    <n v="0"/>
    <n v="1"/>
    <n v="2"/>
    <n v="200"/>
    <n v="1"/>
    <m/>
    <n v="0"/>
    <n v="1"/>
    <m/>
    <n v="0"/>
    <n v="4"/>
    <n v="2"/>
    <n v="100"/>
    <d v="2026-04-01T00:00:00"/>
    <d v="2027-03-31T00:00:00"/>
    <s v="N/A"/>
    <s v="SGP-SALUD-SALUD PUBLICA (1.2.4.2.02)"/>
    <s v="1.2.4.2.02"/>
    <m/>
    <m/>
    <m/>
    <m/>
    <s v="Adolesencia y Juventud"/>
    <s v="N/A"/>
    <x v="12"/>
    <m/>
  </r>
  <r>
    <n v="74"/>
    <s v="Aumento de la Tasa de Incidencia de las enfermedades transmitidas por vectores como el dengu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Realizar mantenimiento preventivo y correctivo las maquinas del programa que lo requieran según diagnostico"/>
    <s v="Procesos transversales de la Gestion de la Salud Pública"/>
    <n v="100"/>
    <s v="Porcentaje"/>
    <n v="0"/>
    <n v="0"/>
    <e v="#DIV/0!"/>
    <n v="0"/>
    <n v="0"/>
    <e v="#DIV/0!"/>
    <n v="0"/>
    <m/>
    <e v="#DIV/0!"/>
    <n v="100"/>
    <m/>
    <n v="0"/>
    <n v="100"/>
    <n v="0"/>
    <e v="#DIV/0!"/>
    <d v="2026-04-01T00:00:00"/>
    <d v="2027-03-31T00:00:00"/>
    <s v="N/A"/>
    <s v="SGP-SALUD-SALUD PUBLICA (1.2.4.2.02)"/>
    <s v="1.2.4.2.02"/>
    <n v="30000000"/>
    <n v="30000000"/>
    <n v="30000000"/>
    <n v="0"/>
    <s v="Personal de Salud_x000a_"/>
    <s v="N/A"/>
    <x v="12"/>
    <m/>
  </r>
  <r>
    <n v="75"/>
    <s v="Aumento de la Tasa de Incidencia de las enfermedades transmitidas por vectores como el dengu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Realizar mantenimiento preventivo y correctivo de dos (2) vehiculos al servicio del programa según terminos de referencia, compra de SOAT y seguros"/>
    <s v="Procesos transversales de la Gestion de la Salud Pública"/>
    <n v="2"/>
    <s v="Número"/>
    <n v="0"/>
    <n v="0"/>
    <e v="#DIV/0!"/>
    <n v="0"/>
    <n v="1"/>
    <e v="#DIV/0!"/>
    <n v="0"/>
    <m/>
    <e v="#DIV/0!"/>
    <n v="2"/>
    <m/>
    <n v="0"/>
    <n v="2"/>
    <n v="1"/>
    <e v="#DIV/0!"/>
    <d v="2026-04-01T00:00:00"/>
    <d v="2027-03-31T00:00:00"/>
    <s v="N/A"/>
    <s v="SGP-SALUD-SALUD PUBLICA (1.2.4.2.02)"/>
    <s v="1.2.4.2.02"/>
    <n v="40000000"/>
    <n v="40000000"/>
    <n v="40000000"/>
    <n v="0"/>
    <m/>
    <s v="N/A"/>
    <x v="12"/>
    <m/>
  </r>
  <r>
    <n v="76"/>
    <s v="Aumento de la Tasa de Incidencia de las enfermedades transmitidas por vectores como el dengu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orden departamental, han desarrollado procesos de ajuste institucional para el fortalecimiento de lad capacidades de la autoridad sanitaria y la apropiación territorial del modelo de salud basado en APS"/>
    <s v="A 2027 el 100% de las Entidades Territoriales han desarrollado procesos de ajuste institucional para el fortalecimiento de lad capacidades de la autoridad sanitaria y la apropiació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Taller teórico-práctico de 5 días para ingenieros ambientales y técnicos de E.S.E. y hospitales, enfocado en la identificación y control de criaderos, captura entomológica de arbovirosis y uso de la plataforma Epicollect para la recolección y visualización de datos georreferenciados, realizado por tres (3) profesionales con experiencia y experticia en el tema. "/>
    <s v="Procesos transversales de la Gestion de la Salud Pública"/>
    <n v="1"/>
    <s v="Número"/>
    <n v="0"/>
    <n v="0"/>
    <e v="#DIV/0!"/>
    <n v="1"/>
    <n v="0.5"/>
    <n v="50"/>
    <n v="0"/>
    <m/>
    <e v="#DIV/0!"/>
    <n v="0"/>
    <m/>
    <e v="#DIV/0!"/>
    <n v="1"/>
    <n v="0.5"/>
    <n v="50"/>
    <d v="2026-02-01T00:00:00"/>
    <d v="2027-03-31T00:00:00"/>
    <s v="N/A"/>
    <s v="SGP-SALUD-SALUD PUBLICA (1.2.4.2.02)"/>
    <s v="1.2.4.2.02"/>
    <n v="50000000"/>
    <n v="50000000"/>
    <n v="50000000"/>
    <n v="50000000"/>
    <s v="Personal de Salud_x000a_"/>
    <s v="N/A"/>
    <x v="12"/>
    <m/>
  </r>
  <r>
    <n v="77"/>
    <s v="Aumento de la Tasa de Incidencia de las enfermedades transmitidas por vectores como el dengue;"/>
    <s v="Conocimiento en salud pública y Soberanía Sanitari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PS"/>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Desarrollo de capacidades de ocho (8) horas sobre la socialización de la estrategia de Manejo Integrado de Vectores, dirigido a funcionarios de las alcaldías municipales y E.S.E. Hospitales públicos del departamento (una persona por entidad). La actividad se orienta al fortalecimiento de conocimientos y competencias técnicas en vigilancia, prevención y control de vectores. El cual debe ser desarrollado por un profesional de la Salud que cuente con experiencia en el tema."/>
    <s v="Procesos transversales de la Gestion de la Salud Pública"/>
    <n v="1"/>
    <s v="Porcentaje"/>
    <n v="0"/>
    <n v="0"/>
    <e v="#DIV/0!"/>
    <n v="1"/>
    <n v="0.5"/>
    <n v="50"/>
    <n v="0"/>
    <m/>
    <e v="#DIV/0!"/>
    <n v="0"/>
    <m/>
    <e v="#DIV/0!"/>
    <n v="1"/>
    <n v="0.5"/>
    <n v="50"/>
    <d v="2026-02-01T00:00:00"/>
    <d v="2027-03-31T00:00:00"/>
    <s v="N/A"/>
    <s v="SGP-SALUD-SALUD PUBLICA (1.2.4.2.02)"/>
    <s v="1.2.4.2.02"/>
    <n v="10000000"/>
    <n v="10000000"/>
    <n v="10000000"/>
    <n v="10000000"/>
    <s v="Personal de Salud_x000a_"/>
    <s v="N/A"/>
    <x v="12"/>
    <m/>
  </r>
  <r>
    <n v="78"/>
    <s v="Aumento de la Tasa de Incidencia de las enfermedades transmitidas por vectores como el dengu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distrital y orden departamental, municip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Asistencia ténica al talento humano por parte del medico del área de prestación de servicios (presencial o virtual) para la adherencia a guías de atención integral de casos (Dengue / Chikunguña / Zika), Fiebre amarilla, Leishmaniasis, Malaria y Chagas en el 100% de las IPS publicas"/>
    <s v="Procesos transversales de la Gestion de la Salud Pública"/>
    <n v="1"/>
    <s v="Número"/>
    <n v="0"/>
    <n v="0"/>
    <e v="#DIV/0!"/>
    <n v="0"/>
    <n v="0"/>
    <e v="#DIV/0!"/>
    <n v="0"/>
    <m/>
    <e v="#DIV/0!"/>
    <n v="1"/>
    <m/>
    <n v="0"/>
    <n v="1"/>
    <n v="0"/>
    <e v="#DIV/0!"/>
    <d v="2026-04-01T00:00:00"/>
    <d v="2027-03-31T00:00:00"/>
    <s v="N/A"/>
    <s v="SGP-SALUD-SALUD PUBLICA (1.2.4.2.02)"/>
    <s v="1.2.4.2.02"/>
    <m/>
    <m/>
    <m/>
    <m/>
    <s v="Personal de Salud_x000a_"/>
    <s v="N/A"/>
    <x v="12"/>
    <m/>
  </r>
  <r>
    <n v="79"/>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PS"/>
    <s v="A 2031 el 100% de los espacios e instancias intersectoriales inlcuyen en sus planes de accion la transversalizacion de los enfoques de puebos y comunidades . Genero y diferencial e integran los sistemas de conocimiento propio d elos pueblos y comunidades etnicas"/>
    <s v="A 2027 el 100% de los espacios e instancias intersectoriales inlcuyen en sus planes de accion la transversalizacion de los enfoques de puebos y comunidades Genero y diferencial e integran los sistemas de conocimiento propio d elos pueblos y comunidades etnic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Abogacia con las comunidades etnicas para la implementacion de acciones de promocion y prevencion de las ETV"/>
    <s v="Procesos transversales de la Gestion de la Salud Pública"/>
    <n v="1"/>
    <s v="Número"/>
    <n v="0"/>
    <n v="0"/>
    <e v="#DIV/0!"/>
    <n v="0"/>
    <n v="1"/>
    <e v="#DIV/0!"/>
    <n v="0"/>
    <m/>
    <e v="#DIV/0!"/>
    <n v="1"/>
    <m/>
    <n v="0"/>
    <n v="1"/>
    <n v="1"/>
    <e v="#DIV/0!"/>
    <d v="2026-04-01T00:00:00"/>
    <d v="2027-03-31T00:00:00"/>
    <s v="N/A"/>
    <s v="SGP-SALUD-SALUD PUBLICA (1.2.4.2.02)"/>
    <s v="1.2.4.2.02"/>
    <m/>
    <m/>
    <m/>
    <m/>
    <s v="Personal de Salud_x000a_"/>
    <s v="N/A"/>
    <x v="12"/>
    <m/>
  </r>
  <r>
    <n v="80"/>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Desarrollo y fortalecimiento de capacidades para la planeación integral en salud y la gestión territorial en el marco del modelo de salud preventivo, predictivo y resolutivo basado en APS"/>
    <s v="a 2031 el 100% de las entidades territoriales del orden departaental, distrital y municipal han desarrollado procesos de ajuste inatitucional para el fortalecimiento de las capacidades de la autoridad sanitaria y la apropiacion territorial del modelo de salud basado en APS"/>
    <s v="A 2027 el 100% de las entidades territoriales del orden municipal han desarrollado procesos de ajuste inatitucional para el fortalecimiento de las capacidades de la autoridad sanitaria y la apropiacio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Prevenir la transmisión de ETV mediante uso de control químico en municipios en brote según analisis de la informacion epidemiologica (a demanda)"/>
    <s v="PIC(Anexo técnico)"/>
    <n v="100"/>
    <s v="Porcentaje"/>
    <n v="25"/>
    <n v="0"/>
    <n v="0"/>
    <n v="25"/>
    <n v="0"/>
    <n v="0"/>
    <n v="25"/>
    <m/>
    <n v="0"/>
    <n v="25"/>
    <m/>
    <n v="0"/>
    <n v="100"/>
    <n v="0"/>
    <n v="0"/>
    <d v="2026-04-01T00:00:00"/>
    <d v="2027-03-31T00:00:00"/>
    <s v="N/A"/>
    <s v="SGP-SALUD-SALUD PUBLICA (1.2.4.2.02)"/>
    <s v="1.2.4.2.02"/>
    <m/>
    <m/>
    <m/>
    <m/>
    <s v="Personal de Salud_x000a_"/>
    <s v="N/A"/>
    <x v="12"/>
    <m/>
  </r>
  <r>
    <n v="81"/>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Desarrollo y fortalecimiento de capacidades para la planeación integral en salud y la gestión territorial en el marco del modelo de salud preventivo, predictivo y resolutivo basado en APS"/>
    <s v="a 2031 el 100% de las entidades territoriales del orden departaental, distrital y municipal han desarrollado procesos de ajuste inatitucional para el fortalecimiento de las capacidades de la autoridad sanitaria y la apropiacion territorial del modelo de salud basado en APS"/>
    <s v="A 2027 el 100% de las entidades territoriales del orden municipal han desarrollado procesos de ajuste inatitucional para el fortalecimiento de las capacidades de la autoridad sanitaria y la apropiacio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Realizar levantamiento de indices aédicos, control larvario, destruccion de criadros y captura entomologica de larvas y adultos en el entorno hogar beneficiando a las familias en 29 municipios según programacion de los tecnicos de ETV y en los cementerios ."/>
    <s v="PIC(Anexo técnico)"/>
    <n v="29"/>
    <s v="Número"/>
    <n v="6"/>
    <n v="0"/>
    <n v="0"/>
    <n v="8"/>
    <n v="12"/>
    <n v="150"/>
    <n v="9"/>
    <m/>
    <n v="0"/>
    <n v="6"/>
    <m/>
    <n v="0"/>
    <n v="29"/>
    <n v="12"/>
    <n v="85.714285714285708"/>
    <d v="2026-04-01T00:00:00"/>
    <d v="2027-03-31T00:00:00"/>
    <s v="N/A"/>
    <s v="SGP-SALUD-SALUD PUBLICA (1.2.4.2.02)"/>
    <s v="1.2.4.2.02"/>
    <m/>
    <m/>
    <m/>
    <m/>
    <s v="Personal de Salud_x000a_"/>
    <s v="N/A"/>
    <x v="12"/>
    <m/>
  </r>
  <r>
    <n v="82"/>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Desarrollo y fortalecimiento de capacidades para la planeación integral en salud y la gestión territorial en el marco del modelo de salud preventivo, predictivo y resolutivo basado en APS"/>
    <s v="a 2031 el 100% de las entidades territoriales del orden departaental, distrital y municipal han desarrollado procesos de ajuste inatitucional para el fortalecimiento de las capacidades de la autoridad sanitaria y la apropiacion territorial del modelo de salud basado en APS"/>
    <s v="A 2027 el 100% de las entidades territoriales del orden municipal han desarrollado procesos de ajuste inatitucional para el fortalecimiento de las capacidades de la autoridad sanitaria y la apropiacio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Levantar indices aedicos, destruccion de criaderos, control larvario y captura entomologica de larvas y adultos y educacion en signos y sintomas de alarma en el entorno educativo"/>
    <s v="PIC(Anexo técnico)"/>
    <n v="29"/>
    <s v="Número"/>
    <n v="7"/>
    <n v="0"/>
    <n v="0"/>
    <n v="7"/>
    <n v="18"/>
    <n v="257.14285714285717"/>
    <n v="8"/>
    <m/>
    <n v="0"/>
    <n v="7"/>
    <m/>
    <n v="0"/>
    <n v="29"/>
    <n v="18"/>
    <n v="128.57142857142858"/>
    <d v="2026-04-01T00:00:00"/>
    <d v="2027-03-31T00:00:00"/>
    <s v="N/A"/>
    <s v="SGP-SALUD-SALUD PUBLICA (1.2.4.2.02)"/>
    <s v="1.2.4.2.02"/>
    <m/>
    <m/>
    <m/>
    <m/>
    <s v="Personal de Salud_x000a_"/>
    <s v="N/A"/>
    <x v="12"/>
    <m/>
  </r>
  <r>
    <n v="83"/>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Desarrollo y fortalecimiento de capacidades para la planeación integral en salud y la gestión territorial en el marco del modelo de salud preventivo, predictivo y resolutivo basado en APS"/>
    <s v="a 2031 el 100% de las entidades territoriales del orden departaental, distrital y municipal han desarrollado procesos de ajuste inatitucional para el fortalecimiento de las capacidades de la autoridad sanitaria y la apropiacion territorial del modelo de salud basado en APS"/>
    <s v="A 2027 el 100% de las entidades territoriales del orden municipal han desarrollado procesos de ajuste inatitucional para el fortalecimiento de las capacidades de la autoridad sanitaria y la apropiacio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Instalación de cuatro (4) larvitrampas, captura de larvas y seguimiento de las mismas según lineamiento ubicados en terminales de transporte fluviales, aereos, y terrestres en los 29 municipios del departamento del Magdalena"/>
    <s v="PIC(Anexo técnico)"/>
    <n v="29"/>
    <s v="Número"/>
    <n v="7"/>
    <n v="0"/>
    <n v="0"/>
    <n v="7"/>
    <n v="5"/>
    <n v="71.428571428571431"/>
    <n v="8"/>
    <m/>
    <n v="0"/>
    <n v="7"/>
    <m/>
    <n v="0"/>
    <n v="29"/>
    <n v="5"/>
    <n v="35.714285714285715"/>
    <d v="2026-02-01T00:00:00"/>
    <d v="2027-03-31T00:00:00"/>
    <s v="N/A"/>
    <s v="SGP-SALUD-SALUD PUBLICA (1.2.4.2.02)"/>
    <s v="1.2.4.2.02"/>
    <n v="110000000"/>
    <n v="110000000"/>
    <n v="110000000"/>
    <n v="0"/>
    <s v="Indigenas"/>
    <s v="N/A"/>
    <x v="12"/>
    <m/>
  </r>
  <r>
    <n v="84"/>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Desarrollo de estrategias de comunicación para la difusión y el uso adecuado de la información en salud pública"/>
    <s v="A 2031 el 100% de las Entidades Territoriales del distrital y orden departamental,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Realizar un (1) programa radial en los 29 municipios del departamento del Magdalena sobre las ETV, dando a conocer el ciclo vectorial, habito de los vectores transmisores de arbovirosis, malaria, chagas y leishmania"/>
    <s v="PIC(Anexo técnico)"/>
    <n v="29"/>
    <s v="Número"/>
    <n v="0"/>
    <n v="0"/>
    <e v="#DIV/0!"/>
    <n v="0"/>
    <n v="0"/>
    <e v="#DIV/0!"/>
    <n v="29"/>
    <m/>
    <n v="0"/>
    <n v="0"/>
    <m/>
    <e v="#DIV/0!"/>
    <n v="29"/>
    <n v="0"/>
    <e v="#DIV/0!"/>
    <d v="2026-04-01T00:00:00"/>
    <d v="2027-03-31T00:00:00"/>
    <s v="N/A"/>
    <s v="SGP-SALUD-SALUD PUBLICA (1.2.4.2.02)"/>
    <s v="1.2.4.2.02"/>
    <n v="60000000"/>
    <n v="60000000"/>
    <n v="60000000"/>
    <n v="0"/>
    <m/>
    <s v="N/A"/>
    <x v="12"/>
    <m/>
  </r>
  <r>
    <n v="85"/>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Desarrollo de macanismos para el fortalecimiento d ela conduccion y articulación sectorial e intersectorial, la conformación y operación de redes integrales e integradas territoriales de servicios de salud y la rendicion de cuentas conforme a las competencias establecidas"/>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5-A 2031, se reduce 20% la letalidad acumulada (2022-2031) por enfermedad de Chagas agudo."/>
    <s v="75-A 2031, se reduce 20% la letalidad acumulada (2022-2031) por enfermedad de Chagas agudo."/>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Abogacia con las EAPB para el tamizaje de chagas para maternas e hijos de maternas positivas en el marco de la estrategia MPLUS y seguimiento nominal de los casos"/>
    <s v="Procesos transversales de la Gestion de la Salud Pública"/>
    <n v="12"/>
    <s v="Número"/>
    <n v="3"/>
    <n v="0"/>
    <n v="0"/>
    <n v="3"/>
    <n v="3"/>
    <n v="100"/>
    <n v="3"/>
    <m/>
    <n v="0"/>
    <n v="3"/>
    <m/>
    <n v="0"/>
    <n v="12"/>
    <n v="3"/>
    <n v="50"/>
    <d v="2026-04-01T00:00:00"/>
    <d v="2027-03-31T00:00:00"/>
    <s v="N/A"/>
    <s v="SGP-SALUD-SALUD PUBLICA (1.2.4.2.02)"/>
    <s v="1.2.4.2.02"/>
    <m/>
    <m/>
    <m/>
    <m/>
    <m/>
    <s v="N/A"/>
    <x v="13"/>
    <m/>
  </r>
  <r>
    <n v="86"/>
    <s v="Aumento de la Tasa de Incidencia de las enfermedades transmitidas por vectores como el dengu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distrital y orden departamental,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Desarrollar capacidades al talento humano (profesionales de apoyo) en capacitación en identificación taxonomica de Culicidos y montaje de especimenes para la colección de referencia entomologica."/>
    <s v="Procesos transversales de la Gestion de la Salud Pública"/>
    <n v="1"/>
    <s v="Número"/>
    <n v="0"/>
    <n v="0"/>
    <e v="#DIV/0!"/>
    <n v="1"/>
    <n v="0"/>
    <n v="0"/>
    <n v="0"/>
    <m/>
    <e v="#DIV/0!"/>
    <n v="1"/>
    <m/>
    <n v="0"/>
    <n v="1"/>
    <n v="0"/>
    <n v="0"/>
    <d v="2026-04-01T00:00:00"/>
    <d v="2027-03-31T00:00:00"/>
    <s v="N/A"/>
    <s v="SGP-SALUD-SALUD PUBLICA (1.2.4.2.02)"/>
    <s v="1.2.4.2.02"/>
    <n v="30000000"/>
    <n v="30000000"/>
    <n v="30000000"/>
    <n v="0"/>
    <m/>
    <s v="N/A"/>
    <x v="13"/>
    <m/>
  </r>
  <r>
    <n v="8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Entidades Territoriales Departamentales, Distritales y Municipales fortalecidas como autoridad sanitaria local para la Gobernanza en Salud Pública."/>
    <s v="Fortalecimiento de capacidades institucionales y comunitarias para el desarrollo de la APS con acciones territorializadas, universales, sistemáticas, permanentes y participativas bajo un enfoque familiar y comunitario."/>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16-A 2031, Colombia logrará coberturas útiles de vacunación (95% -biológicos trazadores)."/>
    <s v="16-A 2031, Colombia logrará coberturas útiles de vacunación (95% -biológicos trazador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Desarrollar Un (1) encuentro lúdico de saberes con todas las Madres ICBF, padres de familia, los docentes y las madres lideres de Mas familias en acción cuyo énfasis sean estrategias asertivas en vacunación para la identificación de niños y niñas menores de 6 años con esquemas de vacunación incompletos para la edad profesional idóneo. En el entorno educativo y Comunitario en los ámbitos urbano."/>
    <s v="Procesos transversales de la Gestion de la Salud Pública"/>
    <n v="29"/>
    <s v="Número"/>
    <n v="0"/>
    <n v="0"/>
    <e v="#DIV/0!"/>
    <n v="0"/>
    <n v="1"/>
    <e v="#DIV/0!"/>
    <n v="14"/>
    <m/>
    <n v="0"/>
    <n v="15"/>
    <m/>
    <n v="0"/>
    <n v="29"/>
    <n v="1"/>
    <e v="#DIV/0!"/>
    <d v="2026-04-01T00:00:00"/>
    <d v="2027-03-31T00:00:00"/>
    <s v="N/A"/>
    <s v="SGP-SALUD-SALUD PUBLICA (1.2.4.2.02)"/>
    <s v="1.2.4.2.02"/>
    <n v="150000000"/>
    <n v="150000000"/>
    <n v="150000000"/>
    <n v="0"/>
    <s v="Familias, colectivos y comunidades"/>
    <s v="N/A"/>
    <x v="14"/>
    <m/>
  </r>
  <r>
    <n v="8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Entidades Territoriales Departamentales, Distritales y Municipales fortalecidas como autoridad sanitaria local para la Gobernanza en Salud Pública."/>
    <s v="Fortalecimiento de capacidades institucionales y comunitarias para el desarrollo de la APS con acciones territorializadas, universales, sistemáticas, permanentes y participativas bajo un enfoque familiar y comunitario."/>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17-Al 2031, Colombia mantendrá la implementación de los planes orientados a la erradicación de poliomielitis, eliminación de Sarampión y Rubeola, control y eliminación de eventos inmunoprevenibles, Síndrome de Rubeola Congénita, Tétanos Neonatal, Fiebre Amarilla, Difteria, Tuberculosis Meníngea, Hepatitis A, B y C, Neumococo, Haemophilus influenzae tipo B, Meningococo, diarreas por Rotavirus, Tos ferina, Parotiditis e Influenza, eliminación de la transmisión materno infantil de la hepatitis B."/>
    <s v="17-Al 2031, Colombia mantendrá la implementación de los planes orientados a la erradicación de poliomielitis, eliminación de Sarampión y Rubeola, control y eliminación de eventos inmunoprevenibles, Síndrome de Rubeola Congénita, Tétanos Neonatal, Fiebre Amarilla, Difteria, Tuberculosis Meníngea, Hepatitis A, B y C, Neumococo, Haemophilus influenzae tipo B, Meningococo, diarreas por Rotavirus, Tos ferina, Parotiditis e Influenza, eliminación de la transmisión materno infantil de la hepatitis B."/>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Programa comunicacional mensual en los 29 municipios donde se informe: esquema de vacunacion, jornadas, vacunacion segura, entre otros los 12 meses del año pueden usar medio radial de cobertura municipal o perifoneo demostrado en todo el municipio "/>
    <s v="PIC(Anexo técnico)"/>
    <n v="29"/>
    <s v="Número"/>
    <n v="29"/>
    <n v="0"/>
    <n v="0"/>
    <n v="29"/>
    <n v="0"/>
    <n v="0"/>
    <n v="29"/>
    <m/>
    <n v="0"/>
    <n v="29"/>
    <m/>
    <n v="0"/>
    <n v="29"/>
    <n v="0"/>
    <n v="0"/>
    <d v="2026-04-01T00:00:00"/>
    <d v="2027-03-31T00:00:00"/>
    <s v="N/A"/>
    <s v="SGP-SALUD-SALUD PUBLICA (1.2.4.2.02)"/>
    <s v="1.2.4.2.02"/>
    <n v="120000000"/>
    <n v="120000000"/>
    <n v="120000000"/>
    <n v="0"/>
    <s v="Familias, colectivos y comunidades _x000a_"/>
    <s v="N/A"/>
    <x v="14"/>
    <m/>
  </r>
  <r>
    <n v="8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Espacios e instancias intersectoriales que incluyen en sus planes de acción la transversalización de los enfoques de pueblos y comunidades, género y diferencial e integran los sistemas de conocimiento propio de los pueblos y comunidades étnicas y campesinas"/>
    <s v="Establecimiento de mecanismos institucionales, sectoriales, intersectoriales y comunitarios que garanticen la participación de las diferentes formas y expresiones organizativas de los pueblos y comunidades en la planeación y la respuesta en salud"/>
    <s v="A 2031 el 100% de entidades territoriales Departamentales, Distritales y Municipales que tienen en su territorio pueblos y comunidades indígenas, comunidades negras, afrocolombianas, raizales y palenqueras y pueblo Rrom integran en sus planes territoriales de salud los acuerdos resultantes para la garantía del derecho fundamental a la salud y la respuesta a las necesidades de la salud propia e intercultural."/>
    <s v="A 2027 el 100% de entidades territoriales  Municipales que tienen en su territorio pueblos y comunidades indígenas, comunidades negras, afrocolombianas, raizales y palenqueras y pueblo Rrom integran en sus planes territoriales de salud los acuerdos resultantes para la garantía del derecho fundamental a la salud y la respuesta a las necesidades de la salud propia e intercultural."/>
    <s v="16-A 2031, Colombia logrará coberturas útiles de vacunación (95% -biológicos trazadores)."/>
    <s v="16-A 2031, Colombia logrará coberturas útiles de vacunación (95% -biológicos trazador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Desarrollar un (1) encuentro didactico de saberes con comunidad indígena de los municipios de Ciénaga, Fundación, Aracataca y Sabana de San Ángel, con énfasis en estrategias asertivas de vacunación para la identificación de niños y niñas menores de seis (6) años, con la participación de un profesional idóneo con experiencia PAI. La actividad se realizará en los entornos educativos y comunitarios, tanto en áreas urbanas como rurales."/>
    <s v="PIC(Anexo técnico)"/>
    <n v="4"/>
    <s v="Número"/>
    <n v="0"/>
    <n v="0"/>
    <e v="#DIV/0!"/>
    <n v="0"/>
    <n v="0"/>
    <e v="#DIV/0!"/>
    <n v="2"/>
    <m/>
    <n v="0"/>
    <n v="2"/>
    <m/>
    <n v="0"/>
    <n v="4"/>
    <n v="0"/>
    <e v="#DIV/0!"/>
    <d v="2026-02-01T00:00:00"/>
    <d v="2027-03-31T00:00:00"/>
    <s v="N/A"/>
    <s v="SGP-SALUD-SALUD PUBLICA (1.2.4.2.02)"/>
    <s v="1.2.4.2.02"/>
    <n v="80000000"/>
    <n v="80000000"/>
    <n v="80000000"/>
    <n v="0"/>
    <s v="Personal de Salud_x000a_"/>
    <s v="N/A"/>
    <x v="14"/>
    <m/>
  </r>
  <r>
    <n v="9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Nivel primario de atención con equipos de salud territoriales y centros de atención primaria en salud fortalecidos en su infraestructura, insumos, dotación y personal de salud como puerta de entrada y primer contacto con el Sistema de Salud, para dar respuesta a las necesidades en salud de la población de su territorio."/>
    <s v="Implementación de mecanismos para la coordinación y gestión de la operación de las redes integrales e integradas territoriales de salud en el marco de un modelo preventivo, predictivo y resolutivo basado en la APS."/>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s v="A 2027 el 100 % de las Entidades Territoriales del orden municipal han desarrollado procesos de ajuste institucional para el fortalecimiento de las capacidades de la autoridad sanitaria y la apropiación territorial del modelo de salud basado en la atención primaria."/>
    <s v="18-A 2031, Colombia aumentará a un 90%, la cobertura de vacunación de VPH en niños y niñas de 9 años de edad"/>
    <s v="18-A 2031, Colombia aumentará a un 90%, la cobertura de vacunación de VPH en niños y niñas de 9 años de edad"/>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Garantizar el inicio, continuidad y finalizacion de los esquemas de vacunación según la edad, mediante jornadas dirigidas al 100% de las familias intervenidas por la estrategia de Atención Primaria en Salud que cuenten con miembros objeto del PAI, a través del trabajo de un vacunador y un anotador, con una meta de productividad mensual de 40 personas."/>
    <s v="PIC(Anexo técnico)"/>
    <n v="2"/>
    <s v="Número"/>
    <n v="0"/>
    <n v="0"/>
    <e v="#DIV/0!"/>
    <n v="1"/>
    <n v="1"/>
    <n v="100"/>
    <n v="1"/>
    <m/>
    <n v="0"/>
    <n v="0"/>
    <m/>
    <e v="#DIV/0!"/>
    <n v="2"/>
    <n v="1"/>
    <n v="100"/>
    <d v="2026-04-01T00:00:00"/>
    <d v="2027-03-31T00:00:00"/>
    <s v="N/A"/>
    <s v="SGP-SALUD-SALUD PUBLICA (1.2.4.2.02)"/>
    <s v="1.2.4.2.02"/>
    <m/>
    <m/>
    <m/>
    <m/>
    <m/>
    <s v="N/A"/>
    <x v="14"/>
    <m/>
  </r>
  <r>
    <n v="9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Nivel primario de atención con equipos de salud territoriales y centros de atención primaria en salud fortalecidos en su infraestructura, insumos, dotación y personal de salud como puerta de entrada y primer contacto con el Sistema de Salud, para dar respuesta a las necesidades en salud de la población de su territorio."/>
    <s v="Implementación de mecanismos para la coordinación y gestión de la operación de las redes integrales e integradas territoriales de salud en el marco de un modelo preventivo, predictivo y resolutivo basado en la APS."/>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s v="A 2027 el 100 % de las Entidades Territoriales del orden municipal han desarrollado procesos de ajuste institucional para el fortalecimiento de las capacidades de la autoridad sanitaria y la apropiación territorial del modelo de salud basado en la atención primaria."/>
    <s v="17-Al 2031, Colombia mantendrá la implementación de los planes orientados a la erradicación de poliomielitis, eliminación de Sarampión y Rubeola, control y eliminación de eventos inmunoprevenibles, Síndrome de Rubeola Congénita, Tétanos Neonatal, Fiebre Amarilla, Difteria, Tuberculosis Meníngea, Hepatitis A, B y C, Neumococo, Haemophilus influenzae tipo B, Meningococo, diarreas por Rotavirus, Tos ferina, Parotiditis e Influenza, eliminación de la transmisión materno infantil de la hepatitis B."/>
    <s v="17-Al 2031, Colombia mantendrá la implementación de los planes orientados a la erradicación de poliomielitis, eliminación de Sarampión y Rubeola, control y eliminación de eventos inmunoprevenibles, Síndrome de Rubeola Congénita, Tétanos Neonatal, Fiebre Amarilla, Difteria, Tuberculosis Meníngea, Hepatitis A, B y C, Neumococo, Haemophilus influenzae tipo B, Meningococo, diarreas por Rotavirus, Tos ferina, Parotiditis e Influenza, eliminación de la transmisión materno infantil de la hepatitis B."/>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Educacion en Salud sobre Vacunacion segura y esquema gratuito, Realizar búsqueda activa de la poblacion objetivo del programa y la puesta al día de coberturas de vacunación en los 29 Municipios y de esta manera gestionar el cumplimiento de las metas programáticas"/>
    <s v="PIC(Anexo técnico)"/>
    <n v="1"/>
    <s v="Porcentaje"/>
    <s v="0,25"/>
    <n v="0"/>
    <n v="0"/>
    <s v="0,25"/>
    <n v="1"/>
    <n v="400"/>
    <s v="0,25"/>
    <m/>
    <n v="0"/>
    <s v="0,25"/>
    <m/>
    <n v="0"/>
    <n v="1"/>
    <n v="1"/>
    <n v="200"/>
    <d v="2026-04-01T00:00:00"/>
    <d v="2027-03-31T00:00:00"/>
    <s v="N/A"/>
    <s v="SGP-SALUD-SALUD PUBLICA (1.2.4.2.02)"/>
    <s v="1.2.4.2.02"/>
    <n v="60000000"/>
    <n v="60000000"/>
    <n v="60000000"/>
    <n v="0"/>
    <s v="Familias, colectivos y comunidades"/>
    <s v="N/A"/>
    <x v="14"/>
    <m/>
  </r>
  <r>
    <n v="9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tención Primaria en Salud - APS."/>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s v="A 2027 el 100 % de las Entidades Territoriales del orden municipal han desarrollado procesos de ajuste institucional para el fortalecimiento de las capacidades de la autoridad sanitaria y la apropiación territorial del modelo de salud basado en la atención primaria."/>
    <s v="16-A 2031, Colombia logrará coberturas útiles de vacunación (95% -biológicos trazadores)."/>
    <s v="16-A 2031, Colombia logrará coberturas útiles de vacunación (95% -biológicos trazador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Desarrollar capacidades en los diferentes componentes del programa dirigido al talento humano Vacunadores de los equipos y unidades vacunadoras de 29 municipios incluida IPS Indigena"/>
    <s v="Procesos transversales de la Gestion de la Salud Pública"/>
    <n v="4"/>
    <s v="Número"/>
    <n v="0"/>
    <n v="0"/>
    <e v="#DIV/0!"/>
    <n v="0"/>
    <n v="0"/>
    <e v="#DIV/0!"/>
    <n v="4"/>
    <m/>
    <n v="0"/>
    <n v="4"/>
    <m/>
    <n v="0"/>
    <n v="4"/>
    <n v="0"/>
    <e v="#DIV/0!"/>
    <d v="2026-04-01T00:00:00"/>
    <d v="2027-03-31T00:00:00"/>
    <s v="N/A"/>
    <s v="SGP-SALUD-SALUD PUBLICA (1.2.4.2.02)"/>
    <s v="1.2.4.2.02"/>
    <n v="100000000"/>
    <n v="100000000"/>
    <n v="100000000"/>
    <n v="0"/>
    <s v="Familias, colectivos y comunidades"/>
    <s v="N/A"/>
    <x v="14"/>
    <m/>
  </r>
  <r>
    <n v="9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tención Primaria en Salud - APS."/>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s v="A 2027 el 100 % de las Entidades Territoriales del orden municipal han desarrollado procesos de ajuste institucional para el fortalecimiento de las capacidades de la autoridad sanitaria y la apropiación territorial del modelo de salud basado en la atención primaria."/>
    <s v="11-A 2031, reducir a 10,3 por mil nacidos vivos la tasa de mortalidad en menores de 5 años"/>
    <s v="11-A 2031, reducir a 10,3 por mil nacidos vivos la tasa de mortalidad en menores de 5 añ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Desarrollar capacidades en los diferentes componentes del programa dirigido al talento humano coordinadores de los equipos y unidades vacunadoras de 29 municipios incluida IPS Indigena"/>
    <s v="Procesos transversales de la Gestion de la Salud Pública"/>
    <n v="1"/>
    <s v="Número"/>
    <n v="0"/>
    <n v="0"/>
    <e v="#DIV/0!"/>
    <n v="0"/>
    <n v="0"/>
    <e v="#DIV/0!"/>
    <n v="1"/>
    <m/>
    <n v="0"/>
    <n v="1"/>
    <m/>
    <n v="0"/>
    <n v="1"/>
    <n v="0"/>
    <e v="#DIV/0!"/>
    <d v="2026-04-01T00:00:00"/>
    <d v="2027-03-31T00:00:00"/>
    <s v="N/A"/>
    <s v="SGP-SALUD-SALUD PUBLICA (1.2.4.2.02)"/>
    <s v="1.2.4.2.02"/>
    <n v="50000000"/>
    <n v="50000000"/>
    <n v="50000000"/>
    <n v="0"/>
    <s v="Indigenas"/>
    <s v="N/A"/>
    <x v="14"/>
    <m/>
  </r>
  <r>
    <n v="9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s v="A 2027 el 100 % de las Entidades Territoriales del orden municipal han desarrollado procesos de ajuste institucional para el fortalecimiento de las capacidades de la autoridad sanitaria y la apropiación territorial del modelo de salud basado en la atención primaria."/>
    <s v="11-A 2031, reducir a 10,3 por mil nacidos vivos la tasa de mortalidad en menores de 5 años"/>
    <s v="11-A 2031, reducir a 10,3 por mil nacidos vivos la tasa de mortalidad en menores de 5 añ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Articulacion con el SENA para garantizar la certificacion en las 2 competencias laborales (Adminstracion de Inmunobiologicos y Atencion al usuario) a los tecnicos (auxiliares) y profesionales (enfermeras) de las IPS de los 29 municipios, incluida la IPS Indigena ."/>
    <s v="Procesos transversales de la Gestion de la Salud Pública"/>
    <n v="29"/>
    <s v="Número"/>
    <n v="5"/>
    <n v="0"/>
    <n v="0"/>
    <n v="5"/>
    <n v="2"/>
    <n v="40"/>
    <n v="9"/>
    <m/>
    <n v="0"/>
    <n v="10"/>
    <m/>
    <n v="0"/>
    <n v="29"/>
    <n v="2"/>
    <n v="20"/>
    <d v="2026-04-01T00:00:00"/>
    <d v="2027-03-31T00:00:00"/>
    <s v="N/A"/>
    <s v="SGP-SALUD-SALUD PUBLICA (1.2.4.2.02)"/>
    <s v="1.2.4.2.02"/>
    <m/>
    <m/>
    <m/>
    <m/>
    <s v="Familias, colectivos y comunidades"/>
    <s v="N/A"/>
    <x v="14"/>
    <m/>
  </r>
  <r>
    <n v="9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_x000a_  para la vigilancia en salud pública, el fortalecimiento de los_x000a_  laboratorios de salud pública, la inspección, vigilancia y control_x000a_  sanitarios y la garantía de insumos de interés en salud pública_x000a_  reconociendo los avances y logros de los pueblos y"/>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la gestión de los insumos críticos del programa de la red de frio"/>
    <s v="Procesos transversales de la Gestion de la Salud Pública"/>
    <n v="12"/>
    <s v="Porcentaje"/>
    <n v="3"/>
    <n v="3"/>
    <n v="100"/>
    <n v="3"/>
    <n v="3"/>
    <n v="100"/>
    <m/>
    <m/>
    <e v="#DIV/0!"/>
    <m/>
    <m/>
    <e v="#DIV/0!"/>
    <n v="12"/>
    <n v="6"/>
    <n v="100"/>
    <d v="2026-04-01T00:00:00"/>
    <d v="2027-03-31T00:00:00"/>
    <s v="N/A"/>
    <s v="SGP-SALUD-SALUD PUBLICA (1.2.4.2.02)"/>
    <s v="1.2.4.2.02"/>
    <n v="75000000"/>
    <n v="75000000"/>
    <n v="75000000"/>
    <n v="75000000"/>
    <s v="Familias, colectivos y comunidades"/>
    <s v="N/A"/>
    <x v="14"/>
    <m/>
  </r>
  <r>
    <n v="9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Gestion de insumos de interes en salud publica para garantizar la implementacion de la estrategia de vacunacion sin barreras a los 29 Municipios"/>
    <s v="Desarrollo institucional y sectorial para el ejercicio de la autoridad sanitaria"/>
    <s v="Realizar Mantenimiento preventivo y correctivo a la red de frio departamental"/>
    <s v="Procesos transversales de la Gestion de la Salud Pública"/>
    <n v="1"/>
    <s v="Porcentaje"/>
    <n v="0.25"/>
    <n v="0"/>
    <n v="0"/>
    <n v="0.25"/>
    <n v="1"/>
    <n v="400"/>
    <n v="0.25"/>
    <m/>
    <n v="0"/>
    <n v="0.25"/>
    <m/>
    <n v="0"/>
    <n v="1"/>
    <n v="1"/>
    <n v="200"/>
    <d v="2026-04-01T00:00:00"/>
    <d v="2027-03-31T00:00:00"/>
    <s v="N/A"/>
    <s v="SGP-SALUD-SALUD PUBLICA (1.2.4.2.02)"/>
    <s v="1.2.4.2.02"/>
    <n v="67000000"/>
    <n v="67000000"/>
    <n v="67000000"/>
    <n v="0"/>
    <s v="Personal de Salud_x000a_"/>
    <s v="N/A"/>
    <x v="14"/>
    <m/>
  </r>
  <r>
    <n v="9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Garantizar el traslado de insumos y biologicos del esquema regular y contra covid19 los 12 meses del año 2025 a los 29 muicipios conservando su red de frio"/>
    <s v="Procesos transversales de la Gestion de la Salud Pública"/>
    <n v="1"/>
    <s v="Porcentaje"/>
    <n v="0.25"/>
    <n v="3"/>
    <n v="1200"/>
    <n v="0.25"/>
    <n v="3"/>
    <n v="1200"/>
    <n v="1"/>
    <m/>
    <n v="0"/>
    <m/>
    <m/>
    <e v="#DIV/0!"/>
    <n v="1"/>
    <n v="6"/>
    <n v="1200"/>
    <d v="2026-04-01T00:00:00"/>
    <d v="2027-03-31T00:00:00"/>
    <s v="N/A"/>
    <s v="SGP-SALUD-SALUD PUBLICA (1.2.4.2.02)"/>
    <s v="1.2.4.2.02"/>
    <m/>
    <m/>
    <m/>
    <m/>
    <s v="Personal de Salud_x000a_"/>
    <s v="N/A"/>
    <x v="14"/>
    <m/>
  </r>
  <r>
    <n v="9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Garantizar la proteccion y vida util de los biologicos e insumos criticos para el programa ampliado de inmunizaciones PAI a traves de una poliza de seguros todo riesgo"/>
    <s v="Procesos transversales de la Gestion de la Salud Pública"/>
    <n v="1"/>
    <s v="Porcentaje"/>
    <n v="1"/>
    <n v="0"/>
    <n v="0"/>
    <n v="1"/>
    <n v="1"/>
    <n v="100"/>
    <m/>
    <m/>
    <e v="#DIV/0!"/>
    <m/>
    <m/>
    <e v="#DIV/0!"/>
    <n v="1"/>
    <n v="1"/>
    <n v="50"/>
    <d v="2026-02-01T00:00:00"/>
    <d v="2027-03-31T00:00:00"/>
    <s v="N/A"/>
    <s v="SGP-SALUD-SALUD PUBLICA (1.2.4.2.02)"/>
    <s v="1.2.4.2.02"/>
    <n v="100000000"/>
    <n v="100000000"/>
    <n v="100000000"/>
    <n v="100000000"/>
    <s v="Personal de Salud_x000a_"/>
    <s v="N/A"/>
    <x v="14"/>
    <m/>
  </r>
  <r>
    <n v="9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ñales definiendo temas transversales y objetivos_x000a_  comun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cuatro (4) Comites del Programa Ampliado de Inmunizaciones PAI según lineamientos del MSPS, que garantice la participación de los actores del sector salud y otros sectores con el objetivo de lograr la meta de cobertura propuesta."/>
    <s v="Procesos transversales de la Gestion de la Salud Pública"/>
    <n v="4"/>
    <s v="Número"/>
    <n v="0.25"/>
    <n v="0"/>
    <n v="0"/>
    <n v="0.25"/>
    <n v="1"/>
    <n v="400"/>
    <n v="0.25"/>
    <m/>
    <n v="0"/>
    <n v="0.25"/>
    <m/>
    <n v="0"/>
    <n v="4"/>
    <n v="1"/>
    <n v="200"/>
    <d v="2026-04-01T00:00:00"/>
    <d v="2027-03-31T00:00:00"/>
    <s v="N/A"/>
    <s v="SGP-SALUD-SALUD PUBLICA (1.2.4.2.02)"/>
    <s v="1.2.4.2.02"/>
    <n v="32000000"/>
    <n v="32000000"/>
    <n v="32000000"/>
    <n v="0"/>
    <m/>
    <s v="N/A"/>
    <x v="14"/>
    <m/>
  </r>
  <r>
    <n v="10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Posicionamiento del sistema único de información en salud parametrizado y estandarizado acorde con la normatividad_x000a_  vigente, que tenga la capacidad de articular los sistemas propios de información en salud de los pueblos y comunidades existent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seguimiento y elaborar informe de un monitoreo rápido de coberturas realizados por los 29 municipios, conforme a lo establecido en los lineamientos del MSPS."/>
    <s v="Procesos transversales de la Gestion de la Salud Pública"/>
    <n v="1"/>
    <s v="Porcentaje"/>
    <n v="0"/>
    <n v="0"/>
    <e v="#DIV/0!"/>
    <n v="0.25"/>
    <n v="1"/>
    <n v="400"/>
    <n v="0.25"/>
    <m/>
    <n v="0"/>
    <n v="0.25"/>
    <m/>
    <n v="0"/>
    <n v="1"/>
    <n v="1"/>
    <n v="400"/>
    <d v="2026-04-01T00:00:00"/>
    <d v="2027-03-31T00:00:00"/>
    <s v="N/A"/>
    <s v="SGP-SALUD-SALUD PUBLICA (1.2.4.2.02)"/>
    <s v="1.2.4.2.02"/>
    <m/>
    <m/>
    <m/>
    <m/>
    <m/>
    <s v="N/A"/>
    <x v="14"/>
    <m/>
  </r>
  <r>
    <n v="10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asistencias tècnicas y seguimientos, para la implementación y fortalecimiento deI Programa Ampliado de Inmunizaciones en todos sus componentes en las IPS/ESE ,IPS de atención al recien nacidos y EAPB de los 29 municipios."/>
    <s v="Procesos transversales de la Gestion de la Salud Pública"/>
    <n v="29"/>
    <s v="Número"/>
    <n v="5"/>
    <n v="7"/>
    <n v="140"/>
    <n v="5"/>
    <n v="22"/>
    <n v="440.00000000000006"/>
    <n v="9"/>
    <m/>
    <n v="0"/>
    <n v="10"/>
    <m/>
    <n v="0"/>
    <n v="29"/>
    <n v="29"/>
    <n v="290"/>
    <d v="2026-02-01T00:00:00"/>
    <d v="2027-03-31T00:00:00"/>
    <s v="N/A"/>
    <s v="SGP-SALUD-SALUD PUBLICA (1.2.4.2.02)"/>
    <s v="1.2.4.2.02"/>
    <m/>
    <m/>
    <m/>
    <m/>
    <m/>
    <s v="N/A"/>
    <x v="14"/>
    <m/>
  </r>
  <r>
    <n v="10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Desarrollo de mecanismos para el fortalecimiento de la conducción y articulación sectorial e intersectorial, la regulación, la conformación y operación de redes integrales e integradas territoriales de servicios de salud y la rendición de cuentas conforme a las competencias establecida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Articular las acciones con el equipo de vigilancia en salud pública, así como participar en las salas de análisis de riesgo, comités de vigilancia epidemiológica, equipos de respuesta inmediata, sala situacional, unidad de analisis ESAVI, comite de expertos de EAPV, entre otras."/>
    <s v="Procesos transversales de la Gestion de la Salud Pública"/>
    <n v="4"/>
    <s v="Número"/>
    <n v="1"/>
    <n v="1"/>
    <n v="100"/>
    <n v="1"/>
    <n v="1"/>
    <n v="100"/>
    <n v="1"/>
    <m/>
    <n v="0"/>
    <n v="1"/>
    <m/>
    <n v="0"/>
    <n v="4"/>
    <n v="2"/>
    <n v="100"/>
    <d v="2026-04-01T00:00:00"/>
    <d v="2027-03-31T00:00:00"/>
    <s v="N/A"/>
    <s v="SGP-SALUD-SALUD PUBLICA (1.2.4.2.02)"/>
    <s v="1.2.4.2.02"/>
    <m/>
    <m/>
    <m/>
    <m/>
    <m/>
    <s v="N/A"/>
    <x v="14"/>
    <m/>
  </r>
  <r>
    <n v="10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Diseño e implementación de estrategias para la transversafización de los enfoques diferencial, de género y diversidad, curso de vida, salud familiar y comunitaria y_x000a_  psicosocial para pueblos y comunidad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17-Al 2031, Colombia mantendrá la implementación de los planes orientados a la erradicación de poliomielitis, eliminación de Sarampión y Rubeola, control y eliminación de eventos inmunoprevenibles, Síndrome de Rubeola Congénita, Tétanos Neonatal, Fiebre Amarilla, Difteria, Tuberculosis Meníngea, Hepatitis A, B y C, Neumococo, Haemophilus influenzae tipo B, Meningococo, diarreas por Rotavirus, Tos ferina, Parotiditis e Influenza, eliminación de la transmisión materno infantil de la hepatitis B."/>
    <s v="17-Al 2031, Colombia mantendrá la implementación de los planes orientados a la erradicación de poliomielitis, eliminación de Sarampión y Rubeola, control y eliminación de eventos inmunoprevenibles, Síndrome de Rubeola Congénita, Tétanos Neonatal, Fiebre Amarilla, Difteria, Tuberculosis Meníngea, Hepatitis A, B y C, Neumococo, Haemophilus influenzae tipo B, Meningococo, diarreas por Rotavirus, Tos ferina, Parotiditis e Influenza, eliminación de la transmisión materno infantil de la hepatitis B."/>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Programar y gerenciar las estrategias del programa ampliado de inmunizaciones PAI del Departamento (Informes ejecutivos del programa, jornadas de vacunación ESQUEMA REGULAR a las que haya lugar grarantizando el control de los bilógicos e insumos, sistema de información, formulación planes de acción, desarrollo de capacidades y seguimientos en entorno educativa ,entre otros)"/>
    <s v="Procesos transversales de la Gestion de la Salud Pública"/>
    <n v="4"/>
    <s v="Porcentaje"/>
    <n v="1"/>
    <n v="1"/>
    <n v="100"/>
    <n v="1"/>
    <n v="1"/>
    <n v="100"/>
    <n v="1"/>
    <m/>
    <n v="0"/>
    <n v="1"/>
    <m/>
    <n v="0"/>
    <n v="4"/>
    <n v="2"/>
    <n v="100"/>
    <d v="2026-04-01T00:00:00"/>
    <d v="2027-03-31T00:00:00"/>
    <s v="N/A"/>
    <s v="SGP-SALUD-SALUD PUBLICA (1.2.4.2.02)"/>
    <s v="1.2.4.2.02"/>
    <m/>
    <m/>
    <m/>
    <m/>
    <s v="Personal de Salud_x000a_"/>
    <s v="N/A"/>
    <x v="14"/>
    <m/>
  </r>
  <r>
    <n v="10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Entidades Territoriales Departamentales, Distritales y Municipales con mecanismos fortalecidos para el ejercicio de la Rectoría en Salud."/>
    <s v="Fortalecimiento de capacidades institucionales y comunitarias para el desarrollo de la APS con acciones territoizalizadas universales sistematica participativas bajo un enfoque territorial y comunitario."/>
    <s v="Fortalecimiento de capacidades institucionales y comunitarias para el desarrollo de la APS con acciones territoizalizadas universales sistematica participativas bajo un enfoque territorial y comunitario."/>
    <s v="Fortalecimiento de capacidades institucionales y comunitarias para el desarrollo de la APS con acciones territoizalizadas universales sistematica participativas bajo un enfoque territorial y comunitario."/>
    <s v="93-A 2031, se logra el 90% de tratamiento exitoso en pacientes con tuberculosis"/>
    <s v="93-A 2031, se logra el 90% de tratamiento exitoso en pacientes con tuberculosis"/>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Cuidado de la salud en el territorio"/>
    <s v="Educacion en salud a los pacientes privados de la libertad (carceles y estacion de policia) sobre Identificación de signos y síntomas de tuberculosis.Realizar busqueda activa de sintomaticos respiratorios y su canalizacion respectiva para diagnostico oportuno"/>
    <s v="PIC(Anexo técnico)"/>
    <n v="29"/>
    <s v="Número"/>
    <n v="0"/>
    <n v="0"/>
    <e v="#DIV/0!"/>
    <n v="10"/>
    <n v="1"/>
    <n v="10"/>
    <n v="10"/>
    <m/>
    <n v="0"/>
    <n v="9"/>
    <m/>
    <n v="0"/>
    <n v="29"/>
    <n v="1"/>
    <n v="10"/>
    <d v="2026-02-01T00:00:00"/>
    <d v="2027-03-31T00:00:00"/>
    <s v="N/A"/>
    <s v="SGP-SALUD-SALUD PUBLICA (1.2.4.2.02)"/>
    <s v="1.2.4.2.02"/>
    <n v="100000000"/>
    <n v="100000000"/>
    <n v="100000000"/>
    <n v="0"/>
    <s v="Personal de Salud_x000a_"/>
    <s v="N/A"/>
    <x v="15"/>
    <m/>
  </r>
  <r>
    <n v="10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con mecanismos fortalecidos para el ejercicio de la Rectoría en Salud."/>
    <s v="Análisis de la información que permita la comprensión de las situaciones de salud de la poblacion y sus determinantes sociales a nivel territorial"/>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ublica"/>
    <s v="Mè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Desarrollo institucional y sectorial para el ejercicio de la autoridad sanitaria"/>
    <s v="Desarrollo de capacidades al Talento Humano del SGSSS en tuberculosis en los temas de gestión, diagnostico, sistema de información, análisis y seguimiento de indicadores y prevención y manejo de la coinfeccion TB/VIH y manejo programático de TB-MDR y socializacion del plan estrategico a los actores del sistema"/>
    <s v="Procesos transversales de la Gestion de la Salud Pública"/>
    <n v="1"/>
    <s v="Número"/>
    <n v="0"/>
    <n v="0"/>
    <e v="#DIV/0!"/>
    <n v="0"/>
    <n v="0"/>
    <e v="#DIV/0!"/>
    <n v="1"/>
    <m/>
    <n v="0"/>
    <n v="0"/>
    <m/>
    <e v="#DIV/0!"/>
    <n v="1"/>
    <n v="0"/>
    <e v="#DIV/0!"/>
    <d v="2026-02-01T00:00:00"/>
    <d v="2027-03-31T00:00:00"/>
    <s v="N/A"/>
    <s v="SGP-SALUD-SALUD PUBLICA (1.2.4.2.02)"/>
    <s v="1.2.4.2.02"/>
    <n v="30000000"/>
    <n v="30000000"/>
    <n v="30000000"/>
    <n v="0"/>
    <s v="Personal de Salud_x000a_"/>
    <s v="N/A"/>
    <x v="15"/>
    <m/>
  </r>
  <r>
    <n v="10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ública"/>
    <s v="Mé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Cuidado de la salud en el territorio  "/>
    <s v="Educación en salud de TB para la promoción y la gestión del riesgo y la transformación positiva de los diferentes entornos (hogar, comunitario) de los pacientes, ex-pacientes, sus familias"/>
    <s v="PIC(Anexo técnico)"/>
    <n v="29"/>
    <s v="Número"/>
    <n v="0"/>
    <n v="0"/>
    <e v="#DIV/0!"/>
    <n v="11"/>
    <n v="0"/>
    <n v="0"/>
    <n v="10"/>
    <m/>
    <n v="0"/>
    <n v="8"/>
    <m/>
    <n v="0"/>
    <n v="29"/>
    <n v="0"/>
    <n v="0"/>
    <d v="2026-02-01T00:00:00"/>
    <d v="2027-03-31T00:00:00"/>
    <s v="N/A"/>
    <s v="SGP-SALUD-SALUD PUBLICA (1.2.4.2.02)"/>
    <s v="1.2.4.2.02"/>
    <n v="100000000"/>
    <n v="100000000"/>
    <n v="100000000"/>
    <n v="0"/>
    <s v="Personal de Salud_x000a_"/>
    <s v="N/A"/>
    <x v="15"/>
    <m/>
  </r>
  <r>
    <n v="10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ersonal de salud"/>
    <s v="iii) Trabajo digno y decente para el talento humano en salud y otros trabajadores del sector"/>
    <s v="Entidades Territoriales Departamentales, Distritales y Municipales con mecanismos fortalecidos para el ejercicio de la Rectoría en Salud."/>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4-A 2031, se logra reducir el 50% la tasa de mortalidad por 100mil habitantes, causada por la tuberculosis en Colombia."/>
    <s v="94-A 2031, se logra reducir el 50% la tasa de mortalidad por 100mil habitantes, causada por la tuberculosis en Colombia."/>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Desarrollo institucional y sectorial para el ejercicio de la autoridad sanitaria"/>
    <s v="Realizar un plan de asistencia tecnica a los diferentes actores del sistema de los 29 Municipios en el programa de tuberculosis y Apoyar la adopcion del Plan Estrategico post 2015 facia el fin el la Tuberculosis. PLAN ESTRATEGICO 2025"/>
    <s v="Procesos transversales de la Gestion de la Salud Pública"/>
    <n v="29"/>
    <s v="Número"/>
    <n v="0"/>
    <n v="0"/>
    <e v="#DIV/0!"/>
    <n v="10"/>
    <n v="10"/>
    <n v="100"/>
    <n v="10"/>
    <m/>
    <n v="0"/>
    <n v="9"/>
    <m/>
    <n v="0"/>
    <n v="29"/>
    <n v="10"/>
    <n v="100"/>
    <d v="2026-01-04T00:00:00"/>
    <d v="2027-03-31T00:00:00"/>
    <s v="N/A"/>
    <s v="SGP-SALUD-SALUD PUBLICA (1.2.4.2.02)"/>
    <s v="1.2.4.2.02"/>
    <n v="126000000"/>
    <n v="126000000"/>
    <n v="126000000"/>
    <n v="0"/>
    <s v="Personal de Salud_x000a_"/>
    <s v="N/A"/>
    <x v="15"/>
    <m/>
  </r>
  <r>
    <n v="10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Capacidades fortalecidas para la gestión del conocimiento en salud pública"/>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Desarrollo institucional y sectorial para el ejercicio de la autoridad sanitaria"/>
    <s v="Realizar investigacion operativa de acuerdo a lineamiento de la red de investigacion nacional en tuberculosis resolucion 227 de 2020."/>
    <s v="Procesos transversales de la Gestion de la Salud Pública"/>
    <n v="1"/>
    <s v="Número"/>
    <n v="0"/>
    <n v="0"/>
    <e v="#DIV/0!"/>
    <n v="0"/>
    <n v="0"/>
    <e v="#DIV/0!"/>
    <n v="1"/>
    <m/>
    <n v="0"/>
    <n v="0"/>
    <m/>
    <e v="#DIV/0!"/>
    <n v="1"/>
    <n v="0"/>
    <e v="#DIV/0!"/>
    <d v="2026-04-01T00:00:00"/>
    <d v="2027-03-31T00:00:00"/>
    <s v="N/A"/>
    <s v="SGP-SALUD-SALUD PUBLICA (1.2.4.2.02)"/>
    <s v="1.2.4.2.02"/>
    <n v="18000000"/>
    <n v="18000000"/>
    <n v="18000000"/>
    <n v="0"/>
    <s v="Familias, colectivos y comunidades"/>
    <s v="N/A"/>
    <x v="15"/>
    <m/>
  </r>
  <r>
    <n v="10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
    <s v="Fomentar la inversión en investigación, desarrollo innovaciòn y produccion local de TES"/>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departamental, municipal  han  desarrollado procesos de ajuste institucional para el fortalecimiento de las capacidades de las autoridades sanitarias y apropiacion territorial del modelo de salud basado en la APS"/>
    <s v="94-A 2031, se logra reducir el 50% la tasa de mortalidad por 100mil habitantes, causada por la tuberculosis en Colombia."/>
    <s v="94-A 2031, se logra reducir el 50% la tasa de mortalidad por 100mil habitantes, causada por la tuberculosis en Colombia."/>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Desarrollo institucional y sectorial para el ejercicio de la autoridad sanitaria"/>
    <s v="Adquisicion de insumos de laboratorios para apoyo de la red "/>
    <s v="Procesos transversales de la Gestion de la Salud Pública"/>
    <n v="1"/>
    <s v="Número"/>
    <n v="0"/>
    <n v="0"/>
    <e v="#DIV/0!"/>
    <n v="0"/>
    <n v="0"/>
    <e v="#DIV/0!"/>
    <n v="1"/>
    <m/>
    <n v="0"/>
    <n v="0"/>
    <m/>
    <e v="#DIV/0!"/>
    <n v="1"/>
    <n v="0"/>
    <e v="#DIV/0!"/>
    <d v="2026-04-01T00:00:00"/>
    <d v="2027-03-31T00:00:00"/>
    <s v="N/A"/>
    <s v="SGP-SALUD-SALUD PUBLICA (1.2.4.2.02)"/>
    <s v="1.2.4.2.02"/>
    <n v="18000000"/>
    <n v="18000000"/>
    <n v="18000000"/>
    <n v="0"/>
    <s v="Personal de Salud_x000a_"/>
    <s v="N/A"/>
    <x v="15"/>
    <m/>
  </r>
  <r>
    <n v="11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Capacidades fortalecidas para la gestión del conocimiento en salud pública"/>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Desarrollo institucional y sectorial para el ejercicio de la autoridad sanitaria"/>
    <s v="Realizar investigacion operativa de acuerdo a lineamiento de la red de investigacion nacional en tuberculosis resolucion 227 de 2020."/>
    <s v="Procesos transversales de la Gestion de la Salud Pública"/>
    <n v="1"/>
    <s v="Número"/>
    <n v="0"/>
    <n v="0"/>
    <e v="#DIV/0!"/>
    <n v="0"/>
    <m/>
    <e v="#DIV/0!"/>
    <n v="1"/>
    <m/>
    <n v="0"/>
    <n v="0"/>
    <m/>
    <e v="#DIV/0!"/>
    <n v="1"/>
    <n v="0"/>
    <e v="#DIV/0!"/>
    <d v="2026-04-01T00:00:00"/>
    <d v="2027-03-31T00:00:00"/>
    <s v="N/A"/>
    <s v="SGP-SALUD-SALUD PUBLICA (1.2.4.2.02)"/>
    <s v="1.2.4.2.02"/>
    <n v="20000000"/>
    <n v="20000000"/>
    <n v="20000000"/>
    <n v="0"/>
    <s v="Familias, colectivos y comunidades"/>
    <s v="N/A"/>
    <x v="15"/>
    <m/>
  </r>
  <r>
    <n v="11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Entidades Territoriales Departamentales, Distritales y Municipales con mecanismos fortalecidos para el ejercicio de la Rectoría en Salud."/>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Cuidado de la salud en el territorio"/>
    <s v="Fortalecer acciones de protección en infancia: rastreo de contactos en niños expuestos a casos de TB bacilífera para asegurar profilaxis según lineamiento nacional, educación a familias de los niños intervenidos en ESE municipales – EPS"/>
    <s v="PIC(Anexo técnico)"/>
    <n v="29"/>
    <s v="Número"/>
    <n v="0"/>
    <n v="0"/>
    <e v="#DIV/0!"/>
    <n v="10"/>
    <n v="0"/>
    <n v="0"/>
    <n v="10"/>
    <m/>
    <n v="0"/>
    <n v="9"/>
    <m/>
    <n v="0"/>
    <n v="29"/>
    <n v="0"/>
    <n v="0"/>
    <d v="2026-02-01T00:00:00"/>
    <d v="2027-03-31T00:00:00"/>
    <s v="N/A"/>
    <s v="SGP-SALUD-SALUD PUBLICA (1.2.4.2.02)"/>
    <s v="1.2.4.2.02"/>
    <n v="100000000"/>
    <n v="100000000"/>
    <n v="100000000"/>
    <n v="0"/>
    <s v="Personal de Salud_x000a_"/>
    <s v="N/A"/>
    <x v="15"/>
    <m/>
  </r>
  <r>
    <n v="11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Fortalecimiento de capacidades institucionales y comunitarias para el desarrollo de la APS con acciones territorializadas, universales, sistemáticas, permanentes y participativas bajo un enfoque familiar y comunitario."/>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A 2031, reducir en 50% la tasa de mortalidad por EDA en menores de 5 años"/>
    <s v="9-A 2031, reducir en 50% la tasa de mortalidad por EDA en menores de 5 años"/>
    <s v="Salud Pública"/>
    <s v="Medico en tu casa"/>
    <s v="Fortalecimiento de Estrategias para la Promoción de la Salud y Prevención de Enfermedades en Comunidades, mediante acciones Integrales, Participativas y Sostenibles en el Departamento del Magdalena."/>
    <s v="Realizar seguimiento a la implementación del programa nacional de prevención, manejo y control de IRA en las 33 ESE del departamento"/>
    <s v="Cuidado de la salud en el territorio"/>
    <s v="Desarrollar un proceso de fortalecimiento de capacidades dirigido a líderes comunitarios, representantes de instituciones educativas, madres y líderes de hogares del ICBF de los ámbitos urbano y rural de los municipios. Este proceso se llevará a cabo en las unidades comunitarias UROC-UAIRAC (Unidades de Rehidratación Oral Comunitaria y Unidades de Atención Integral a las Infecciones Respiratorias Agudas), e incluirá las 18 prácticas clave del AIEPI Comunitario, con el fin de facilitar su implementación, funcionamiento y los procesos de referencia y contrarreferencia en el entorno comunitario."/>
    <s v="PIC(Anexo técnico)"/>
    <n v="29"/>
    <s v="Número"/>
    <n v="0"/>
    <n v="0"/>
    <e v="#DIV/0!"/>
    <n v="9"/>
    <m/>
    <n v="0"/>
    <n v="10"/>
    <m/>
    <n v="0"/>
    <n v="10"/>
    <m/>
    <n v="0"/>
    <n v="29"/>
    <n v="0"/>
    <e v="#DIV/0!"/>
    <d v="2026-04-01T00:00:00"/>
    <d v="2027-03-31T00:00:00"/>
    <s v="N/A"/>
    <s v="SGP-SALUD-SALUD PUBLICA (1.2.4.2.02)"/>
    <s v="1.2.4.2.02"/>
    <n v="200000000"/>
    <n v="200000000"/>
    <n v="200000000"/>
    <n v="0"/>
    <s v="Personal de Salud_x000a_"/>
    <s v="N/A"/>
    <x v="16"/>
    <m/>
  </r>
  <r>
    <n v="11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Gestión territorial para el cuidado de la salud basado en la atención primaria en salud."/>
    <s v="A 2031 el 100% de las Entidades Territoriales del orden departamental, dlstrl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7-A 2031 departamentos y distritos con población en riesgo, logran alcanzar y mantener las coberturas anuales de desparasitación antihelmíntica iguales o superiores al 75%, en niños elegibles en edad preescolar y escolar."/>
    <s v="77-A 2031 departamentos y distritos con población en riesgo, logran alcanzar y mantener las coberturas anuales de desparasitación antihelmíntica iguales o superiores al 75%, en niños elegibles en edad preescolar y escolar."/>
    <s v="Salud Pública"/>
    <s v="Me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Realizar jornadas de desparasitación antihelmíntica, acompañadas de actividades de educación en salud en los entornos comunitario y escolar, dirigidas a niñas, niños y adolescentes de 1 a 14 años. Estas acciones estarán enfocadas en sensibilizar sobre la importancia de la desparasitación antihelmíntica en los 29 municipios del Departamento del Magdalena."/>
    <s v="PIC(Anexo técnico)"/>
    <n v="58"/>
    <s v="Número"/>
    <n v="0"/>
    <n v="0"/>
    <e v="#DIV/0!"/>
    <n v="29"/>
    <n v="0"/>
    <n v="0"/>
    <n v="29"/>
    <m/>
    <n v="0"/>
    <n v="29"/>
    <m/>
    <n v="0"/>
    <n v="58"/>
    <n v="0"/>
    <n v="0"/>
    <d v="2026-04-01T00:00:00"/>
    <d v="2027-03-31T00:00:00"/>
    <s v="N/A"/>
    <s v="SGP-SALUD-SALUD PUBLICA (1.2.4.2.02)"/>
    <s v="1.2.4.2.02"/>
    <n v="100000000"/>
    <n v="100000000"/>
    <n v="100000000"/>
    <n v="0"/>
    <s v="Personal de Salud_x000a_"/>
    <s v="N/A"/>
    <x v="16"/>
    <m/>
  </r>
  <r>
    <n v="11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Gestión territorial para el cuidado de la salud basado_x000a_en la atención primaria en salud."/>
    <s v="A 2031 el 100% de las Entidades Territoriales del orden departamental, dlstrl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7-A 2031 departamentos y distritos con población en riesgo, logran alcanzar y mantener las coberturas anuales de desparasitación antihelmíntica iguales o superiores al 75%, en niños elegibles en edad preescolar y escolar."/>
    <s v="77-A 2031 departamentos y distritos con población en riesgo, logran alcanzar y mantener las coberturas anuales de desparasitación antihelmíntica iguales o superiores al 75%, en niños elegibles en edad preescolar y escolar."/>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Realizar jornadas de desparasitación antihelmíntica, acompañado de Educacion en salud en la población etnica (indígena) en todos los entornos, a niños(as) y adolescentes de 1 a 14 años, sobre la importancia de la desparasitación antihelmíntica en los municipios de Aracataca, Ciénaga, Fundación y Sabanas de San Angel."/>
    <s v="PIC(Anexo técnico)"/>
    <n v="4"/>
    <s v="Número"/>
    <n v="0"/>
    <n v="0"/>
    <n v="0"/>
    <m/>
    <m/>
    <e v="#DIV/0!"/>
    <n v="1"/>
    <m/>
    <n v="0"/>
    <m/>
    <m/>
    <e v="#DIV/0!"/>
    <n v="4"/>
    <n v="0"/>
    <e v="#DIV/0!"/>
    <d v="2026-04-01T00:00:00"/>
    <d v="2027-03-31T00:00:00"/>
    <s v="N/A"/>
    <s v="SGP-SALUD-SALUD PUBLICA (1.2.4.2.02)"/>
    <s v="1.2.4.2.02"/>
    <n v="80000000"/>
    <n v="80000000"/>
    <n v="80000000"/>
    <n v="0"/>
    <s v="Personal de Salud_x000a_"/>
    <s v="N/A"/>
    <x v="16"/>
    <m/>
  </r>
  <r>
    <n v="11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Capacidades fortalecidas para la gestión del conocimiento en salud pública"/>
    <s v="Fortalecimiento de capacidades a nivel nacional y territorial_x000a_para la vigilancia en salud pública, el fortalecimiento de los_x000a_laboratorios de salud pública, la inspección, vigilancia y control_x000a_sanitarios y la garantía de insumos de interés en salud pública_x000a_reconociendo los avances y logros de los pueblos y_x000a_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14-A 2031, disminuir 20% la prevalencia por retraso en talla en menores de 5 años."/>
    <s v="14-A 2031, disminuir 20% la prevalencia por retraso en talla en menores de 5 añ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Desarrollar un fortalecimiento de capacidades certificado para la adecuada aplicación de la Escala Abreviada de Desarrollo-3 (EAD-3), cuestionarios e instrumentos de la Ruta para la Promocion y Mantenimiento de la salud mediante una actividad de entrenamiento, dirigido al Talento Humano en Salud de las ESE e IPS de los 29 municipios del Departamento del Magdalena."/>
    <s v="Procesos transversales de la Gestion de la Salud Pública"/>
    <n v="1"/>
    <s v="Número"/>
    <n v="0"/>
    <n v="0"/>
    <e v="#DIV/0!"/>
    <n v="0"/>
    <m/>
    <e v="#DIV/0!"/>
    <n v="1"/>
    <m/>
    <n v="0"/>
    <n v="0"/>
    <m/>
    <e v="#DIV/0!"/>
    <n v="1"/>
    <n v="0"/>
    <e v="#DIV/0!"/>
    <d v="2026-04-01T00:00:00"/>
    <d v="2027-03-31T00:00:00"/>
    <s v="N/A"/>
    <s v="SGP-SALUD-SALUD PUBLICA (1.2.4.2.02)"/>
    <s v="1.2.4.2.02"/>
    <n v="20000000"/>
    <n v="20000000"/>
    <n v="20000000"/>
    <n v="0"/>
    <s v="Primera infancia, Infancia "/>
    <s v="N/A"/>
    <x v="16"/>
    <m/>
  </r>
  <r>
    <n v="11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Capacidades fortalecidas para la gestión del conocimiento en salud pública"/>
    <s v="Implementación de mecanismos para l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A 2031, reducir a 15,3 por mil nacidos vivos la tasa de mortalidad infantil"/>
    <s v="5-A 2031, reducir a 15,3 por mil nacidos vivos la tasa de mortalidad infantil"/>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Desarrollo de un taller teórico práctico en AIEPI clinico, dirigido al Talento Humano en Salud de las ESE e IPS de los 29 municipios del Departamento del Magdalena."/>
    <s v="Procesos transversales de la Gestion de la Salud Pública"/>
    <n v="1"/>
    <s v="Número"/>
    <m/>
    <m/>
    <e v="#DIV/0!"/>
    <n v="0"/>
    <m/>
    <e v="#DIV/0!"/>
    <n v="1"/>
    <m/>
    <n v="0"/>
    <n v="0"/>
    <m/>
    <e v="#DIV/0!"/>
    <n v="1"/>
    <n v="0"/>
    <n v="0"/>
    <d v="2026-04-01T00:00:00"/>
    <d v="2027-03-31T00:00:00"/>
    <s v="N/A"/>
    <s v="SGP-SALUD-SALUD PUBLICA (1.2.4.2.02)"/>
    <s v="1.2.4.2.02"/>
    <n v="50000000"/>
    <n v="50000000"/>
    <n v="50000000"/>
    <n v="0"/>
    <s v="Familias, colectivos y comunidades;"/>
    <s v="N/A"/>
    <x v="16"/>
    <m/>
  </r>
  <r>
    <n v="11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coordinación y gestión de la operación de las redes integrales e integradas territoriales de salud en el marco de un modelo preventivo, predictivo y resolutivo basado en la AP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7-A 2031 departamentos y distritos con población en riesgo, logran alcanzar y mantener las coberturas anuales de desparasitación antihelmíntica iguales o superiores al 75%, en niños elegibles en edad preescolar y escolar."/>
    <s v="77-A 2031 departamentos y distritos con población en riesgo, logran alcanzar y mantener las coberturas anuales de desparasitación antihelmíntica iguales o superiores al 75%, en niños elegibles en edad preescolar y escolar."/>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asistencia tecnica en la estrategia de desparasitacion antihelmintica (Lineamientos desparasitacion antihelmintica quimioterapia preventiva), en los 29 Municipios"/>
    <s v="Procesos transversales de la Gestion de la Salud Pública"/>
    <n v="4"/>
    <s v="Número"/>
    <n v="0"/>
    <n v="0"/>
    <e v="#DIV/0!"/>
    <n v="1"/>
    <m/>
    <n v="0"/>
    <n v="1"/>
    <m/>
    <n v="0"/>
    <n v="2"/>
    <m/>
    <n v="0"/>
    <n v="4"/>
    <n v="0"/>
    <e v="#DIV/0!"/>
    <d v="2026-04-01T00:00:00"/>
    <d v="2027-03-31T00:00:00"/>
    <s v="N/A"/>
    <s v="SGP-SALUD-SALUD PUBLICA (1.2.4.2.02)"/>
    <s v="1.2.4.2.02"/>
    <m/>
    <m/>
    <m/>
    <m/>
    <s v="Primera infancia, Infancia y adolescencia"/>
    <s v="N/A"/>
    <x v="16"/>
    <m/>
  </r>
  <r>
    <n v="11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Capacidades fortalecidas para la gestión del conocimiento en salud pública  "/>
    <s v="coordinación y gestión de la operación de las redes integrales e integradas territoriales de salud en el marco de un modelo preventivo, predictivo y resolutivo basado en la APS. "/>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2-A 2031, reducir a 13,5 por cada 1.000 nacidos vivos la tasa de mortalidad perinatal"/>
    <s v="2-A 2031, reducir a 13,5 por cada 1.000 nacidos vivos la tasa de mortalidad perinatal"/>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
    <s v="Desarrollo institucional y sectorial para el ejercicio de la autoridad sanitaria "/>
    <s v="Desarrollo de capacidades teórico práctico al Talento Humano en Salud de las ESE e IPS de los 29 mumicipios del Departamento del Magdalena en Reanimación Neonatal Básica-Programa de Resucitación Neonatal (PRN)."/>
    <s v="Procesos transversales de la Gestion de la Salud Pública"/>
    <n v="1"/>
    <s v="Número"/>
    <n v="0"/>
    <n v="0"/>
    <e v="#DIV/0!"/>
    <n v="0"/>
    <m/>
    <e v="#DIV/0!"/>
    <n v="1"/>
    <m/>
    <n v="0"/>
    <n v="0"/>
    <m/>
    <e v="#DIV/0!"/>
    <n v="1"/>
    <n v="0"/>
    <e v="#DIV/0!"/>
    <d v="2026-04-01T00:00:00"/>
    <d v="2027-03-31T00:00:00"/>
    <s v="N/A"/>
    <s v="SGP-SALUD-SALUD PUBLICA (1.2.4.2.02)"/>
    <s v="1.2.4.2.02"/>
    <n v="20000000"/>
    <n v="20000000"/>
    <n v="20000000"/>
    <n v="0"/>
    <s v="Indigenas"/>
    <s v="N/A"/>
    <x v="17"/>
    <m/>
  </r>
  <r>
    <n v="11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Gestión territorial para el cuidado de la salud basado en la atención primaria en salud."/>
    <s v="A 2031 el 100% de las Entidades Territoriales del orden departamental, dlstrl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 No relación"/>
    <s v="Salud Pública"/>
    <s v="Me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Educacion en salud a familias en el uso adecuado de antimicrobianos y el correcto lavado de manos"/>
    <s v="PIC(Anexo técnico)"/>
    <n v="29"/>
    <s v="Número"/>
    <n v="0"/>
    <n v="0"/>
    <e v="#DIV/0!"/>
    <n v="10"/>
    <m/>
    <n v="0"/>
    <n v="10"/>
    <m/>
    <n v="0"/>
    <n v="9"/>
    <m/>
    <n v="0"/>
    <n v="29"/>
    <n v="0"/>
    <e v="#DIV/0!"/>
    <d v="2026-04-01T00:00:00"/>
    <d v="2027-03-31T00:00:00"/>
    <s v="N/A"/>
    <s v="SGP-SALUD-SALUD PUBLICA (1.2.4.2.02)"/>
    <s v="1.2.4.2.02"/>
    <n v="50000000"/>
    <n v="50000000"/>
    <n v="50000000"/>
    <n v="0"/>
    <s v="Personal de Salud_x000a_"/>
    <s v="N/A"/>
    <x v="16"/>
    <m/>
  </r>
  <r>
    <n v="12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e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Busqueda activa permanente mediante la Revisión Clinica de los convivientes de pacientes y expacientes de hansen, para la detecciön temprana, canalizacion a la IPS para diagnostico precoz, notificacion , registro y seguimiento, en el ambito urbano y rural de los 29 Municipios del magdalena."/>
    <s v="PIC(Anexo técnico)"/>
    <n v="29"/>
    <s v="Número"/>
    <n v="0"/>
    <n v="0"/>
    <e v="#DIV/0!"/>
    <n v="10"/>
    <m/>
    <n v="0"/>
    <n v="10"/>
    <m/>
    <n v="0"/>
    <n v="9"/>
    <m/>
    <n v="0"/>
    <n v="29"/>
    <n v="0"/>
    <e v="#DIV/0!"/>
    <d v="2026-04-01T00:00:00"/>
    <d v="2027-03-31T00:00:00"/>
    <s v="N/A"/>
    <s v="SGP-SALUD-SALUD PUBLICA (1.2.4.2.02)"/>
    <s v="1.2.4.2.02"/>
    <n v="120000000"/>
    <n v="120000000"/>
    <n v="120000000"/>
    <n v="0"/>
    <s v="Personal de Salud_x000a_"/>
    <s v="N/A"/>
    <x v="16"/>
    <m/>
  </r>
  <r>
    <n v="12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e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Apoyar el encuentro municipal de pacientes y expacientes de Enfermedad de Hansen para actividades eduactivas, de prevención y rehabilitacion basada en comunidad en los 29 municipios del departamento del Magdalena. (En los municipios donde no hay pacientes ni expacientes realizar actividad en poblacion del entorno comunitario)"/>
    <s v="PIC(Anexo técnico)"/>
    <n v="29"/>
    <s v="Número"/>
    <n v="0"/>
    <n v="0"/>
    <e v="#DIV/0!"/>
    <n v="0"/>
    <m/>
    <e v="#DIV/0!"/>
    <n v="0"/>
    <m/>
    <e v="#DIV/0!"/>
    <n v="29"/>
    <m/>
    <n v="0"/>
    <n v="29"/>
    <n v="0"/>
    <e v="#DIV/0!"/>
    <d v="2026-02-01T00:00:00"/>
    <d v="2027-03-31T00:00:00"/>
    <s v="N/A"/>
    <s v="SGP-SALUD-SALUD PUBLICA (1.2.4.2.02)"/>
    <s v="1.2.4.2.02"/>
    <n v="9239653"/>
    <n v="9239653"/>
    <n v="9239653"/>
    <n v="0"/>
    <m/>
    <s v="N/A"/>
    <x v="16"/>
    <m/>
  </r>
  <r>
    <n v="12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e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Apoyar el encuentro municipal de pacientes y expacientes de Enfermedad de Hansen para actividades eduactivas, de prevención y rehabilitacion basada en comunidad en los 29 municipios del departamento del Magdalena. (En los municipios donde no hay pacientes ni expacientes realizar actividad en poblacion del entorno comunitario)"/>
    <s v="PIC(Anexo técnico)"/>
    <n v="29"/>
    <s v="Número"/>
    <n v="0"/>
    <n v="0"/>
    <e v="#DIV/0!"/>
    <n v="0"/>
    <m/>
    <e v="#DIV/0!"/>
    <n v="0"/>
    <m/>
    <e v="#DIV/0!"/>
    <n v="29"/>
    <m/>
    <n v="0"/>
    <n v="29"/>
    <n v="0"/>
    <e v="#DIV/0!"/>
    <d v="2026-04-01T00:00:00"/>
    <d v="2027-03-31T00:00:00"/>
    <s v="N/A"/>
    <s v="SGP-SALUD-SALUD PUBLICA (1.2.4.2.02)"/>
    <s v="1.2.4.2.02"/>
    <n v="92000000"/>
    <n v="92000000"/>
    <n v="92000000"/>
    <n v="0"/>
    <s v="Personal de Salud_x000a_"/>
    <s v="N/A"/>
    <x v="16"/>
    <m/>
  </r>
  <r>
    <n v="12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con mecanismos fortalecidos para el ejercicio de la Rectoría en Salud."/>
    <s v="Análisis de la información que permita la comprensión de las situaciones de salud de la poblacion y sus determinantes sociales a nivel territorial"/>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è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Desarrollo institucional y sectorial para el ejercicio de la autoridad sanitaria"/>
    <s v="Desarrollar capacidades en el entorno institucional al talento humano de la DTS en temas como: gestión, Dx, sistema de información, analisis y seguimiento de indicadores en la prevencion y control de la enfermedad de hansen"/>
    <s v="Procesos transversales de la Gestion de la Salud Pública"/>
    <n v="1"/>
    <s v="Número"/>
    <n v="0"/>
    <n v="0"/>
    <e v="#DIV/0!"/>
    <n v="0"/>
    <m/>
    <e v="#DIV/0!"/>
    <n v="0"/>
    <m/>
    <e v="#DIV/0!"/>
    <n v="1"/>
    <m/>
    <n v="0"/>
    <n v="1"/>
    <n v="0"/>
    <e v="#DIV/0!"/>
    <d v="2026-04-01T00:00:00"/>
    <d v="2027-03-31T00:00:00"/>
    <s v="N/A"/>
    <s v="SGP-SALUD-SALUD PUBLICA (1.2.4.2.02)"/>
    <s v="1.2.4.2.02"/>
    <n v="9239653"/>
    <n v="9239653"/>
    <n v="9239653"/>
    <n v="0"/>
    <s v="Familias, colectivos y comunidades;"/>
    <s v="N/A"/>
    <x v="16"/>
    <m/>
  </r>
  <r>
    <n v="12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con mecanismos fortalecidos para el ejercicio de la Rectoría en Salud."/>
    <s v="Análisis de la información que permita la comprensión de las situaciones de salud de la poblacion y sus determinantes sociales a nivel territorial"/>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è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Desarrollo institucional y sectorial para el ejercicio de la autoridad sanitaria"/>
    <s v="Desarrollar capacidades en el entorno institucional al talento humano de la DTS en temas como: gestión, Dx, sistema de información, analisis y seguimiento de indicadores en la prevencion y control de la enfermedad de hansen"/>
    <s v="Procesos transversales de la Gestion de la Salud Pública"/>
    <n v="1"/>
    <s v="Número"/>
    <n v="0"/>
    <n v="0"/>
    <e v="#DIV/0!"/>
    <n v="0"/>
    <m/>
    <e v="#DIV/0!"/>
    <n v="0"/>
    <m/>
    <e v="#DIV/0!"/>
    <n v="1"/>
    <m/>
    <n v="0"/>
    <n v="1"/>
    <n v="0"/>
    <e v="#DIV/0!"/>
    <d v="2026-04-01T00:00:00"/>
    <d v="2027-03-31T00:00:00"/>
    <s v="N/A"/>
    <s v="SGP-SALUD-SALUD PUBLICA (1.2.4.2.02)"/>
    <s v="1.2.4.2.02"/>
    <n v="15000000"/>
    <n v="15000000"/>
    <n v="15000000"/>
    <n v="0"/>
    <s v="Familias, colectivos y comunidades"/>
    <s v="N/A"/>
    <x v="18"/>
    <m/>
  </r>
  <r>
    <n v="12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ersonal de salud"/>
    <s v="iii) Trabajo digno y decente para el talento humano en salud y otros trabajadores del sector"/>
    <s v="Entidades Territoriales Departamentales, Distritales y Municipales con mecanismos fortalecidos para el ejercicio de la Rectoría en Salud."/>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
    <s v="A 2031 el 100% de las Entidades Territoriales del orden departamental, distrital y municipal desarrollan mecanismos para el fortalecimiento de la rectoría en salud en su territorio, conforme a las competencias establecidas.  "/>
    <s v="A 2027 el 100% de las Entidades Territoriales del orden municipal desarrollan mecanismos para el fortalecimiento de la rectoría en salud en su territorio, conforme a las competencias establecidas.  "/>
    <s v="82-A 2031, se logra disminuir en un 50% la tasa de discapacidad grado severo en las personas con diagnóstico nuevo de lepra."/>
    <s v="82-A 2031, se logra disminuir en un 50% la tasa de discapacidad grado severo en las personas con diagnóstico nuevo de lepra."/>
    <s v="Salud Pública"/>
    <s v="Médico en tu casa"/>
    <s v="Fortalecimiento de Estrategias para la Promoción de la Salud y Prevención de Enfermedades en Comunidades, mediante acciones Integrales, Participativas y Sostenibles en el Departamento del Magdalena."/>
    <s v="Evitar que la tasa de la de incidencia de la enfermedad de hansen este por encima del 1,39%."/>
    <s v="Desarrollo institucional y sectorial para el ejercicio de la autoridad sanitaria"/>
    <s v="Realizar un plan de  asistencia tecnica a los diferentes actores del entorno institucional de los 29 Municipios en el programa de lepra y Apoyar la formulacion del plan Magdalena libre de Hansen"/>
    <s v="Procesos transversales de la Gestion de la Salud Pública"/>
    <n v="100"/>
    <s v="Porcentaje"/>
    <n v="25"/>
    <n v="0"/>
    <n v="0"/>
    <n v="25"/>
    <n v="0"/>
    <n v="0"/>
    <n v="25"/>
    <m/>
    <n v="0"/>
    <n v="25"/>
    <m/>
    <n v="0"/>
    <n v="100"/>
    <n v="0"/>
    <n v="0"/>
    <d v="2026-04-01T00:00:00"/>
    <d v="2027-03-31T00:00:00"/>
    <s v="N/A"/>
    <s v="SGP-SALUD-SALUD PUBLICA (1.2.4.2.02)"/>
    <s v="1.2.4.2.02"/>
    <n v="58261013"/>
    <n v="58261013"/>
    <n v="58261013"/>
    <n v="0"/>
    <s v="Familias, colectivos y comunidades"/>
    <s v="N/A"/>
    <x v="18"/>
    <m/>
  </r>
  <r>
    <n v="12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Entidades Territoriales Departamentales, Distritales y Municipales fortalecidas como autoridad sanitaria local para la Gobernanza en Salud Pública.  "/>
    <s v="Gestio territorial para el cuidado de la salud basado en la atencion primaria en salud."/>
    <s v="Evitar que la tasa de incidencia de la enfermedad de hansen este por encima del 1,39%."/>
    <s v="Evitar que la tasa de incidencia de la enfermedad de hansen este por encima del 1,39%."/>
    <s v="Evitar que la tasa de incidencia de la enfermedad de hansen este por encima del 1,39%."/>
    <s v="Evitar que la tasa de incidencia de la enfermedad de hansen este por encima del 1,39%."/>
    <s v="Salud Pública"/>
    <s v="Médico en tu casa"/>
    <s v="Fortalecimiento de Estrategias para la Promoción de la Salud y Prevención de Enfermedades en Comunidades, mediante acciones Integrales, Participativas y Sostenibles en el Departamento del Magdalena."/>
    <s v="Evitar que la tasa de la de incidencia de la enfermedad de hansen este por encima del 1,39%."/>
    <s v="Cuidado de la salud en el territorio  "/>
    <s v="educacion en salud en el entorno educativo de los ambitos rural y urbano de los territorios priorizados dirigido a jovener de 9,10 y 11 en deteccion y prevencion de la enfermedad, prevencion del estigma y discriminacion de hansen de los 29 municipios del departamento del magdalena."/>
    <s v="PIC(Anexo técnico)"/>
    <n v="29"/>
    <s v="Número"/>
    <n v="0"/>
    <n v="0"/>
    <e v="#DIV/0!"/>
    <n v="10"/>
    <m/>
    <n v="0"/>
    <n v="10"/>
    <m/>
    <n v="0"/>
    <n v="9"/>
    <m/>
    <n v="0"/>
    <n v="29"/>
    <n v="0"/>
    <e v="#DIV/0!"/>
    <d v="2026-04-01T00:00:00"/>
    <d v="2027-03-31T00:00:00"/>
    <s v="N/A"/>
    <s v="SGP-SALUD-SALUD PUBLICA (1.2.4.2.02)"/>
    <s v="1.2.4.2.02"/>
    <n v="100000000"/>
    <n v="100000000"/>
    <n v="100000000"/>
    <n v="0"/>
    <s v="Familias, colectivos y comunidades"/>
    <s v="N/A"/>
    <x v="18"/>
    <m/>
  </r>
  <r>
    <n v="12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Garantizar los mecanismos para salvaguardar el conocimiento relacionado con las formas, experiencias, prácticas y acciones en salud de las personas y colectivos, con el fin de fortalecer la transmisión intergeneracion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82-A 2031, se logra disminuir en un 50% la tasa de discapacidad grado severo en las personas con diagnóstico nuevo de lepra."/>
    <s v="82-A 2031, se logra disminuir en un 50% la tasa de discapacidad grado severo en las personas con diagnóstico nuevo de lepr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
    <s v="Acuerdos sociales y comunitarios para la transformación de las inequidades en salud y la incidencia sobre los DSS en el territorio "/>
    <s v="realizar seguimiento del plan de acción de la RED de RBC para la implementación de la estrategia RBC (rehabilitación basada en comunidad), como un proceso de desarrollo local inclusivo de caracter intersectorial de las personas con discapacidad y sus cuidadores en los entornos institucional y comunitario en el area urbana y/o rural de los microterritorios priorizados de los 29 municicipios "/>
    <s v="Procesos transversales de la Gestion de la Salud Pública"/>
    <n v="29"/>
    <s v="Número"/>
    <n v="0"/>
    <n v="0"/>
    <e v="#DIV/0!"/>
    <n v="10"/>
    <m/>
    <n v="0"/>
    <n v="10"/>
    <m/>
    <n v="0"/>
    <n v="9"/>
    <m/>
    <n v="0"/>
    <n v="29"/>
    <n v="0"/>
    <e v="#DIV/0!"/>
    <d v="2026-04-01T00:00:00"/>
    <d v="2027-03-31T00:00:00"/>
    <s v="N/A"/>
    <s v="SGP-SALUD-SALUD PUBLICA (1.2.4.2.02)"/>
    <s v="1.2.4.2.02"/>
    <n v="60000000"/>
    <n v="60000000"/>
    <n v="60000000"/>
    <n v="0"/>
    <s v="Personal de Salud_x000a_"/>
    <s v="N/A"/>
    <x v="18"/>
    <m/>
  </r>
  <r>
    <n v="12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fortalecidas como autoridad sanitaria local para la Gobernanza en Salud Pública.  "/>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ertificar a 4.600 personas con discapacidad en el departamento"/>
    <s v="Desarrollo institucional y sectorial para el ejercicio de la autoridad sanitaria  "/>
    <s v="Desarrollo de capacidades para preescripción de ayudas tecnicas para bancos municipales (SSM) de las personas con discapacidad en el departamento del Magdalena "/>
    <s v="Procesos transversales de la Gestion de la Salud Pública"/>
    <n v="1"/>
    <s v="Número"/>
    <n v="0"/>
    <n v="0"/>
    <e v="#DIV/0!"/>
    <n v="0"/>
    <m/>
    <e v="#DIV/0!"/>
    <n v="1"/>
    <m/>
    <n v="0"/>
    <n v="0"/>
    <m/>
    <e v="#DIV/0!"/>
    <n v="1"/>
    <n v="0"/>
    <e v="#DIV/0!"/>
    <d v="2026-04-01T00:00:00"/>
    <d v="2027-03-31T00:00:00"/>
    <s v="N/A"/>
    <s v="SGP-SALUD-SALUD PUBLICA (1.2.4.2.02)"/>
    <s v="1.2.4.2.02"/>
    <n v="30000000"/>
    <n v="30000000"/>
    <n v="30000000"/>
    <n v="0"/>
    <s v="Personal de Salud_x000a_"/>
    <s v="N/A"/>
    <x v="18"/>
    <m/>
  </r>
  <r>
    <n v="12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Desarrollo y fortalecimiento de capacidades para la_x000a_planeación integral en salud y la gestión territorial en el marco_x000a_del Modelo de Salud preventivo, predictivo y resolutivo basado_x000a_en Atención Primaria en Salud - APS"/>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
    <s v="Desarrollo institucional y sectorial para el ejercicio de la autoridad sanitaria  "/>
    <s v="Mesa de articulación intersectorial para la prestación de servicios en salud de la población con discapacidad y trastornos mentales "/>
    <s v="Procesos transversales de la Gestion de la Salud Pública"/>
    <n v="1"/>
    <s v="Número"/>
    <n v="0"/>
    <n v="0"/>
    <n v="0"/>
    <n v="0"/>
    <m/>
    <e v="#DIV/0!"/>
    <n v="0"/>
    <m/>
    <e v="#DIV/0!"/>
    <n v="1"/>
    <m/>
    <n v="0"/>
    <n v="1"/>
    <n v="0"/>
    <e v="#DIV/0!"/>
    <d v="2026-04-01T00:00:00"/>
    <d v="2027-03-31T00:00:00"/>
    <s v="N/A"/>
    <s v="SGP-SALUD-SALUD PUBLICA (1.2.4.2.02)"/>
    <s v="1.2.4.2.02"/>
    <m/>
    <m/>
    <m/>
    <m/>
    <s v="Personal de Salud_x000a_"/>
    <s v="N/A"/>
    <x v="18"/>
    <m/>
  </r>
  <r>
    <n v="13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fortalecidas como autoridad sanitaria local para la Gobernanza en Salud Pública.  "/>
    <s v="Establecimiento de mecanismos de participación basada en_x000a_atención primaria en salud — APS para la gobernanza propia_x000a_en salud de los pueblos y comunidades. "/>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ertificar a 2.200 personas con discapacidad en el departamento"/>
    <s v="Desarrollo institucional y sectorial para el ejercicio de la autoridad sanitaria  "/>
    <s v="Desarrollo de capacidad en valoraciones de apoyo -certificado (SSM, personeria, comesaria de familia) y fortalecimiento de la atención diferencial en salud ((SSM, personeria, comesaria de familia, IPS y EPS)para las personas con discapacidad "/>
    <s v="Procesos transversales de la Gestion de la Salud Pública"/>
    <n v="1"/>
    <s v="Número"/>
    <n v="0"/>
    <n v="0"/>
    <e v="#DIV/0!"/>
    <n v="1"/>
    <m/>
    <n v="0"/>
    <n v="0"/>
    <m/>
    <e v="#DIV/0!"/>
    <n v="0"/>
    <m/>
    <e v="#DIV/0!"/>
    <n v="1"/>
    <n v="0"/>
    <e v="#DIV/0!"/>
    <d v="2026-04-01T00:00:00"/>
    <d v="2026-12-31T00:00:00"/>
    <s v="N/A"/>
    <s v="SGP-SALUD-SALUD PUBLICA (1.2.4.2.02)"/>
    <s v="1.2.4.2.02"/>
    <n v="30000000"/>
    <n v="30000000"/>
    <n v="30000000"/>
    <n v="0"/>
    <s v="Familias, colectivos y comunidades"/>
    <s v="N/A"/>
    <x v="18"/>
    <m/>
  </r>
  <r>
    <n v="13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
    <s v="Promoción de capacidades y mecanismos para la gobernanza en salud pública y la incidencia sobre los determinantes sociales de la salud desde las diferentes instancias intersectoriales del orden nacional y territorial."/>
    <s v=" 2031 el 100% de las Entidades Territoriales del orden departamental, distrital y municipal desarrollan mecanismos para el fortalecimiento de la rectoría en salud en su territorio, conforme a las competencias establecidas&quot;"/>
    <s v="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ertificar a  2.200 personas con discapacidad en el departamento"/>
    <s v="Desarrollo institucional y sectorial para el ejercicio de la autoridad sanitaria "/>
    <s v="Asistencia tecnica y acompañamiento sobre el componente de discapacidad  (Rehabilitación basada en la comunidad (RBC) - certificación de discapacidad y RLCPD  "/>
    <s v="Procesos transversales de la Gestion de la Salud Pública"/>
    <n v="29"/>
    <s v="Número"/>
    <n v="0"/>
    <n v="0"/>
    <e v="#DIV/0!"/>
    <n v="10"/>
    <n v="10"/>
    <n v="100"/>
    <n v="10"/>
    <m/>
    <n v="0"/>
    <n v="9"/>
    <m/>
    <n v="0"/>
    <n v="29"/>
    <n v="10"/>
    <e v="#REF!"/>
    <d v="2026-04-01T00:00:00"/>
    <d v="2027-03-01T00:00:00"/>
    <s v="N/A"/>
    <s v="SGP-SALUD-SALUD PUBLICA (1.2.4.2.02)"/>
    <s v="1.2.4.2.02"/>
    <m/>
    <m/>
    <m/>
    <m/>
    <s v="Personas con discapacidad"/>
    <s v="N/A"/>
    <x v="19"/>
    <m/>
  </r>
  <r>
    <n v="13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A 2031, reducir a 15,3 por mil nacidos vivos la tasa de mortalidad infantil"/>
    <s v="5-A 2031, reducir a 15,3 por mil nacidos vivos la tasa de mortalidad infantil"/>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Asistencia tecnica para la implementación del modelo de infancia a los actores que hacen parte del sistema de salud en los 29 municipios del departamento"/>
    <s v="Procesos transversales de la Gestion de la Salud Pública"/>
    <n v="29"/>
    <s v="Número"/>
    <n v="0"/>
    <n v="4"/>
    <e v="#DIV/0!"/>
    <n v="10"/>
    <m/>
    <n v="0"/>
    <n v="10"/>
    <m/>
    <n v="0"/>
    <n v="9"/>
    <m/>
    <n v="0"/>
    <n v="29"/>
    <n v="4"/>
    <e v="#DIV/0!"/>
    <d v="2026-03-01T00:00:00"/>
    <d v="2027-03-01T00:00:00"/>
    <s v="N/A"/>
    <s v="SGP-SALUD-SALUD PUBLICA (1.2.4.2.02)"/>
    <s v="1.2.4.2.02"/>
    <m/>
    <m/>
    <m/>
    <m/>
    <s v="Personas con discapacidad"/>
    <s v="N/A"/>
    <x v="19"/>
    <m/>
  </r>
  <r>
    <n v="13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A 2031, reducir a 15,3 por mil nacidos vivos la tasa de mortalidad infantil"/>
    <s v="5-A 2031, reducir a 15,3 por mil nacidos vivos la tasa de mortalidad infantil"/>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Asistencia tecnica y articulación intersectorial con los diferentes actores para la prevención del trabajo infantil en los 29 municipios del departamento"/>
    <s v="Procesos transversales de la Gestion de la Salud Pública"/>
    <n v="29"/>
    <s v="Número"/>
    <n v="0"/>
    <n v="4"/>
    <e v="#DIV/0!"/>
    <n v="10"/>
    <n v="8"/>
    <n v="80"/>
    <n v="10"/>
    <m/>
    <n v="0"/>
    <n v="9"/>
    <m/>
    <n v="0"/>
    <n v="29"/>
    <n v="12"/>
    <n v="120"/>
    <d v="2026-03-01T00:00:00"/>
    <d v="2027-03-01T00:00:00"/>
    <s v="N/A"/>
    <s v="SGP-SALUD-SALUD PUBLICA (1.2.4.2.02)"/>
    <s v="1.2.4.2.02"/>
    <m/>
    <m/>
    <m/>
    <m/>
    <s v="Personas con discapacidad"/>
    <s v="N/A"/>
    <x v="19"/>
    <m/>
  </r>
  <r>
    <n v="13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Mesa  Departamental  de  Salud  y Nutricion para el desarrollo Integral de Niños, Niñas y Adolescentes"/>
    <s v="Procesos transversales de la Gestion de la Salud Pública"/>
    <n v="1"/>
    <s v="Número"/>
    <n v="1"/>
    <n v="0"/>
    <e v="#DIV/0!"/>
    <n v="0"/>
    <n v="1"/>
    <e v="#DIV/0!"/>
    <n v="1"/>
    <m/>
    <n v="0"/>
    <m/>
    <m/>
    <e v="#DIV/0!"/>
    <n v="1"/>
    <n v="1"/>
    <n v="100"/>
    <d v="2026-03-01T00:00:00"/>
    <d v="2027-03-01T00:00:00"/>
    <s v="N/A"/>
    <s v="SGP-SALUD-SALUD PUBLICA (1.2.4.2.02)"/>
    <s v="1.2.4.2.02"/>
    <n v="10000000"/>
    <n v="10000000"/>
    <n v="10000000"/>
    <n v="10000000"/>
    <s v="Personas con discapacidad"/>
    <s v="N/A"/>
    <x v="19"/>
    <m/>
  </r>
  <r>
    <n v="13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tención Primaria en Salud - APS"/>
    <s v="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Asistencia tecnica y seguimiento para la implementación del modelo de envejecimiento activo en los 29 municipios del departamento"/>
    <s v="Procesos transversales de la Gestion de la Salud Pública"/>
    <n v="29"/>
    <s v="Número"/>
    <n v="0"/>
    <n v="16"/>
    <e v="#DIV/0!"/>
    <n v="0"/>
    <n v="6"/>
    <e v="#DIV/0!"/>
    <n v="10"/>
    <m/>
    <n v="0"/>
    <n v="19"/>
    <m/>
    <n v="0"/>
    <n v="29"/>
    <n v="22"/>
    <e v="#DIV/0!"/>
    <d v="2026-01-10T00:00:00"/>
    <d v="2026-12-31T00:00:00"/>
    <s v="N/A"/>
    <s v="SGP-SALUD-SALUD PUBLICA (1.2.4.2.02)"/>
    <s v="1.2.4.2.02"/>
    <m/>
    <m/>
    <m/>
    <m/>
    <s v="Personas con discapacidad"/>
    <s v="N/A"/>
    <x v="19"/>
    <m/>
  </r>
  <r>
    <n v="13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Generación y adecuación de estrategias que promuevan capacidades institucionales para la garantía del derecho a la"/>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Visita de seguimiento semestral para verificación de condiciones mínimas que dignifiquen la estadía de los adultos mayores en los centros de protección, centros de día e instituciones"/>
    <s v="Procesos transversales de la Gestion de la Salud Pública"/>
    <n v="15"/>
    <s v="Número"/>
    <n v="0"/>
    <n v="1"/>
    <e v="#DIV/0!"/>
    <n v="0"/>
    <n v="4"/>
    <e v="#DIV/0!"/>
    <n v="7"/>
    <m/>
    <n v="0"/>
    <n v="8"/>
    <m/>
    <n v="0"/>
    <n v="15"/>
    <n v="5"/>
    <e v="#DIV/0!"/>
    <d v="2026-02-01T00:00:00"/>
    <d v="2027-03-31T00:00:00"/>
    <s v="N/A"/>
    <s v="SGP-SALUD-SALUD PUBLICA (1.2.4.2.02)"/>
    <s v="1.2.4.2.02"/>
    <m/>
    <m/>
    <m/>
    <m/>
    <m/>
    <s v="N/A"/>
    <x v="19"/>
    <m/>
  </r>
  <r>
    <n v="13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Articular acciones con los diferentes ejes estratégicos para el seguimiento de casos de interes en salud publica de los adultos mayores"/>
    <s v="Procesos transversales de la Gestion de la Salud Pública"/>
    <n v="2"/>
    <s v="Número"/>
    <n v="0"/>
    <n v="0"/>
    <e v="#DIV/0!"/>
    <n v="0"/>
    <n v="0"/>
    <e v="#DIV/0!"/>
    <n v="1"/>
    <m/>
    <n v="0"/>
    <n v="1"/>
    <m/>
    <n v="0"/>
    <n v="2"/>
    <n v="0"/>
    <e v="#DIV/0!"/>
    <d v="2026-02-01T00:00:00"/>
    <d v="2027-03-31T00:00:00"/>
    <s v="N/A"/>
    <s v="SGP-SALUD-SALUD PUBLICA (1.2.4.2.02)"/>
    <s v="1.2.4.2.02"/>
    <m/>
    <m/>
    <m/>
    <m/>
    <m/>
    <s v="N/A"/>
    <x v="19"/>
    <m/>
  </r>
  <r>
    <n v="13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Asistencia tecnica sobre politica publica de envejecimiento y vejez 2022- 2031 en los 29 municipios del departamento"/>
    <s v="Procesos transversales de la Gestion de la Salud Pública"/>
    <n v="29"/>
    <s v="Número"/>
    <n v="0"/>
    <n v="16"/>
    <e v="#DIV/0!"/>
    <n v="0"/>
    <n v="6"/>
    <e v="#DIV/0!"/>
    <n v="12"/>
    <m/>
    <n v="0"/>
    <n v="17"/>
    <m/>
    <n v="0"/>
    <n v="29"/>
    <n v="22"/>
    <e v="#DIV/0!"/>
    <d v="2026-04-01T00:00:00"/>
    <d v="2027-03-31T00:00:00"/>
    <s v="N/A"/>
    <s v="SGP-SALUD-SALUD PUBLICA (1.2.4.2.02)"/>
    <s v="1.2.4.2.02"/>
    <m/>
    <m/>
    <m/>
    <m/>
    <s v="Personal de Salud_x000a_"/>
    <s v="N/A"/>
    <x v="19"/>
    <m/>
  </r>
  <r>
    <n v="13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Desarrollo de capacidades cognitiva dirigida a los adultos mayores de los 4 centros de bienestar del adulto mayor, en los municipios de banco, guamal, santa barbara de pinto y Sabanas de san Angel"/>
    <s v="Procesos transversales de la Gestion de la Salud Pública"/>
    <n v="4"/>
    <s v="Número"/>
    <n v="0"/>
    <n v="0"/>
    <e v="#DIV/0!"/>
    <n v="0"/>
    <m/>
    <e v="#DIV/0!"/>
    <n v="2"/>
    <m/>
    <n v="0"/>
    <n v="2"/>
    <m/>
    <n v="0"/>
    <n v="4"/>
    <n v="0"/>
    <e v="#DIV/0!"/>
    <d v="2026-02-01T00:00:00"/>
    <d v="2027-03-31T00:00:00"/>
    <s v="N/A"/>
    <s v="SGP-SALUD-SALUD PUBLICA (1.2.4.2.02)"/>
    <s v="1.2.4.2.02"/>
    <n v="40000000"/>
    <n v="40000000"/>
    <n v="40000000"/>
    <n v="0"/>
    <m/>
    <s v="N/A"/>
    <x v="19"/>
    <m/>
  </r>
  <r>
    <n v="14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Desarrollo de capacidades para atención integral del adulto mayor con entidades territoriales, IPS, EAPB por subregiones"/>
    <s v="Procesos transversales de la Gestion de la Salud Pública"/>
    <n v="1"/>
    <s v="Número"/>
    <n v="0"/>
    <n v="0"/>
    <e v="#DIV/0!"/>
    <n v="0"/>
    <n v="0"/>
    <e v="#DIV/0!"/>
    <n v="1"/>
    <m/>
    <n v="0"/>
    <n v="0"/>
    <m/>
    <e v="#DIV/0!"/>
    <n v="1"/>
    <n v="0"/>
    <e v="#DIV/0!"/>
    <d v="2026-02-01T00:00:00"/>
    <d v="2027-03-31T00:00:00"/>
    <s v="N/A"/>
    <s v="SGP-SALUD-SALUD PUBLICA (1.2.4.2.02)"/>
    <s v="1.2.4.2.02"/>
    <n v="20000000"/>
    <n v="20000000"/>
    <n v="20000000"/>
    <n v="0"/>
    <m/>
    <s v="N/A"/>
    <x v="19"/>
    <m/>
  </r>
  <r>
    <n v="14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Reconocimiento y legitimación de los espacios e instancias de diálogo y concertación para para la construcción colectiva de sistemas propios, a través de saberes, prácticas y conocimientos de y con las personas y colectivos."/>
    <s v="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Actividad ludico - recreatico para adultos mayores, familiares y cuidadores para loa Promocion del Envejecimiento Activo y Saludable y Prevencion del Maltrato a los Adultos Mayores y habitancia en calle en el entorno comunitario , hogar centro de vida y centros de bienestar donde aplique en el area urbana y/o rural de los microterritorios priorizados en los 29 munipios del Depar4tamento del Magdalena"/>
    <s v="PIC(Anexo técnico)"/>
    <n v="29"/>
    <s v="Número"/>
    <n v="0"/>
    <n v="0"/>
    <e v="#DIV/0!"/>
    <n v="9"/>
    <n v="0"/>
    <n v="0"/>
    <n v="10"/>
    <m/>
    <n v="0"/>
    <n v="10"/>
    <m/>
    <n v="0"/>
    <n v="29"/>
    <n v="0"/>
    <n v="0"/>
    <d v="2026-02-01T00:00:00"/>
    <d v="2027-03-31T00:00:00"/>
    <s v="N/A"/>
    <s v="SGP-SALUD-SALUD PUBLICA (1.2.4.2.02)"/>
    <s v="1.2.4.2.02"/>
    <n v="60000000"/>
    <n v="60000000"/>
    <n v="60000000"/>
    <n v="0"/>
    <m/>
    <s v="N/A"/>
    <x v="19"/>
    <m/>
  </r>
  <r>
    <n v="14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écnicas para el ejercicio de la rectorí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Asistencia técnica y seguimiento de las acciones de la política pública para habitantes de calle, fenómeno de habitanza en calle, las características y necesidades de la población habitante de la calle, en las entidades territoriales"/>
    <s v="Procesos transversales de la Gestion de la Salud Pública"/>
    <n v="29"/>
    <s v="Número"/>
    <n v="0"/>
    <n v="3"/>
    <e v="#DIV/0!"/>
    <n v="0"/>
    <n v="14"/>
    <e v="#DIV/0!"/>
    <n v="10"/>
    <m/>
    <n v="0"/>
    <n v="19"/>
    <m/>
    <n v="0"/>
    <n v="29"/>
    <n v="17"/>
    <e v="#DIV/0!"/>
    <d v="2026-02-01T00:00:00"/>
    <d v="2027-03-31T00:00:00"/>
    <s v="N/A"/>
    <s v="SGP-SALUD-SALUD PUBLICA (1.2.4.2.02)"/>
    <s v="1.2.4.2.02"/>
    <m/>
    <m/>
    <m/>
    <m/>
    <m/>
    <s v="N/A"/>
    <x v="19"/>
    <m/>
  </r>
  <r>
    <n v="14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Asistencia técnica con el fin de sensibilizar sobre prestación de servicios hacia la población habitante de calle para reducir el estigma y discriminación, dirigida a las entidades e instituciones a cargo de los servicios sociales y de salud"/>
    <s v="Procesos transversales de la Gestion de la Salud Pública"/>
    <n v="29"/>
    <s v="Número"/>
    <n v="0"/>
    <n v="3"/>
    <e v="#DIV/0!"/>
    <n v="0"/>
    <n v="14"/>
    <e v="#DIV/0!"/>
    <n v="10"/>
    <m/>
    <n v="0"/>
    <n v="19"/>
    <m/>
    <n v="0"/>
    <n v="29"/>
    <n v="17"/>
    <e v="#DIV/0!"/>
    <d v="2026-04-01T00:00:00"/>
    <d v="2027-03-31T00:00:00"/>
    <s v="N/A"/>
    <s v="SGP-SALUD-SALUD PUBLICA (1.2.4.2.02)"/>
    <s v="1.2.4.2.02"/>
    <m/>
    <m/>
    <m/>
    <m/>
    <s v="Persona mayor"/>
    <s v="N/A"/>
    <x v="19"/>
    <m/>
  </r>
  <r>
    <n v="14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ñales definiendo temas transversales y objetivos comun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Realizar 2 mesa para el desarrollo de rutas sectoriales de atención integral para Personas Habitantes de la Calle"/>
    <s v="Procesos transversales de la Gestion de la Salud Pública"/>
    <n v="1"/>
    <s v="Número"/>
    <n v="0"/>
    <n v="0"/>
    <e v="#DIV/0!"/>
    <n v="0"/>
    <n v="1"/>
    <e v="#DIV/0!"/>
    <n v="1"/>
    <m/>
    <n v="0"/>
    <n v="1"/>
    <m/>
    <n v="0"/>
    <n v="1"/>
    <n v="1"/>
    <e v="#DIV/0!"/>
    <d v="2026-04-01T00:00:00"/>
    <d v="2027-03-31T00:00:00"/>
    <s v="N/A"/>
    <s v="SGP-SALUD-SALUD PUBLICA (1.2.4.2.02)"/>
    <s v="1.2.4.2.02"/>
    <n v="10000000"/>
    <n v="10000000"/>
    <n v="10000000"/>
    <n v="0"/>
    <s v="Personal de Salud_x000a_"/>
    <s v="N/A"/>
    <x v="19"/>
    <m/>
  </r>
  <r>
    <n v="14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Posicionamiento de los procesos participativos de rendición de cuentas incluyendo la evaluación del reconocimiento y respeto por los sistemas de conocimiento propio y los saberes de los pueblos y comunidades étnicas y campesinas, mujeres, sectores LGBTIQ+ y otras poblaciones por condición y/o situación en planes, programas y estrategias desarrolladas en _x000a_ el marco del Plan Territorial de Salud."/>
    <s v="A 2031 el 100%de entidades territoriales, Deoparatamentales, Distritales y Municipales han implementado la estrategia de transversalización del enfoque de género en la planeacion integral en salud"/>
    <s v="A 2027 el 100% de entidades territoriales Municipales han implementado la estrategia de transversalización del enfoque de género en la planeacion integral en salud"/>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Taller educativo para generar sensibilización en el entorno comunitario sobre factores de riesgo asociados a la habitanza en calle, características de la población habitante de calle y su estilo de vida, así como la orientación hacia rutas y servicios sociales y de salud con el fin de reducir el estigma y la discriminación."/>
    <s v="PIC(Anexo técnico)"/>
    <n v="29"/>
    <s v="Número"/>
    <n v="0"/>
    <n v="0"/>
    <e v="#DIV/0!"/>
    <n v="10"/>
    <n v="0"/>
    <n v="0"/>
    <n v="10"/>
    <m/>
    <n v="0"/>
    <n v="9"/>
    <m/>
    <n v="0"/>
    <n v="29"/>
    <n v="0"/>
    <n v="0"/>
    <d v="2026-04-01T00:00:00"/>
    <d v="2027-03-31T00:00:00"/>
    <s v="N/A"/>
    <s v="SGP-SALUD-SALUD PUBLICA (1.2.4.2.02)"/>
    <s v="1.2.4.2.02"/>
    <n v="60000000"/>
    <n v="60000000"/>
    <n v="60000000"/>
    <n v="0"/>
    <s v="Persona mayor"/>
    <s v="N/A"/>
    <x v="19"/>
    <m/>
  </r>
  <r>
    <n v="14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Realizar asistencia tecnica sobre acciones para la prevencion de trata de personas violencias basadas en género y diversidad en los 29 Municipios del departamento"/>
    <s v="Procesos transversales de la Gestion de la Salud Pública"/>
    <n v="29"/>
    <s v="Número"/>
    <n v="0"/>
    <n v="4"/>
    <e v="#DIV/0!"/>
    <n v="10"/>
    <n v="11"/>
    <n v="110.00000000000001"/>
    <n v="10"/>
    <m/>
    <n v="0"/>
    <n v="9"/>
    <m/>
    <n v="0"/>
    <n v="29"/>
    <n v="15"/>
    <n v="150"/>
    <d v="2026-02-01T00:00:00"/>
    <d v="2027-03-31T00:00:00"/>
    <s v="N/A"/>
    <s v="SGP-SALUD-SALUD PUBLICA (1.2.4.2.02)"/>
    <s v="1.2.4.2.02"/>
    <m/>
    <m/>
    <m/>
    <m/>
    <m/>
    <s v="N/A"/>
    <x v="19"/>
    <m/>
  </r>
  <r>
    <n v="14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Realizar asistencia tecnica sobre humanizacion para la atencion sin discriminación y trato digno en los servicios en salud a población OSIG diversa y/o LGBTIQ+"/>
    <s v="Procesos transversales de la Gestion de la Salud Pública"/>
    <n v="29"/>
    <s v="Número"/>
    <n v="0"/>
    <n v="4"/>
    <e v="#DIV/0!"/>
    <n v="10"/>
    <n v="12"/>
    <n v="120"/>
    <n v="10"/>
    <m/>
    <n v="0"/>
    <n v="9"/>
    <m/>
    <n v="0"/>
    <n v="29"/>
    <n v="16"/>
    <n v="160"/>
    <d v="2026-02-01T00:00:00"/>
    <d v="2027-03-31T00:00:00"/>
    <s v="N/A"/>
    <s v="SGP-SALUD-SALUD PUBLICA (1.2.4.2.02)"/>
    <s v="1.2.4.2.02"/>
    <m/>
    <m/>
    <m/>
    <m/>
    <m/>
    <s v="N/A"/>
    <x v="19"/>
    <m/>
  </r>
  <r>
    <n v="14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Posicionamiento de los procesos participativos de rendición de cuentas incluyendo la evaluación del reconocimiento y respeto por los sistemas de conocimiento propio y los saberes de los pueblos y comunidades étnicas y campesinas, mujeres, sectores LGBTIQ+ y otras poblaciones por condición y/o situación en planes, programas y estrategias desarrolladas en _x000a_ el marco del Plan Territorial de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Cuidado de la salud en el territorio"/>
    <s v="Implementacion de estatregia &quot;Ruta Segura&quot; simulacro de atencion en casos de trata de personas y violencias basadas en género. como actuar ante sospecha, situación y canalizacion de casos, con capacidad instalada en la creacion e implementacion de rutas de atención"/>
    <s v="PIC(Anexo técnico)"/>
    <n v="1"/>
    <s v="Número"/>
    <n v="0"/>
    <n v="0"/>
    <e v="#DIV/0!"/>
    <n v="0"/>
    <n v="0"/>
    <e v="#DIV/0!"/>
    <n v="1"/>
    <m/>
    <n v="0"/>
    <n v="0"/>
    <m/>
    <e v="#DIV/0!"/>
    <n v="1"/>
    <n v="0"/>
    <e v="#DIV/0!"/>
    <d v="2026-04-01T00:00:00"/>
    <d v="2027-03-31T00:00:00"/>
    <s v="N/A"/>
    <s v="SGP-SALUD-SALUD PUBLICA (1.2.4.2.02)"/>
    <s v="1.2.4.2.02"/>
    <n v="80000000"/>
    <n v="80000000"/>
    <n v="80000000"/>
    <n v="0"/>
    <s v="Personal de Salud_x000a_"/>
    <s v="N/A"/>
    <x v="19"/>
    <m/>
  </r>
  <r>
    <n v="14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Posicionamiento de los procesos participativos de rendición de cuentas incluyendo la evaluación del reconocimiento y respeto por los sistemas de conocimiento propio y los saberes de los pueblos y comunidades étnicas y campesinas, mujeres, sectores LGBTIQ+ y otras poblaciones por condición y/o situación en planes, programas y estrategias desarrolladas en _x000a_ el marco del Plan Territorial de Salud."/>
    <s v="A 2031 el 100%de entidades territoriales, Deoparatamentales, Distritales y Municipales han implementado la estrategia de transversalización del enfoque de género en la planeacion integral en salud"/>
    <s v="A 2027 el 100%de entidades territoriales,  Municipales han implementado la estrategia de transversalización del enfoque de género en la planeacion integral en salud"/>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Desarrollar un programa radial sobre el ejercicio ciudadano de la participación social para cogestionar la garantía del derecho a la salud y desarrollar acciones para la prevención de no discriminación o estigmatización por causa o condición y  prevencion de violencia de cualquier tipo  y promocion de los entornos seguros en cada uno de los 29 municipios"/>
    <s v="Procesos transversales de la Gestion de la Salud Pública"/>
    <n v="29"/>
    <s v="Número"/>
    <n v="0"/>
    <n v="0"/>
    <e v="#DIV/0!"/>
    <n v="0"/>
    <n v="0"/>
    <e v="#DIV/0!"/>
    <n v="14"/>
    <n v="15"/>
    <n v="107.14285714285714"/>
    <n v="29"/>
    <m/>
    <n v="0"/>
    <n v="29"/>
    <n v="15"/>
    <n v="107.14285714285714"/>
    <d v="2026-04-01T00:00:00"/>
    <d v="2027-03-31T00:00:00"/>
    <s v="N/A"/>
    <s v="SGP-SALUD-SALUD PUBLICA (1.2.4.2.02)"/>
    <s v="1.2.4.2.02"/>
    <n v="60000000"/>
    <n v="60000000"/>
    <n v="60000000"/>
    <n v="0"/>
    <s v="Habitante de Calle"/>
    <s v="N/A"/>
    <x v="19"/>
    <m/>
  </r>
  <r>
    <n v="15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Políticas, planes, programas y estrategias en salud con transversalización de los enfoques de pueblos y comunidades, género y diferencial e integración de los sistemas de conocimiento propio y saberes de los pueblos y comunidades étnicas y campesinas"/>
    <s v="Establecimiento de los mecanismos institucionales, sectoriales, intersectoriales y comunitarios que garanticen la participación de las diferentes formas y expresiones organizativas de los pueblos y comunidades en la planeación y la respuest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Construccion de protocolo de atencion diferencial a la poblacion negra-afrodesciente- raizal y palanquero"/>
    <s v="Procesos transversales de la Gestion de la Salud Pública"/>
    <n v="1"/>
    <s v="Número"/>
    <n v="0"/>
    <n v="0"/>
    <e v="#DIV/0!"/>
    <n v="0"/>
    <n v="0"/>
    <e v="#DIV/0!"/>
    <n v="0"/>
    <m/>
    <e v="#DIV/0!"/>
    <n v="1"/>
    <m/>
    <n v="0"/>
    <n v="1"/>
    <n v="0"/>
    <e v="#DIV/0!"/>
    <d v="2026-02-01T00:00:00"/>
    <d v="2027-03-31T00:00:00"/>
    <s v="N/A"/>
    <s v="SGP-SALUD-SALUD PUBLICA (1.2.4.2.02)"/>
    <s v="1.2.4.2.02"/>
    <m/>
    <m/>
    <m/>
    <m/>
    <m/>
    <s v="N/A"/>
    <x v="19"/>
    <m/>
  </r>
  <r>
    <n v="15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A  2027 el 100% de entidades territoriales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Cuidado de la salud en el territorio"/>
    <s v="Realizar Busqueda activa comunitaria mensual de niños(as) menores de cinco años; en el  entorno hogar, en los territorios y microterritorios con su respectivo tamizaje, a cada familia se le debe educar en el código internacional de Sucedáneos"/>
    <s v="PIC(Anexo técnico)"/>
    <n v="12"/>
    <s v="Número"/>
    <n v="3"/>
    <n v="0"/>
    <n v="0"/>
    <n v="3"/>
    <n v="0"/>
    <n v="0"/>
    <n v="3"/>
    <m/>
    <n v="0"/>
    <n v="3"/>
    <m/>
    <n v="0"/>
    <n v="12"/>
    <n v="0"/>
    <n v="0"/>
    <d v="2026-02-01T00:00:00"/>
    <d v="2027-03-31T00:00:00"/>
    <s v="N/A"/>
    <s v="SGP-SALUD-SALUD PUBLICA (1.2.4.2.02)"/>
    <s v="1.2.4.2.02"/>
    <n v="40000000"/>
    <n v="40000000"/>
    <n v="40000000"/>
    <n v="0"/>
    <m/>
    <s v="N/A"/>
    <x v="19"/>
    <m/>
  </r>
  <r>
    <n v="15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Prácticas, saberes Y conocimientos para la salud pública reconocidos y fortalecidos para Pueblos y comunidades étnicas, mujeres, población campesina, LBGTIQ+ y otras poblaciones por condición y/o situación."/>
    <s v="Establecimiento de los mecanismos institucionales, sectoriales, intersectoriales y comunitarios que garanticen la participación de las diferentes formas y expresiones organizativas de los pueblos y comunidades en la planeación y la respuest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4 mesas para la implemetacion piloto de atencion entre la salud ancestral y salud occidental"/>
    <s v="PIC(Anexo técnico)"/>
    <n v="4"/>
    <s v="Número"/>
    <n v="0"/>
    <n v="0"/>
    <e v="#DIV/0!"/>
    <n v="0"/>
    <n v="4"/>
    <e v="#DIV/0!"/>
    <n v="2"/>
    <m/>
    <n v="0"/>
    <n v="2"/>
    <m/>
    <n v="0"/>
    <n v="4"/>
    <n v="4"/>
    <e v="#DIV/0!"/>
    <d v="2026-04-01T00:00:00"/>
    <d v="2027-03-31T00:00:00"/>
    <s v="N/A"/>
    <s v="SGP-SALUD-SALUD PUBLICA (1.2.4.2.02)"/>
    <s v="1.2.4.2.02"/>
    <n v="40000000"/>
    <n v="40000000"/>
    <n v="40000000"/>
    <n v="0"/>
    <s v="Familias, colectivos y comunidades"/>
    <s v="N/A"/>
    <x v="19"/>
    <m/>
  </r>
  <r>
    <n v="15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A  2027 el 100% de entidades territoriales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jornadas educativas de socialización para promover hábitos de alimentación saludable, destacando la variedad de alimentos y su aporte nutricional en cada microterritorio en el entorno hogar utulizando el plato saludable"/>
    <s v="PIC(Anexo técnico)"/>
    <n v="2"/>
    <s v="Número"/>
    <n v="0"/>
    <n v="0"/>
    <e v="#DIV/0!"/>
    <n v="0"/>
    <n v="0"/>
    <e v="#DIV/0!"/>
    <n v="1"/>
    <m/>
    <n v="0"/>
    <n v="1"/>
    <m/>
    <n v="0"/>
    <n v="2"/>
    <n v="0"/>
    <e v="#DIV/0!"/>
    <d v="2026-04-01T00:00:00"/>
    <d v="2027-03-31T00:00:00"/>
    <s v="N/A"/>
    <s v="SGP-SALUD-SALUD PUBLICA (1.2.4.2.02)"/>
    <s v="1.2.4.2.02"/>
    <n v="40000000"/>
    <n v="40000000"/>
    <n v="40000000"/>
    <n v="0"/>
    <s v="Familias, colectivos y comunidades"/>
    <s v="N/A"/>
    <x v="19"/>
    <m/>
  </r>
  <r>
    <n v="15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A  2027 el 100% de entidades territoriales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educación en salud materna y neonatal, a mujeres en edad fertil, parteras y jefes del hogar en las comunidades priorizadas, sobre factores de riesgo de la gestante, reporte oportuno y atención en salud para evitar complicaciones en la madre y en su hijo"/>
    <s v="PIC(Anexo técnico)"/>
    <n v="2"/>
    <s v="Número"/>
    <n v="0"/>
    <n v="0"/>
    <n v="0"/>
    <n v="0"/>
    <n v="0"/>
    <e v="#DIV/0!"/>
    <n v="0"/>
    <m/>
    <e v="#DIV/0!"/>
    <n v="1"/>
    <m/>
    <n v="0"/>
    <n v="2"/>
    <n v="0"/>
    <e v="#DIV/0!"/>
    <d v="2026-02-01T00:00:00"/>
    <d v="2027-03-31T00:00:00"/>
    <s v="N/A"/>
    <s v="SGP-SALUD-SALUD PUBLICA (1.2.4.2.02)"/>
    <s v="1.2.4.2.02"/>
    <n v="40000000"/>
    <n v="40000000"/>
    <n v="40000000"/>
    <n v="0"/>
    <s v="Personal de Salud_x000a_"/>
    <s v="N/A"/>
    <x v="19"/>
    <m/>
  </r>
  <r>
    <n v="15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A  2027 el 100% de entidades territoriales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jornadas de desparasitación antihelmíntica, acompañado de Educacion en salud en la población en el entorno escolar a niños(as) y adolescentes de 1 a 14 años, sobre la importancia de la desparasitación antihelmíntica en los municipios  priorizados "/>
    <s v="PIC(Anexo técnico)"/>
    <n v="2"/>
    <s v="Número"/>
    <n v="0"/>
    <n v="0"/>
    <e v="#DIV/0!"/>
    <n v="0"/>
    <n v="0"/>
    <e v="#DIV/0!"/>
    <n v="1"/>
    <m/>
    <n v="0"/>
    <n v="1"/>
    <m/>
    <n v="0"/>
    <n v="2"/>
    <n v="0"/>
    <e v="#DIV/0!"/>
    <d v="2026-04-01T00:00:00"/>
    <d v="2027-03-31T00:00:00"/>
    <s v="N/A"/>
    <s v="SGP-SALUD-SALUD PUBLICA (1.2.4.2.02)"/>
    <s v="1.2.4.2.02"/>
    <n v="40000000"/>
    <n v="40000000"/>
    <n v="40000000"/>
    <n v="0"/>
    <s v="Negros, Afrocolombianos, raizal y palanques"/>
    <s v="N/A"/>
    <x v="19"/>
    <m/>
  </r>
  <r>
    <n v="15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A  2027 el 100% de entidades territoriales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fortalecimiento en salud de las Unidades de atención integral comunitaria (UAIC) a población Negros- afrocolombianos-raizales-palenqueros para difundir los tres mensajes claves del programa de prevención, manejo y control de la IRA/EDA y la identificacion de signos de alarma de la Enfermedad diarreica aguda y enfermedad respiratoria aguda"/>
    <s v="PIC(Anexo técnico)"/>
    <n v="2"/>
    <s v="Número"/>
    <n v="1"/>
    <n v="0"/>
    <n v="0"/>
    <n v="1"/>
    <m/>
    <n v="0"/>
    <n v="0"/>
    <m/>
    <e v="#DIV/0!"/>
    <n v="1"/>
    <m/>
    <n v="0"/>
    <n v="2"/>
    <n v="0"/>
    <n v="0"/>
    <d v="2026-04-01T00:00:00"/>
    <d v="2027-03-31T00:00:00"/>
    <s v="N/A"/>
    <s v="SGP-SALUD-SALUD PUBLICA (1.2.4.2.02)"/>
    <s v="1.2.4.2.02"/>
    <n v="40000000"/>
    <n v="40000000"/>
    <n v="40000000"/>
    <n v="0"/>
    <s v="Negros, Afrocolombianos, raizal y palanques"/>
    <s v="N/A"/>
    <x v="19"/>
    <m/>
  </r>
  <r>
    <n v="15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Coordinar sectorial e inetrsectorialmente acciones que incentiven la demanda  de las atenciones defenidas en la resolucion 3280 de 2018 del Ministerio de Salud y Proteccion Socialm relacionadascon la primera infancia o la norma que la modifique , adicdion o sustituya"/>
    <s v="A 2031 el 100% de las Entidades Territoriales del orden departamental, distrital y municipal desarrollan mecanismos para el fortalecimiento de la rectoría en salud en su territorio, conforme a las competencias establecidas."/>
    <s v="A  2027 el 100% de entidades territoriales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caracterizacion del territorio y poblacion negros, afrocolombianos, raizales y palenqueros asentada en el departamento con reconocimiento de la etnia en diferentes entornos en el area urbana y/o rural para la comunidad negros, afrocolombianos, raizales y palenqueros  en los microterritorios priorizados "/>
    <s v="PIC(Anexo técnico)"/>
    <n v="1"/>
    <s v="Número"/>
    <n v="0"/>
    <n v="0"/>
    <e v="#DIV/0!"/>
    <n v="0"/>
    <n v="0"/>
    <e v="#DIV/0!"/>
    <n v="0"/>
    <n v="0"/>
    <e v="#DIV/0!"/>
    <n v="1"/>
    <m/>
    <n v="0"/>
    <n v="1"/>
    <n v="0"/>
    <e v="#DIV/0!"/>
    <d v="2026-04-01T00:00:00"/>
    <d v="2027-03-31T00:00:00"/>
    <s v="N/A"/>
    <s v="SGP-SALUD-SALUD PUBLICA (1.2.4.2.02)"/>
    <s v="1.2.4.2.02"/>
    <n v="129400000"/>
    <n v="129400000"/>
    <n v="129400000"/>
    <n v="0"/>
    <s v="Negros, Afrocolombianos, raizal y palanques"/>
    <s v="N/A"/>
    <x v="19"/>
    <m/>
  </r>
  <r>
    <n v="15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s v="Fortalecimiento de capacidades técnicas para el ejercicio de la rectorí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Fortalecer las capacidades en los actores del sector salud y sector social en las entidades territoriales de los 29 munipicipios  del Departamento del Magdalena para gestionar de manera adecuada la atención de la población migrante y favorecer la convivencia social."/>
    <s v="Procesos transversales de la Gestion de la Salud Pública"/>
    <n v="1"/>
    <s v="Número"/>
    <n v="0"/>
    <n v="1"/>
    <e v="#DIV/0!"/>
    <n v="0"/>
    <n v="1"/>
    <e v="#DIV/0!"/>
    <n v="1"/>
    <m/>
    <n v="0"/>
    <n v="0"/>
    <m/>
    <e v="#DIV/0!"/>
    <n v="1"/>
    <n v="2"/>
    <e v="#DIV/0!"/>
    <d v="2026-04-01T00:00:00"/>
    <d v="2027-03-31T00:00:00"/>
    <s v="N/A"/>
    <s v="SGP-SALUD-SALUD PUBLICA (1.2.4.2.02)"/>
    <s v="1.2.4.2.02"/>
    <m/>
    <m/>
    <m/>
    <m/>
    <s v="Negros, Afrocolombianos, raizal y palanques"/>
    <s v="N/A"/>
    <x v="19"/>
    <m/>
  </r>
  <r>
    <n v="15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técnicas para el ejercicio de la rectorí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Mesas de trabajo con cooperantes para la atención en salud de la población migrante en el departamento"/>
    <s v="Procesos transversales de la Gestion de la Salud Pública"/>
    <n v="2"/>
    <s v="Número"/>
    <n v="0"/>
    <n v="0"/>
    <e v="#DIV/0!"/>
    <n v="1"/>
    <n v="0"/>
    <n v="0"/>
    <n v="1"/>
    <m/>
    <n v="0"/>
    <n v="0"/>
    <m/>
    <e v="#DIV/0!"/>
    <n v="2"/>
    <n v="0"/>
    <n v="0"/>
    <d v="2026-04-01T00:00:00"/>
    <d v="2027-03-31T00:00:00"/>
    <s v="N/A"/>
    <s v="SGP-SALUD-SALUD PUBLICA (1.2.4.2.02)"/>
    <s v="1.2.4.2.02"/>
    <n v="10000000"/>
    <n v="10000000"/>
    <n v="10000000"/>
    <n v="0"/>
    <s v="Negros, Afrocolombianos, raizal y palanques"/>
    <s v="N/A"/>
    <x v="19"/>
    <m/>
  </r>
  <r>
    <n v="16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s v="Fortalecimiento del desarrollo de capacidades en el talento humano en salud para la identificación, diagnóstico y prevención de los riesgos relacionados con la ocupación._x000a_"/>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_x000a_"/>
    <s v="Desarrollo institucional y sectorial para el ejercicio de la autoridad sanitaria"/>
    <s v="Primer foro de salud intercultural de los pueblos y comunidades indígenas del Magdalena: kogui, wiwa, arhuacos, chimila (SSM, IPS, EPS, Defensoría del Pueblo, promotores de salud, gremios en salud y académia)"/>
    <s v="Procesos transversales de la Gestion de la Salud Pública"/>
    <n v="1"/>
    <s v="Número"/>
    <n v="0"/>
    <n v="0"/>
    <n v="0"/>
    <n v="0"/>
    <n v="0"/>
    <e v="#DIV/0!"/>
    <n v="1"/>
    <m/>
    <n v="0"/>
    <n v="1"/>
    <m/>
    <n v="0"/>
    <n v="1"/>
    <n v="0"/>
    <e v="#DIV/0!"/>
    <d v="2026-04-01T00:00:00"/>
    <d v="2027-03-31T00:00:00"/>
    <s v="N/A"/>
    <s v="SGP-SALUD-SALUD PUBLICA (1.2.4.2.02)"/>
    <s v="1.2.4.2.02"/>
    <n v="30000000"/>
    <n v="30000000"/>
    <n v="30000000"/>
    <n v="0"/>
    <s v="Negros, Afrocolombianos, raizal y palanques"/>
    <s v="N/A"/>
    <x v="19"/>
    <m/>
  </r>
  <r>
    <n v="16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Establecimiento de los mecanismos institucionales, sectoriales, intersectoriales y comunitarios que garanticen la participación de las diferentes formas y expresiones organizativas de los pueblos y comunidades en la planeación y la respuesta en salud."/>
    <s v="A 2031 el 100% de las Entidades_x000a_ Territoriales del orden departamental,_x000a_ distrital y municipal desarrollan_x000a_ mecanismos para el fortalecimiento de la_x000a_ rectoría en salud en su territorio, conforme_x000a_ a las competencias establecidas"/>
    <s v="A 2027 el 100% de las Entidades_x000a_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Relizar 4 mesas tematicas en territorio con la población etnica del departamento para fortalecer los procesos y practicas de salud de las comunidades y pueblos indigenas."/>
    <s v="Procesos transversales de la Gestion de la Salud Pública"/>
    <n v="4"/>
    <s v="Número"/>
    <n v="0"/>
    <n v="0"/>
    <n v="0"/>
    <n v="0"/>
    <n v="1"/>
    <e v="#DIV/0!"/>
    <n v="2"/>
    <m/>
    <n v="0"/>
    <n v="2"/>
    <m/>
    <n v="0"/>
    <n v="4"/>
    <n v="1"/>
    <e v="#DIV/0!"/>
    <d v="2026-04-01T00:00:00"/>
    <d v="2027-03-31T00:00:00"/>
    <s v="N/A"/>
    <s v="SGP-SALUD-SALUD PUBLICA (1.2.4.2.02)"/>
    <s v="1.2.4.2.02"/>
    <n v="40000000"/>
    <n v="40000000"/>
    <n v="40000000"/>
    <n v="0"/>
    <s v="Negros, Afrocolombianos, raizal y palanques"/>
    <s v="N/A"/>
    <x v="19"/>
    <m/>
  </r>
  <r>
    <n v="16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Capacidades fortalecidas para la gestión del conocimiento en salud pública"/>
    <s v="Fortalecimiento de las capacidades del Talento Humano en la irnplementación de estrategias para la generación de conocimiento de las condiciones de salud de la población y sus determinantes tales como bservatorios, ASIS, unidades de análisis, seminarios, entre otras."/>
    <s v="A 2031 el 100% de las Entidades_x000a_ Territoriales del orden departamental,_x000a_ distrital y municipal desarrollan_x000a_ mecanismos para el fortalecimiento de la_x000a_ rectoría en salud en su territorio, conforme_x000a_ a las competencias establecidas"/>
    <s v="A 2027 el 100% de las Entidades_x000a_ Territoriales del orden municipal desarrollan  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onformar, priorizar y desarrollar actividades educativas en GOTIS y UTIS en los 29 municipios del departamento"/>
    <s v="Desarrollo institucional y sectorial para el ejercicio de la autoridad sanitaria"/>
    <s v="Taller con las entidades de salud, los trabajadores informales, UTI y GOTIS para promover prácticas para el mejoramiento de las condiciones de salud de esta población identificación y gestión de sus riesgos a la salud asociados a los determinantes ambientales, sanitarios, ocupacionales de la salud."/>
    <s v="Procesos transversales de la Gestion de la Salud Pública"/>
    <n v="4"/>
    <s v="Número"/>
    <n v="0"/>
    <n v="0"/>
    <e v="#DIV/0!"/>
    <n v="0"/>
    <n v="0"/>
    <e v="#DIV/0!"/>
    <n v="2"/>
    <m/>
    <n v="0"/>
    <n v="2"/>
    <m/>
    <n v="0"/>
    <n v="4"/>
    <n v="0"/>
    <e v="#DIV/0!"/>
    <d v="2026-04-01T00:00:00"/>
    <d v="2027-03-31T00:00:00"/>
    <s v="N/A"/>
    <s v="SGP-SALUD-SALUD PUBLICA (1.2.4.2.02)"/>
    <s v="1.2.4.2.02"/>
    <n v="40000000"/>
    <n v="40000000"/>
    <n v="40000000"/>
    <n v="0"/>
    <m/>
    <s v="N/A"/>
    <x v="19"/>
    <m/>
  </r>
  <r>
    <n v="16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Intevenidos determinantes sociales individuales que mitigan morbilidad y mortalidad  prematuras por enfermdades no trasmisibles"/>
    <s v="Fortalecimiento de las capacidades del Talento Humano en la irnplementación de estrategias para la generación de conocimiento de las condiciones de salud de la población y sus determinantes tales como bservatorios, ASIS, unidades de análisis, seminarios, entre otras."/>
    <s v="A 2031 el 100% de las Entidades_x000a_ Territoriales del orden departamental,_x000a_ distrital y municipal desarrollan_x000a_ mecanismos para el fortalecimiento de la_x000a_ rectoría en salud en su territorio, conforme_x000a_ a las competencias establecidas"/>
    <s v="A 2027 el 100% de las Entidades_x000a_ Territoriales del orden municipal desarrollan  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izar Pruebas SRQ para la detección temprana de trastornos mentales en adultos en la poblacion infomal de los 29 munipios _x000a_"/>
    <s v="PIC(Anexo técnico)"/>
    <n v="29"/>
    <s v="Número"/>
    <n v="0"/>
    <n v="0"/>
    <e v="#DIV/0!"/>
    <n v="1"/>
    <n v="0"/>
    <n v="0"/>
    <n v="14"/>
    <m/>
    <n v="0"/>
    <n v="1"/>
    <m/>
    <n v="0"/>
    <n v="29"/>
    <n v="0"/>
    <n v="0"/>
    <d v="2026-04-01T00:00:00"/>
    <d v="2027-03-31T00:00:00"/>
    <s v="N/A"/>
    <s v="SGP-SALUD-SALUD PUBLICA (1.2.4.2.02)"/>
    <s v="1.2.4.2.02"/>
    <n v="120000000"/>
    <n v="120000000"/>
    <n v="120000000"/>
    <n v="0"/>
    <s v="Personal de Salud_x000a_"/>
    <s v="N/A"/>
    <x v="19"/>
    <m/>
  </r>
  <r>
    <n v="16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
    <s v="A 2027 el 100% de las entidades territoriales del orden municipal han desarrollado procesos de ajuste institucional para el fortalecimiento de las capacidades de la autoridad sanitaria y la apropiación territorial del modelo de salud basado en la atención primaria en salud"/>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fortalecimiento en salud de las unidades de atención integral comunitaria (UAIC) a población etnica indígena en los 4 municipios (Aracataca, Ciénaga, Fundación y Sabanas de San Angel) para difudinr los tres mensajes claves del programa de prevención, manejo y control de la IRA/EDA y la identificación de signos de alarma de la enfermedad diarreica aguda y enfermedad respiratoria aguda, donde se le entregara al promotor de la comunidad"/>
    <s v="PIC(Anexo técnico)"/>
    <n v="4"/>
    <s v="Número"/>
    <n v="0"/>
    <n v="0"/>
    <n v="0"/>
    <n v="0"/>
    <m/>
    <e v="#DIV/0!"/>
    <n v="1"/>
    <m/>
    <n v="0"/>
    <n v="0"/>
    <m/>
    <e v="#DIV/0!"/>
    <n v="4"/>
    <n v="0"/>
    <e v="#DIV/0!"/>
    <d v="2026-04-01T00:00:00"/>
    <d v="2027-03-31T00:00:00"/>
    <s v="N/A"/>
    <s v="SGP-SALUD-SALUD PUBLICA (1.2.4.2.02)"/>
    <s v="1.2.4.2.02"/>
    <n v="80000000"/>
    <n v="80000000"/>
    <n v="80000000"/>
    <n v="0"/>
    <s v="Personal de Salud_x000a_"/>
    <s v="N/A"/>
    <x v="19"/>
    <m/>
  </r>
  <r>
    <n v="16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
    <s v="A 2027 el 100% de las entidades territoriales del orden municipal han desarrollado procesos de ajuste institucional para el fortalecimiento de las capacidades de la autoridad sanitaria y la apropiación territorial del modelo de salud basado en la atención primaria en salud"/>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Actividades de Promoción, Prevención, Educación y Saneamiento tradicional (salud tradicional - salud intercultural - salud occidental)"/>
    <s v="PIC(Anexo técnico)"/>
    <n v="4"/>
    <s v="Número"/>
    <n v="0"/>
    <n v="0"/>
    <n v="0"/>
    <n v="0"/>
    <n v="0"/>
    <e v="#DIV/0!"/>
    <n v="2"/>
    <m/>
    <n v="0"/>
    <n v="2"/>
    <m/>
    <n v="0"/>
    <n v="4"/>
    <n v="0"/>
    <e v="#DIV/0!"/>
    <d v="2026-04-01T00:00:00"/>
    <d v="2027-03-31T00:00:00"/>
    <s v="N/A"/>
    <s v="SGP-SALUD-SALUD PUBLICA (1.2.4.2.02)"/>
    <s v="1.2.4.2.02"/>
    <n v="80000000"/>
    <n v="80000000"/>
    <n v="80000000"/>
    <n v="0"/>
    <s v="Indigenas"/>
    <s v="N/A"/>
    <x v="19"/>
    <m/>
  </r>
  <r>
    <n v="16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
    <s v="A 2027 el 100% de las entidades territoriales del orden municipal han desarrollado procesos de ajuste institucional para el fortalecimiento de las capacidades de la autoridad sanitaria y la apropiación territorial del modelo de salud basado en la atención primaria en salud"/>
    <s v="12-A 2031, el 40% de los niños menores de 6 meses tienen lactancia materna exclusiva"/>
    <s v="12-A 2031, el 40% de los niños menores de 6 meses tienen lactancia materna exclusiv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educación integral en salud materna y neonatal a Mujeres en edad fertil, gestantes en periodo de lactancia, sus familias, parteras, jefes del hogar, promotores de salud sobre la  lactancia materna y la adecuada alimentación complementaria en los microterritorios priorizados."/>
    <s v="PIC(Anexo técnico)"/>
    <n v="4"/>
    <s v="Número"/>
    <n v="0"/>
    <n v="0"/>
    <n v="0"/>
    <n v="0"/>
    <n v="0"/>
    <e v="#DIV/0!"/>
    <n v="2"/>
    <m/>
    <n v="0"/>
    <n v="2"/>
    <m/>
    <n v="0"/>
    <n v="4"/>
    <n v="0"/>
    <e v="#DIV/0!"/>
    <d v="2026-04-01T00:00:00"/>
    <d v="2027-03-31T00:00:00"/>
    <s v="N/A"/>
    <s v="SGP-SALUD-SALUD PUBLICA (1.2.4.2.02)"/>
    <s v="1.2.4.2.02"/>
    <n v="80000000"/>
    <n v="80000000"/>
    <n v="80000000"/>
    <n v="0"/>
    <s v="Personal de Salud_x000a_"/>
    <s v="N/A"/>
    <x v="19"/>
    <m/>
  </r>
  <r>
    <n v="16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
    <s v="A 2027 el 100% de las entidades territoriales del orden municipal han desarrollado procesos de ajuste institucional para el fortalecimiento de las capacidades de la autoridad sanitaria y la apropiación territorial del modelo de salud basado en la atención primaria en salud"/>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 Garantizar una atención integral, intercultural y continua a la población, a través de un equipo multidisciplinario que intervenga de manera articulada en la promoción, prevención, diagnóstico y tratamiento en salud, desde la implementación del Plan de Cuidado, adaptado a la cosmovisión territorial de las comunidades indígenas, este plan se pondrá en marcha en los cuatro municipios del Departamento con reconocimiento de las etnias en diferentes entornos en el área urbana y/o rural. "/>
    <s v="PIC(Anexo técnico)"/>
    <n v="4"/>
    <s v="Número"/>
    <n v="0"/>
    <n v="0"/>
    <n v="0"/>
    <n v="0"/>
    <n v="0"/>
    <e v="#DIV/0!"/>
    <n v="14"/>
    <m/>
    <n v="0"/>
    <n v="15"/>
    <m/>
    <n v="0"/>
    <n v="4"/>
    <n v="0"/>
    <e v="#DIV/0!"/>
    <d v="2026-04-01T00:00:00"/>
    <d v="2027-03-31T00:00:00"/>
    <s v="N/A"/>
    <s v="SGP-SALUD-SALUD PUBLICA (1.2.4.2.02)"/>
    <s v="1.2.4.2.02"/>
    <n v="576000000"/>
    <n v="576000000"/>
    <n v="576000000"/>
    <n v="0"/>
    <s v="Poblacion Trabajadora Inforrmal"/>
    <s v="N/A"/>
    <x v="19"/>
    <m/>
  </r>
  <r>
    <n v="16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
    <s v="A 2027 el 100% de las entidades territoriales del orden municipal han desarrollado procesos de ajuste institucional para el fortalecimiento de las capacidades de la autoridad sanitaria y la apropiación territorial del modelo de salud basado en la atención primaria en salud"/>
    <s v="93-A 2031, se logra el 90% de tratamiento exitoso en pacientes con tuberculosis"/>
    <s v="93-A 2031, se logra el 90% de tratamiento exitoso en pacientes con tuberculosi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Educación en salud a los pacientes, familias, comunidades y organizaciones indígenas sobre identificación de signos de alarma y síntomas de tuberculosis, realizar busquedas activas de sintomáticos respiratorios en comunidades indígenas de los municipios de Aracataca, Ciénaga, Fundación y San Angel y canalización a su IPS para su diagnóstico oportuno."/>
    <s v="PIC(Anexo técnico)"/>
    <n v="4"/>
    <s v="Número"/>
    <n v="0"/>
    <n v="0"/>
    <n v="0"/>
    <n v="0"/>
    <n v="0"/>
    <e v="#DIV/0!"/>
    <n v="2"/>
    <m/>
    <n v="0"/>
    <n v="2"/>
    <m/>
    <n v="0"/>
    <n v="4"/>
    <n v="0"/>
    <e v="#DIV/0!"/>
    <d v="2026-04-01T00:00:00"/>
    <d v="2027-03-31T00:00:00"/>
    <s v="N/A"/>
    <s v="SGP-SALUD-SALUD PUBLICA (1.2.4.2.02)"/>
    <s v="1.2.4.2.02"/>
    <n v="18000000"/>
    <n v="18000000"/>
    <n v="18000000"/>
    <n v="0"/>
    <s v="Indigenas"/>
    <s v="N/A"/>
    <x v="19"/>
    <m/>
  </r>
  <r>
    <n v="16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
    <s v="A 2027 el 100% de las entidades territoriales del orden municipal han desarrollado procesos de ajuste institucional para el fortalecimiento de las capacidades de la autoridad sanitaria y la apropiación territorial del modelo de salud basado en la atención primaria en salud"/>
    <s v="94-A 2031, se logra reducir el 50% la tasa de mortalidad por 100mil habitantes, causada por la tuberculosis en Colombia."/>
    <s v="94-A 2031, se logra reducir el 50% la tasa de mortalidad por 100mil habitantes, causada por la tuberculosis en Colombi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Educación en salud a los pacientes, familias, comunidades y organizaciones indígenas sobre identificación de signos de alarma y síntomas de tuberculosis, realizar busquedas activas de sintomáticos respiratorios en comunidades indígenas de los municipios de Aracataca, Ciénaga, Fundación y San Angel y canalización a su IPS para su diagnóstico oportuno."/>
    <s v="PIC(Anexo técnico)"/>
    <n v="4"/>
    <s v="Número"/>
    <n v="0"/>
    <n v="0"/>
    <n v="0"/>
    <n v="0"/>
    <n v="0"/>
    <e v="#DIV/0!"/>
    <n v="2"/>
    <m/>
    <n v="0"/>
    <n v="2"/>
    <m/>
    <n v="0"/>
    <n v="4"/>
    <n v="0"/>
    <e v="#DIV/0!"/>
    <d v="2026-04-01T00:00:00"/>
    <d v="2027-03-31T00:00:00"/>
    <s v="N/A"/>
    <s v="SGP-SALUD-SALUD PUBLICA (1.2.4.2.02)"/>
    <s v="1.2.4.2.02"/>
    <n v="80000000"/>
    <n v="80000000"/>
    <n v="80000000"/>
    <n v="0"/>
    <s v="Indigenas"/>
    <s v="N/A"/>
    <x v="19"/>
    <m/>
  </r>
  <r>
    <n v="17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s v="Fortalecimiento del desarrollo de capacidades en el talento humano en salud para la identificación, diagnóstico y prevención de los riesgos relacionados con la ocupación._x000a_"/>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_x000a_"/>
    <s v="Desarrollo institucional y sectorial para el ejercicio de la autoridad sanitaria"/>
    <s v="Desarrollo de capacidades al TH Indigena manejo de la DNT aguda "/>
    <s v="Procesos transversales de la Gestion de la Salud Pública"/>
    <n v="6"/>
    <s v="Número"/>
    <n v="0"/>
    <n v="0"/>
    <n v="0"/>
    <n v="0"/>
    <n v="0"/>
    <e v="#DIV/0!"/>
    <n v="2"/>
    <m/>
    <n v="0"/>
    <n v="2"/>
    <m/>
    <n v="0"/>
    <n v="6"/>
    <n v="0"/>
    <e v="#DIV/0!"/>
    <d v="2026-04-01T00:00:00"/>
    <d v="2027-03-31T00:00:00"/>
    <s v="N/A"/>
    <s v="SGP-SALUD-SALUD PUBLICA (1.2.4.2.02)"/>
    <s v="1.2.4.2.02"/>
    <n v="60000000"/>
    <n v="60000000"/>
    <n v="60000000"/>
    <n v="0"/>
    <s v="Indigenas"/>
    <s v="N/A"/>
    <x v="19"/>
    <m/>
  </r>
  <r>
    <n v="17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Capacidades fortalecidas para la gestión del conocimiento en salud pública"/>
    <s v="Fortalecimiento de las capacidades del Talento Humano en_x000a_ la irnplementación de estrategias para la generación de_x000a_ conocimiento de las condiciones de salud de la población_x000a_ y sus determinantes tales como observatorios, ASIS,_x000a_ unidades de análisis, seminarios, entre otras."/>
    <s v="A 2031, mantener la tasa de mortalidad de suicidio por debajo de 5"/>
    <s v="A 2027, mantener la tasa de mortalidad de suicidio por debajo de 5"/>
    <s v="A 2031, mantener la tasa de mortalidad de suicidio por debajo de 5"/>
    <s v="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Garantizar la atención a 1.992 personas victimas de vilencia de género intrafamiliar, intentos de suicidio, entre otros trastornos relacionados con la salud mental, a traves de la línea telefónica de atención de emergencias en salud mental"/>
    <s v="Desarrollo institucional y sectorial para el ejercicio de la autoridad sanitaria"/>
    <s v="Desarrollo de capacidades a través de un taller para los actores del sistema de salud en atención integral en salud y psicosocial, para las victimas del conflicto armado (SSM, IPS, EAPB) - Normatividad - protocolo/ implementación - retos y avances."/>
    <s v="Procesos transversales de la Gestion de la Salud Pública"/>
    <n v="1"/>
    <s v="Número"/>
    <n v="0"/>
    <m/>
    <e v="#DIV/0!"/>
    <n v="0"/>
    <m/>
    <e v="#DIV/0!"/>
    <n v="2"/>
    <m/>
    <n v="0"/>
    <n v="2"/>
    <m/>
    <n v="0"/>
    <n v="1"/>
    <n v="0"/>
    <n v="0"/>
    <d v="2026-04-01T00:00:00"/>
    <d v="2027-03-31T00:00:00"/>
    <s v="N/A"/>
    <s v="SGP-SALUD-SALUD PUBLICA (1.2.4.2.02)"/>
    <s v="1.2.4.2.02"/>
    <n v="30000000"/>
    <n v="30000000"/>
    <n v="30000000"/>
    <n v="0"/>
    <s v="Indigenas"/>
    <s v="N/A"/>
    <x v="19"/>
    <m/>
  </r>
  <r>
    <n v="17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desarrollar capacidades en la vigilancia sobre el uso, conservacion y aplicacion de los medicamentos dentro de los servicios farmaceuticos dependientes e independientes para minimizar errores en recpcion y dispensacion, a traves de 4 talleres"/>
    <s v="Procesos transversales de la Gestion de la Salud Pública"/>
    <n v="4"/>
    <s v="Número"/>
    <n v="0"/>
    <n v="0"/>
    <e v="#DIV/0!"/>
    <n v="0"/>
    <m/>
    <e v="#DIV/0!"/>
    <n v="2"/>
    <m/>
    <n v="0"/>
    <n v="2"/>
    <m/>
    <n v="0"/>
    <n v="4"/>
    <n v="0"/>
    <e v="#DIV/0!"/>
    <d v="2026-04-01T00:00:00"/>
    <d v="2027-03-31T00:00:00"/>
    <s v="N/A"/>
    <s v="SGP-SALUD-SALUD PUBLICA (1.2.4.2.02)"/>
    <s v="1.2.4.2.02"/>
    <n v="60000000"/>
    <n v="60000000"/>
    <n v="60000000"/>
    <n v="0"/>
    <s v="Indigenas"/>
    <s v="N/A"/>
    <x v="19"/>
    <m/>
  </r>
  <r>
    <n v="17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Articulacion Intersectorial para debatir politicas sobre el uso y conservacion de los medicamentos dentro de los servicios farmaceuticos dependientes e independientes para minimizar errores en recpcion y dispensacion, a traves de 5 reuniones "/>
    <s v="Procesos transversales de la Gestion de la Salud Pública"/>
    <n v="5"/>
    <s v="Número"/>
    <n v="0"/>
    <n v="0"/>
    <e v="#DIV/0!"/>
    <n v="0"/>
    <m/>
    <e v="#DIV/0!"/>
    <n v="2"/>
    <m/>
    <n v="0"/>
    <n v="2"/>
    <m/>
    <n v="0"/>
    <n v="5"/>
    <n v="0"/>
    <e v="#DIV/0!"/>
    <d v="2026-04-01T00:00:00"/>
    <d v="2027-03-31T00:00:00"/>
    <s v="N/A"/>
    <s v="SGP-SALUD-SALUD PUBLICA (1.2.4.2.02)"/>
    <s v="1.2.4.2.02"/>
    <n v="60000000"/>
    <n v="60000000"/>
    <n v="60000000"/>
    <n v="0"/>
    <s v="Indigenas"/>
    <s v="N/A"/>
    <x v="19"/>
    <m/>
  </r>
  <r>
    <n v="17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una compra al Fondo Nacional de Estupefacientes ,para adquirir los medicamentos monopolio del estado, para garantizar la disponibilidad a la póblación, de conforidad con el plan de adquisiciones "/>
    <s v="Procesos transversales de la Gestion de la Salud Pública"/>
    <n v="1"/>
    <s v="Número"/>
    <n v="1"/>
    <n v="1"/>
    <n v="100"/>
    <m/>
    <m/>
    <e v="#DIV/0!"/>
    <n v="3"/>
    <m/>
    <n v="0"/>
    <n v="3"/>
    <m/>
    <n v="0"/>
    <n v="1"/>
    <n v="1"/>
    <n v="100"/>
    <d v="2026-04-01T00:00:00"/>
    <d v="2027-03-31T00:00:00"/>
    <s v="N/A"/>
    <s v="SGP-SALUD-SALUD PUBLICA (1.2.4.2.02)"/>
    <s v="1.2.4.2.02"/>
    <n v="270081900"/>
    <n v="270081900"/>
    <n v="270081900"/>
    <n v="49677450"/>
    <m/>
    <s v="N/A"/>
    <x v="20"/>
    <m/>
  </r>
  <r>
    <n v="17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Adquirir 1000 recetarios oficiales para la prescripcion de medicamentos monopolio del Fondo Rotatorio de Estupefacientes"/>
    <s v="Procesos transversales de la Gestion de la Salud Pública"/>
    <n v="1000"/>
    <s v="Número"/>
    <n v="0"/>
    <n v="0"/>
    <e v="#DIV/0!"/>
    <m/>
    <m/>
    <e v="#DIV/0!"/>
    <n v="1"/>
    <m/>
    <n v="0"/>
    <m/>
    <m/>
    <e v="#DIV/0!"/>
    <n v="1000"/>
    <n v="0"/>
    <e v="#DIV/0!"/>
    <d v="2026-04-01T00:00:00"/>
    <d v="2027-03-31T00:00:00"/>
    <s v="N/A"/>
    <s v="SGP-SALUD-SALUD PUBLICA (1.2.4.2.02)"/>
    <s v="1.2.4.2.02"/>
    <n v="20000000"/>
    <n v="20000000"/>
    <n v="20000000"/>
    <n v="0"/>
    <m/>
    <s v="N/A"/>
    <x v="1"/>
    <m/>
  </r>
  <r>
    <n v="17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Fortalecer el sistema de informacion institucional, para garantizar respuestas oportunas, completas y trazables a los requerimientos de los entes de control atraves de la actualizacion del Sistema Integrado de Vigilancia Sanitaria. Que permitan cantralizar, organizar y hacer seguimiento a cada solicitud desde su recepcion hasta su cierre."/>
    <s v="Procesos transversales de la Gestion de la Salud Pública"/>
    <n v="100"/>
    <s v="Número"/>
    <n v="0"/>
    <n v="0"/>
    <e v="#DIV/0!"/>
    <n v="0"/>
    <n v="0"/>
    <e v="#DIV/0!"/>
    <n v="50"/>
    <m/>
    <n v="0"/>
    <n v="50"/>
    <m/>
    <n v="0"/>
    <n v="100"/>
    <n v="0"/>
    <e v="#DIV/0!"/>
    <d v="2026-04-01T00:00:00"/>
    <d v="2027-03-31T00:00:00"/>
    <s v="N/A"/>
    <s v="SGP-SALUD-SALUD PUBLICA (1.2.4.2.02)"/>
    <s v="1.2.4.2.02"/>
    <n v="71161000"/>
    <n v="71161000"/>
    <n v="71161000"/>
    <n v="0"/>
    <s v="Personal de Salud_x000a_"/>
    <s v="N/A"/>
    <x v="1"/>
    <m/>
  </r>
  <r>
    <n v="17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os Departamentos, Distritos y Municipios del País integran en su Planes de Desarrollo Territoriales estrategias para afectar de manera positiva los determinantes sociales de la salud en sus territorios.    "/>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Generar espacios de encuentro y coordinación intersectorial con actores del sistema de vigilancia en salud pública una vez por mes (cove), reuniones de estadisticas vitales y reuniones bimensuales para fortalecer la respuesta, control y seguimiento a los EISP del departamento con otros actores."/>
    <s v="Procesos transversales de la Gestion de la Salud Pública"/>
    <n v="22"/>
    <s v="Número"/>
    <n v="4"/>
    <n v="4"/>
    <n v="100"/>
    <n v="6"/>
    <n v="6"/>
    <n v="100"/>
    <n v="6"/>
    <m/>
    <n v="0"/>
    <n v="6"/>
    <m/>
    <n v="0"/>
    <n v="22"/>
    <n v="10"/>
    <n v="100"/>
    <d v="2026-04-01T00:00:00"/>
    <d v="2027-03-31T00:00:00"/>
    <s v="N/A"/>
    <s v="SGP-SALUD-SALUD PUBLICA (1.2.4.2.02)"/>
    <s v="1.2.4.2.02"/>
    <n v="65000000"/>
    <n v="65000000"/>
    <n v="65000000"/>
    <n v="65000000"/>
    <s v="Personal de Salud_x000a_"/>
    <s v="N/A"/>
    <x v="21"/>
    <m/>
  </r>
  <r>
    <n v="17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Realizar la gestión de los insumos necesarios para dar respuesta de manera oportuna y eficiente a los EISP y EISPII del departamento"/>
    <s v="Procesos transversales de la Gestion de la Salud Pública"/>
    <n v="5"/>
    <s v="Número"/>
    <n v="0"/>
    <n v="0"/>
    <e v="#DIV/0!"/>
    <n v="1"/>
    <n v="4"/>
    <n v="400"/>
    <n v="4"/>
    <m/>
    <n v="0"/>
    <n v="0"/>
    <m/>
    <e v="#DIV/0!"/>
    <n v="5"/>
    <n v="4"/>
    <n v="400"/>
    <d v="2026-04-01T00:00:00"/>
    <d v="2027-03-31T00:00:00"/>
    <s v="N/A"/>
    <s v="RECURSOS PROPIOS DE ESTABLECIMIENTOS PUBLICOS O UNIDADES ADMINISTRATIVAS ESPECIALES (1.2.5.1.00)"/>
    <s v="1.2.5.1.00"/>
    <n v="218000000"/>
    <n v="218000000"/>
    <n v="218000000"/>
    <n v="0"/>
    <s v="Personal de Salud_x000a_"/>
    <s v="N/A"/>
    <x v="21"/>
    <m/>
  </r>
  <r>
    <n v="17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Gestión territorial para el cuidado de la salud basado en la atención prima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Realizar encuesta de evaluación de coberturas de vacunación en zona urbana y rural de los 29 Municipios de Departamento"/>
    <s v="Procesos transversales de la Gestion de la Salud Pública"/>
    <n v="1"/>
    <s v="Documento"/>
    <n v="0"/>
    <n v="0"/>
    <e v="#DIV/0!"/>
    <n v="0"/>
    <n v="0"/>
    <e v="#DIV/0!"/>
    <n v="1"/>
    <m/>
    <n v="0"/>
    <n v="0"/>
    <m/>
    <e v="#DIV/0!"/>
    <n v="1"/>
    <n v="0"/>
    <e v="#DIV/0!"/>
    <d v="2026-04-01T00:00:00"/>
    <d v="2027-03-31T00:00:00"/>
    <s v="N/A"/>
    <s v="RECURSOS PROPIOS DE ESTABLECIMIENTOS PUBLICOS O UNIDADES ADMINISTRATIVAS ESPECIALES (1.2.5.1.00)"/>
    <s v="1.2.5.1.00"/>
    <n v="190000000"/>
    <n v="190000000"/>
    <n v="190000000"/>
    <n v="0"/>
    <s v="Personal de Salud_x000a_"/>
    <s v="N/A"/>
    <x v="21"/>
    <m/>
  </r>
  <r>
    <n v="18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Brindar asistencia técnica a las 29 direcciones territoriales de salud para verificar y fortalecer el funcionamiento del Sistema de Vigilancia en Salud Pública, con énfasis en la calidad de la notificación de los Eventos de Interés en Salud Pública (EISP), la implementación de los lineamientos nacionales del INS y la aplicación estandarizada de los protocolos vigentes."/>
    <s v="Procesos transversales de la Gestion de la Salud Pública"/>
    <n v="100"/>
    <s v="Porcentaje"/>
    <n v="10"/>
    <n v="92"/>
    <n v="919.99999999999989"/>
    <n v="30"/>
    <n v="84"/>
    <n v="280"/>
    <n v="30"/>
    <m/>
    <n v="0"/>
    <n v="30"/>
    <m/>
    <n v="0"/>
    <n v="100"/>
    <n v="176"/>
    <n v="440.00000000000006"/>
    <d v="2026-04-01T00:00:00"/>
    <d v="2027-03-31T00:00:00"/>
    <s v="N/A"/>
    <s v="RECURSOS PROPIOS DE ESTABLECIMIENTOS PUBLICOS O UNIDADES ADMINISTRATIVAS ESPECIALES (1.2.5.1.00)"/>
    <s v="1.2.5.1.00"/>
    <m/>
    <m/>
    <m/>
    <n v="0"/>
    <s v="Personal de Salud_x000a_"/>
    <s v="N/A"/>
    <x v="21"/>
    <m/>
  </r>
  <r>
    <n v="18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Actualizar y divulgar una vez al año el analisis de situacion en salud del departamento incluyendo la poblacion pertenecinete a grupos Etnicos, para conocer y comprender la complejidad en que se desarrollan los procesos de salud, enfermedad y calidad de vida de las poblaciones, permitiendo la adecuada y pertinente planeación de intervenciones."/>
    <s v="Procesos transversales de la Gestion de la Salud Pública"/>
    <n v="1"/>
    <s v="Documento"/>
    <n v="0"/>
    <n v="0"/>
    <e v="#DIV/0!"/>
    <n v="0"/>
    <n v="0"/>
    <e v="#DIV/0!"/>
    <n v="0"/>
    <m/>
    <e v="#DIV/0!"/>
    <n v="1"/>
    <m/>
    <n v="0"/>
    <n v="1"/>
    <n v="0"/>
    <e v="#DIV/0!"/>
    <d v="2026-04-01T00:00:00"/>
    <d v="2027-03-31T00:00:00"/>
    <s v="N/A"/>
    <s v="SGP-SALUD-SALUD PUBLICA (1.2.4.2.02)"/>
    <s v="1.2.4.2.02"/>
    <n v="60000000"/>
    <n v="60000000"/>
    <n v="60000000"/>
    <n v="0"/>
    <m/>
    <s v="N/A"/>
    <x v="21"/>
    <m/>
  </r>
  <r>
    <n v="18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Realizar el 100% de unidades de análisis de las mortalidades por EISP y de casos de morbilidad por EISP según lineamientos del INS"/>
    <s v="Procesos transversales de la Gestion de la Salud Pública"/>
    <n v="70"/>
    <s v="Porcentaje"/>
    <n v="8"/>
    <n v="15"/>
    <n v="187.5"/>
    <n v="21"/>
    <n v="26"/>
    <n v="123.80952380952381"/>
    <n v="21"/>
    <m/>
    <n v="0"/>
    <n v="20"/>
    <m/>
    <n v="0"/>
    <n v="70"/>
    <n v="41"/>
    <n v="141.37931034482759"/>
    <d v="2026-04-01T00:00:00"/>
    <d v="2027-03-31T00:00:00"/>
    <s v="N/A"/>
    <s v="SGP-SALUD-SALUD PUBLICA (1.2.4.2.02)"/>
    <s v="1.2.4.2.02"/>
    <m/>
    <m/>
    <m/>
    <n v="0"/>
    <m/>
    <s v="N/A"/>
    <x v="21"/>
    <m/>
  </r>
  <r>
    <n v="18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Capacidades fortalecidas para la gestión del conocimiento en salud pública  "/>
    <s v="Fortalecimiento de las capacidades del Talento Humano en el acceso y uso de la oferta actual de información pública de salud y de otros sector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Desarrollar procesos de capacitación dirigidos al talento humano operativo de la Secretaría de Salud, orientados al fortalecimiento de competencias técnicas en vigilancia en salud pública, con el fin de mejorar la calidad del análisis, la notificación y la respuesta institucional frente a los eventos de interés en salud pública"/>
    <s v="Procesos transversales de la Gestion de la Salud Pública"/>
    <n v="5"/>
    <s v="Número"/>
    <n v="0"/>
    <n v="0"/>
    <e v="#DIV/0!"/>
    <n v="1"/>
    <n v="4"/>
    <n v="400"/>
    <n v="2"/>
    <m/>
    <n v="0"/>
    <n v="2"/>
    <m/>
    <n v="0"/>
    <n v="5"/>
    <n v="4"/>
    <n v="400"/>
    <d v="2026-04-01T00:00:00"/>
    <d v="2027-03-31T00:00:00"/>
    <s v="N/A"/>
    <s v="SGP-SALUD-SALUD PUBLICA (1.2.4.2.02)"/>
    <s v="1.2.4.2.02"/>
    <n v="327000000"/>
    <n v="327000000"/>
    <n v="327000000"/>
    <n v="0"/>
    <s v="Familias, colectivos y comunidades"/>
    <s v="N/A"/>
    <x v="21"/>
    <m/>
  </r>
  <r>
    <n v="18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Nivel Nacional y entes territoriales preparados y fortalecidos para la gestión del conocimiento, prevención, y atención sectorial e intersectorial de emergencias, desastres y pandemias."/>
    <s v="Fortalecimiento de capacidades comunitarias en la gestión del riesgo de emergencias y desastres que afecten la salud de la población."/>
    <s v="A 2031 se establecerán en el 100% de los Departamentos y Distritos, sistemas de alerta temprana para la identificación del riesgo por el cambio climático y la posible vulnerabilidad de la población desde un enfoque territorial."/>
    <s v="A 2027 se establecerán en el 100% sistemas de alerta temprana para la identificación del riesgo por el cambio climático y la posible vulnerabilidad de la población desde un enfoque territorial."/>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Realizar talleres de REVCOM para fortalecer la participación social y comunitaria en la identificación oportuna de EISP o situaciones de riesgo en salud de la población general y poblacion migrante."/>
    <s v="Procesos transversales de la Gestion de la Salud Pública"/>
    <n v="2"/>
    <s v="Número"/>
    <n v="0"/>
    <n v="0"/>
    <e v="#DIV/0!"/>
    <n v="2"/>
    <n v="2"/>
    <n v="100"/>
    <n v="0"/>
    <m/>
    <e v="#DIV/0!"/>
    <n v="0"/>
    <m/>
    <e v="#DIV/0!"/>
    <n v="2"/>
    <n v="2"/>
    <n v="100"/>
    <d v="2026-02-01T00:00:00"/>
    <d v="2027-03-31T00:00:00"/>
    <s v="N/A"/>
    <s v="SGP-SALUD-SALUD PUBLICA (1.2.4.2.02)"/>
    <s v="1.2.4.2.02"/>
    <n v="80000000"/>
    <n v="80000000"/>
    <n v="80000000"/>
    <n v="80000000"/>
    <s v="Personal de Salud_x000a_"/>
    <s v="N/A"/>
    <x v="21"/>
    <m/>
  </r>
  <r>
    <n v="18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Producción, organización, depuración y reporte de la información en salud pública"/>
    <s v="A 2031 se establecerán en el 100% de los Departamentos y Distritos, sistemas de alerta temprana para la identificación del riesgo por el cambio climático y la posible vulnerabilidad de la población desde un enfoque territorial."/>
    <s v="A 2027 se establecerán en el 100% sistemas de alerta temprana para la identificación del riesgo por el cambio climático y la posible vulnerabilidad de la población desde un enfoque territorial."/>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Elaborar, analisar y divulgar boletines epidemiológicos quincenales con información actualizada sobre la dinámica de los Eventos de Interés en Salud Pública (EISP) notificados a la Unidad Notificadora Departamental (UND), incorporando el análisis diferencial por etnia, con el propósito de fortalecer la respuesta intersectorial, orientar las políticas, apoyar la planeación en salud y facilitar la toma oportuna de decisiones."/>
    <s v="Procesos transversales de la Gestion de la Salud Pública"/>
    <n v="24"/>
    <s v="Documento"/>
    <n v="6"/>
    <n v="6"/>
    <n v="100"/>
    <n v="6"/>
    <n v="6"/>
    <n v="100"/>
    <n v="6"/>
    <m/>
    <n v="0"/>
    <n v="6"/>
    <m/>
    <n v="0"/>
    <n v="24"/>
    <n v="12"/>
    <n v="100"/>
    <d v="2026-04-01T00:00:00"/>
    <d v="2027-03-31T00:00:00"/>
    <s v="N/A"/>
    <s v="SGP-SALUD-SALUD PUBLICA (1.2.4.2.02)"/>
    <s v="1.2.4.2.02"/>
    <m/>
    <m/>
    <m/>
    <m/>
    <s v="Personal de Salud_x000a_"/>
    <s v="N/A"/>
    <x v="21"/>
    <m/>
  </r>
  <r>
    <n v="18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
    <s v="Fortalecimiento de las capacidades del Talento Humano en la implementación de estrategias para la generación de conocimiento de las condiciones de salud de la población y sus determinantes tales como observatorios, ASIS, unidades de análisis, seminarios, entre otra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Socializar periódicamente con cada área de la Secretaría de Salud los datos específicos relacionados con los Eventos de Interés en Salud Pública (EISP) y los principales fenómenos epidemiológicos de los municipios, con el fin de fortalecer la planificación, ejecución y evaluación de las intervenciones en salud pública a nivel departamental; mediante reuniones de articulación interáreas y la realización de salas de análisis de riesgo."/>
    <s v="Procesos transversales de la Gestion de la Salud Pública"/>
    <n v="55"/>
    <s v="Documento"/>
    <n v="10"/>
    <n v="21"/>
    <n v="210"/>
    <n v="15"/>
    <n v="45"/>
    <n v="300"/>
    <n v="15"/>
    <m/>
    <n v="0"/>
    <n v="15"/>
    <m/>
    <n v="0"/>
    <n v="55"/>
    <n v="66"/>
    <n v="264"/>
    <d v="2026-02-01T00:00:00"/>
    <d v="2027-03-31T00:00:00"/>
    <s v="N/A"/>
    <s v="SGP-SALUD-SALUD PUBLICA (1.2.4.2.02)"/>
    <s v="1.2.4.2.02"/>
    <m/>
    <m/>
    <m/>
    <m/>
    <s v="Personal de Salud_x000a_"/>
    <s v="N/A"/>
    <x v="21"/>
    <m/>
  </r>
  <r>
    <n v="18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7-A 2031, el 100% de las entidades territoriales habrán implementado la Política Integral de Salud Ambiental (PISA)"/>
    <s v="67-A 2031, el 100% de las entidades territoriales habrán implementado la Política Integral de Salud Ambiental (PISA)"/>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la recoleccion mensual de los residuos peligrosos y químicos en el laboratorio de salud publica del Magdalena"/>
    <s v="Procesos transversales de la Gestion de la Salud Pública"/>
    <n v="100"/>
    <s v="Porcentaje"/>
    <n v="0"/>
    <m/>
    <e v="#DIV/0!"/>
    <n v="1"/>
    <m/>
    <n v="0"/>
    <n v="2"/>
    <m/>
    <n v="0"/>
    <n v="2"/>
    <m/>
    <n v="0"/>
    <n v="100"/>
    <n v="0"/>
    <n v="0"/>
    <d v="2026-04-01T00:00:00"/>
    <d v="2027-03-31T00:00:00"/>
    <s v="N/A"/>
    <s v="SGP-SALUD-SALUD PUBLICA (1.2.4.2.02)"/>
    <s v="1.2.4.2.02"/>
    <n v="25000000"/>
    <n v="25000000"/>
    <n v="25000000"/>
    <n v="0"/>
    <s v="Personal de Salud_x000a_"/>
    <s v="N/A"/>
    <x v="20"/>
    <m/>
  </r>
  <r>
    <n v="18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el transporte aéreo y terrestre de sustancias infecciosas, aguas , alimentos y material entomologico al Instituto Nacional de Salud, INVIMA y otros laboratorios del País."/>
    <s v="Procesos transversales de la Gestion de la Salud Pública"/>
    <n v="100"/>
    <s v="Porcentaje"/>
    <n v="0"/>
    <m/>
    <e v="#DIV/0!"/>
    <n v="1"/>
    <m/>
    <n v="0"/>
    <n v="2"/>
    <m/>
    <n v="0"/>
    <n v="1"/>
    <m/>
    <n v="0"/>
    <n v="100"/>
    <n v="0"/>
    <n v="0"/>
    <d v="2026-04-01T00:00:00"/>
    <d v="2027-03-31T00:00:00"/>
    <s v="N/A"/>
    <s v="SGP-SALUD-SALUD PUBLICA (1.2.4.2.02)"/>
    <s v="1.2.4.2.02"/>
    <n v="70000000"/>
    <n v="70000000"/>
    <n v="70000000"/>
    <n v="0"/>
    <s v="Familias, colectivos y comunidades"/>
    <s v="N/A"/>
    <x v="20"/>
    <m/>
  </r>
  <r>
    <n v="18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cursos de entrenamiento para profesionales de la salud, en montaje y lectura de pruebas rapidas de VIH, Hepatitis y sifilis en el marco del cumplimiento de la Resolución 1314/2020"/>
    <s v="Procesos transversales de la Gestion de la Salud Pública"/>
    <n v="5"/>
    <s v="Número"/>
    <n v="6"/>
    <m/>
    <n v="0"/>
    <n v="6"/>
    <m/>
    <n v="0"/>
    <n v="6"/>
    <m/>
    <n v="0"/>
    <n v="6"/>
    <m/>
    <n v="0"/>
    <n v="5"/>
    <n v="0"/>
    <n v="0"/>
    <d v="2026-04-01T00:00:00"/>
    <d v="2027-03-31T00:00:00"/>
    <s v="N/A"/>
    <s v="SGP-SALUD-SALUD PUBLICA (1.2.4.2.02)"/>
    <s v="1.2.4.2.02"/>
    <n v="110000000"/>
    <n v="110000000"/>
    <n v="110000000"/>
    <n v="0"/>
    <s v="Personal de Salud_x000a_"/>
    <s v="N/A"/>
    <x v="20"/>
    <m/>
  </r>
  <r>
    <n v="19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Curso teórico Práctico de herramientas diagnósticas de eventos de interés de Salud Pública a toda la red departamental"/>
    <s v="Procesos transversales de la Gestion de la Salud Pública"/>
    <n v="4"/>
    <s v="Número"/>
    <n v="10"/>
    <m/>
    <n v="0"/>
    <n v="15"/>
    <m/>
    <n v="0"/>
    <n v="15"/>
    <m/>
    <n v="0"/>
    <n v="15"/>
    <m/>
    <n v="0"/>
    <n v="4"/>
    <n v="0"/>
    <n v="0"/>
    <d v="2026-02-01T00:00:00"/>
    <d v="2027-03-31T00:00:00"/>
    <s v="N/A"/>
    <s v="SGP-SALUD-SALUD PUBLICA (1.2.4.2.02)"/>
    <s v="1.2.4.2.02"/>
    <n v="80000000"/>
    <n v="80000000"/>
    <n v="80000000"/>
    <n v="0"/>
    <s v="Personal de Salud_x000a_"/>
    <s v="N/A"/>
    <x v="20"/>
    <m/>
  </r>
  <r>
    <n v="19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plan de mantenimiento preventivo, correctivo, calibración y calificación de los equipos del Laboratorio de Salud Publica, asegurando el cumplimiento de los requisitos del Organismo Nacional de Acreditación de Colombia ONAC y su documento normativo CEA-4.1-02 de Los proveedores."/>
    <s v="Procesos transversales de la Gestion de la Salud Pública"/>
    <n v="100"/>
    <s v="Porcentaje"/>
    <n v="25"/>
    <m/>
    <n v="0"/>
    <n v="25"/>
    <m/>
    <n v="0"/>
    <n v="25"/>
    <m/>
    <n v="0"/>
    <n v="25"/>
    <m/>
    <n v="0"/>
    <n v="100"/>
    <n v="0"/>
    <n v="0"/>
    <d v="2026-04-01T00:00:00"/>
    <d v="2027-03-31T00:00:00"/>
    <s v="N/A"/>
    <s v="SGP-SALUD-SALUD PUBLICA (1.2.4.2.02)"/>
    <s v="1.2.4.2.02"/>
    <n v="500000000"/>
    <n v="500000000"/>
    <n v="500000000"/>
    <n v="0"/>
    <s v="Personal de Salud_x000a_"/>
    <s v="N/A"/>
    <x v="22"/>
    <m/>
  </r>
  <r>
    <n v="19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Plan de Mantenimiento Preventivo y Correctivo de la Planta Electrica del Laboratorio de Salud Publica Departamental del Magdalena; el cual debe llevarlo a cabo una empresa cuyo domicilio principal y razon social este en la ciudad de Santa Marta ( Magdalena)."/>
    <s v="Procesos transversales de la Gestion de la Salud Pública"/>
    <n v="100"/>
    <s v="Porcentaje"/>
    <n v="25"/>
    <m/>
    <n v="0"/>
    <n v="25"/>
    <m/>
    <n v="0"/>
    <n v="25"/>
    <m/>
    <n v="0"/>
    <n v="25"/>
    <m/>
    <n v="0"/>
    <n v="100"/>
    <n v="0"/>
    <n v="0"/>
    <d v="2026-04-01T00:00:00"/>
    <d v="2027-03-31T00:00:00"/>
    <s v="N/A"/>
    <s v="SGP-SALUD-SALUD PUBLICA (1.2.4.2.02)"/>
    <s v="1.2.4.2.02"/>
    <n v="40000000"/>
    <n v="40000000"/>
    <n v="40000000"/>
    <n v="0"/>
    <s v="Personal de Salud_x000a_"/>
    <s v="N/A"/>
    <x v="22"/>
    <m/>
  </r>
  <r>
    <n v="19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compra de equipos biomedicos, de sistema de informacion, para cumplir con los procesos misionales y para la bioseguridad en el LSP que garantice las acciones de vigilancia de salud Pública por el LSP ."/>
    <s v="Procesos transversales de la Gestion de la Salud Pública"/>
    <n v="100"/>
    <s v="Porcentaje"/>
    <n v="1"/>
    <m/>
    <n v="0"/>
    <n v="2"/>
    <m/>
    <n v="0"/>
    <n v="1"/>
    <m/>
    <n v="0"/>
    <n v="1"/>
    <m/>
    <n v="0"/>
    <n v="100"/>
    <n v="0"/>
    <n v="0"/>
    <d v="2026-04-01T00:00:00"/>
    <d v="2027-03-31T00:00:00"/>
    <s v="N/A"/>
    <s v="SGP-SALUD-SALUD PUBLICA (1.2.4.2.02)"/>
    <s v="1.2.4.2.02"/>
    <n v="500000000"/>
    <n v="500000000"/>
    <n v="500000000"/>
    <n v="0"/>
    <s v="Personal de Salud_x000a_"/>
    <s v="N/A"/>
    <x v="22"/>
    <m/>
  </r>
  <r>
    <n v="19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compra de insumos y reactivos para cumplir con los procesos misionales y para la bioseguridad en el LSP que garantice las acciones de vigilancia de salud Pública por el LSP ."/>
    <s v="Procesos transversales de la Gestion de la Salud Pública"/>
    <n v="100"/>
    <s v="Porcentaje"/>
    <n v="1"/>
    <m/>
    <n v="0"/>
    <n v="1"/>
    <m/>
    <n v="0"/>
    <n v="1"/>
    <m/>
    <n v="0"/>
    <n v="1"/>
    <m/>
    <n v="0"/>
    <n v="100"/>
    <n v="0"/>
    <n v="0"/>
    <d v="2026-04-01T00:00:00"/>
    <d v="2027-03-31T00:00:00"/>
    <s v="N/A"/>
    <s v="SGP-SALUD-SALUD PUBLICA (1.2.4.2.02)"/>
    <s v="1.2.4.2.02"/>
    <n v="1000000000"/>
    <n v="1000000000"/>
    <n v="1000000000"/>
    <n v="0"/>
    <s v="Personal de Salud_x000a_"/>
    <s v="N/A"/>
    <x v="22"/>
    <m/>
  </r>
  <r>
    <n v="19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Mantenimiento y actualizacion de software para el Laboratorio de Salud Publica para el manejo del sistema de gestion de la calidad"/>
    <s v="Procesos transversales de la Gestion de la Salud Pública"/>
    <n v="100"/>
    <s v="Porcentaje"/>
    <n v="25"/>
    <m/>
    <n v="0"/>
    <n v="25"/>
    <m/>
    <n v="0"/>
    <n v="25"/>
    <m/>
    <n v="0"/>
    <n v="25"/>
    <m/>
    <n v="0"/>
    <n v="100"/>
    <n v="0"/>
    <n v="0"/>
    <d v="2026-04-01T00:00:00"/>
    <d v="2027-03-31T00:00:00"/>
    <s v="N/A"/>
    <s v="SGP-SALUD-SALUD PUBLICA (1.2.4.2.02)"/>
    <s v="1.2.4.2.02"/>
    <n v="100000000"/>
    <n v="100000000"/>
    <n v="100000000"/>
    <n v="0"/>
    <s v="Personal de Salud_x000a_"/>
    <s v="N/A"/>
    <x v="22"/>
    <m/>
  </r>
  <r>
    <n v="19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Adquisicion de software para gestionar las muestras en el area Microbiologia de Alimentos para laboratorio de salud publica"/>
    <s v="Procesos transversales de la Gestion de la Salud Pública"/>
    <n v="1"/>
    <s v="Número"/>
    <n v="25"/>
    <m/>
    <n v="0"/>
    <n v="25"/>
    <m/>
    <n v="0"/>
    <n v="25"/>
    <m/>
    <n v="0"/>
    <n v="25"/>
    <m/>
    <n v="0"/>
    <n v="1"/>
    <n v="0"/>
    <n v="0"/>
    <d v="2026-04-01T00:00:00"/>
    <d v="2027-03-31T00:00:00"/>
    <s v="N/A"/>
    <s v="SGP-SALUD-SALUD PUBLICA (1.2.4.2.02)"/>
    <s v="1.2.4.2.02"/>
    <n v="200000000"/>
    <n v="200000000"/>
    <n v="200000000"/>
    <n v="0"/>
    <s v="Personal de Salud_x000a_"/>
    <s v="N/A"/>
    <x v="22"/>
    <m/>
  </r>
  <r>
    <n v="19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Plan de control de plagas del Laboratorio de Salud Publica Departamental del Magdalena; el cual debe llevarlo a cabo una empresa cuyo domicilio principal y razon social este en la ciudad de Santa Marta ( Magdalena)."/>
    <s v="Procesos transversales de la Gestion de la Salud Pública"/>
    <n v="100"/>
    <s v="Porcentaje"/>
    <n v="25"/>
    <m/>
    <n v="0"/>
    <n v="25"/>
    <m/>
    <n v="0"/>
    <n v="25"/>
    <m/>
    <n v="0"/>
    <n v="25"/>
    <m/>
    <n v="0"/>
    <n v="100"/>
    <n v="0"/>
    <n v="0"/>
    <d v="2026-04-01T00:00:00"/>
    <d v="2027-03-31T00:00:00"/>
    <s v="N/A"/>
    <s v="SGP-SALUD-SALUD PUBLICA (1.2.4.2.02)"/>
    <s v="1.2.4.2.02"/>
    <n v="10000000"/>
    <n v="10000000"/>
    <n v="10000000"/>
    <n v="0"/>
    <s v="Personal de Salud_x000a_"/>
    <s v="N/A"/>
    <x v="22"/>
    <m/>
  </r>
  <r>
    <n v="19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el analisis de vertimientos de acuerdo a la resolucion Resolución 0631 de 2015 el cual debe llevarlo a cabo una laboratorio acreditado."/>
    <s v="Procesos transversales de la Gestion de la Salud Pública"/>
    <n v="100"/>
    <s v="Porcentaje"/>
    <n v="25"/>
    <m/>
    <n v="0"/>
    <n v="25"/>
    <m/>
    <n v="0"/>
    <n v="25"/>
    <m/>
    <n v="0"/>
    <n v="25"/>
    <m/>
    <n v="0"/>
    <n v="100"/>
    <n v="0"/>
    <n v="0"/>
    <d v="2026-04-01T00:00:00"/>
    <d v="2027-03-31T00:00:00"/>
    <s v="N/A"/>
    <s v="SGP-SALUD-SALUD PUBLICA (1.2.4.2.02)"/>
    <s v="1.2.4.2.02"/>
    <n v="10000000"/>
    <n v="10000000"/>
    <n v="10000000"/>
    <n v="0"/>
    <s v="Personal de Salud_x000a_"/>
    <s v="N/A"/>
    <x v="22"/>
    <m/>
  </r>
  <r>
    <n v="19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68-A 2031,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el mantenimiento de motobombas y limpieza y desinfeccion del sistema de suministro de agua del laboratorio de salud Publica el cual debe llevarlo a cabo 2 veces al año una empresa cuyo domicilio principal y razon social este en la ciudad de Santa Marta (Magdalena)."/>
    <s v="Procesos transversales de la Gestion de la Salud Pública"/>
    <n v="100"/>
    <s v="Porcentaje"/>
    <n v="25"/>
    <m/>
    <n v="0"/>
    <n v="25"/>
    <m/>
    <n v="0"/>
    <n v="25"/>
    <m/>
    <n v="0"/>
    <n v="25"/>
    <m/>
    <n v="0"/>
    <n v="100"/>
    <n v="0"/>
    <n v="0"/>
    <d v="2026-04-01T00:00:00"/>
    <d v="2027-03-31T00:00:00"/>
    <s v="N/A"/>
    <s v="SGP-SALUD-SALUD PUBLICA (1.2.4.2.02)"/>
    <s v="1.2.4.2.02"/>
    <n v="15000000"/>
    <n v="15000000"/>
    <n v="15000000"/>
    <n v="0"/>
    <s v="Personal de Salud_x000a_"/>
    <s v="N/A"/>
    <x v="22"/>
    <m/>
  </r>
  <r>
    <n v="20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la migracion de la Norma ISO/IEC 17025 2005 a Norma ISO/IEC 17025 2017 para dar cumplimiento a los halazgos del INS e INVIMA y actualizar el sistema de Gestion de la Calidad del laboratorio de Salud Publica"/>
    <s v="Procesos transversales de la Gestion de la Salud Pública"/>
    <n v="100"/>
    <s v="Porcentaje"/>
    <m/>
    <m/>
    <e v="#DIV/0!"/>
    <m/>
    <m/>
    <e v="#DIV/0!"/>
    <m/>
    <m/>
    <e v="#DIV/0!"/>
    <n v="1"/>
    <m/>
    <n v="0"/>
    <n v="100"/>
    <n v="0"/>
    <n v="0"/>
    <d v="2026-04-01T00:00:00"/>
    <d v="2027-03-31T00:00:00"/>
    <s v="N/A"/>
    <s v="SGP-SALUD-SALUD PUBLICA (1.2.4.2.02)"/>
    <s v="1.2.4.2.02"/>
    <n v="70000000"/>
    <n v="70000000"/>
    <n v="70000000"/>
    <n v="0"/>
    <s v="Personal de Salud_x000a_"/>
    <s v="N/A"/>
    <x v="22"/>
    <m/>
  </r>
  <r>
    <n v="20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encuentro de laboratorios de Banco Sangre departamental para la concertar estrategias para la concientizacion de la donacion de sangre"/>
    <s v="Procesos transversales de la Gestion de la Salud Pública"/>
    <n v="1"/>
    <s v="Número"/>
    <n v="25"/>
    <m/>
    <n v="0"/>
    <n v="25"/>
    <m/>
    <n v="0"/>
    <n v="25"/>
    <m/>
    <n v="0"/>
    <n v="25"/>
    <m/>
    <n v="0"/>
    <n v="1"/>
    <n v="0"/>
    <n v="0"/>
    <d v="2026-04-01T00:00:00"/>
    <d v="2027-03-31T00:00:00"/>
    <s v="N/A"/>
    <s v="SGP-SALUD-SALUD PUBLICA (1.2.4.2.02)"/>
    <s v="1.2.4.2.02"/>
    <n v="50000000"/>
    <n v="50000000"/>
    <n v="50000000"/>
    <n v="0"/>
    <s v="Personal de Salud_x000a_"/>
    <s v="N/A"/>
    <x v="22"/>
    <m/>
  </r>
  <r>
    <n v="20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85-A 2031, 15% de municipios endémicos para malaria pasan de categoría de riesgo 4 a 3"/>
    <s v="85-A 2031, 15% de municipios endémicos para malaria pasan de categoría de riesgo 4 a 3"/>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Hacer captura de material entomologico para malaria, chagas y leishmaniasis en municipios priorizados según programacion definida"/>
    <s v="Procesos transversales de la Gestion de la Salud Pública"/>
    <n v="100"/>
    <s v="Porcentaje"/>
    <n v="25"/>
    <m/>
    <n v="0"/>
    <n v="25"/>
    <m/>
    <n v="0"/>
    <n v="25"/>
    <m/>
    <n v="0"/>
    <n v="25"/>
    <m/>
    <n v="0"/>
    <n v="100"/>
    <n v="0"/>
    <n v="0"/>
    <d v="2026-04-01T00:00:00"/>
    <d v="2027-03-31T00:00:00"/>
    <s v="N/A"/>
    <s v="SGP-SALUD-SALUD PUBLICA (1.2.4.2.02)"/>
    <s v="1.2.4.2.02"/>
    <m/>
    <m/>
    <m/>
    <m/>
    <s v="Personal de Salud_x000a_"/>
    <s v="N/A"/>
    <x v="22"/>
    <m/>
  </r>
  <r>
    <n v="20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68-A 2031,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vigilancia por laboratorio de la calidad de agua para consumo humano (IRCA ) de los municipios del departamento del Magdalena con reporte a SIVICAP"/>
    <s v="Procesos transversales de la Gestion de la Salud Pública"/>
    <n v="120"/>
    <s v="Número"/>
    <n v="25"/>
    <m/>
    <n v="0"/>
    <n v="25"/>
    <m/>
    <n v="0"/>
    <n v="25"/>
    <m/>
    <n v="0"/>
    <n v="25"/>
    <m/>
    <n v="0"/>
    <n v="120"/>
    <n v="0"/>
    <n v="0"/>
    <d v="2026-04-01T00:00:00"/>
    <d v="2027-03-31T00:00:00"/>
    <s v="N/A"/>
    <s v="SGP-SALUD-SALUD PUBLICA (1.2.4.2.02)"/>
    <s v="1.2.4.2.02"/>
    <m/>
    <m/>
    <m/>
    <m/>
    <s v="Personal de Salud_x000a_"/>
    <s v="N/A"/>
    <x v="22"/>
    <m/>
  </r>
  <r>
    <n v="20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A 2031, reducir en 50% la tasa de mortalidad por EDA en menores de 5 años"/>
    <s v="9-A 2031, reducir en 50% la tasa de mortalidad por EDA en menores de 5 añ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Vigilancia por laboratorio de los alimentos y ETAS en los municipios del Departamento del Magdalena y su reporte al Epiinfo."/>
    <s v="Procesos transversales de la Gestion de la Salud Pública"/>
    <n v="12"/>
    <s v="Número"/>
    <n v="25"/>
    <m/>
    <n v="0"/>
    <n v="25"/>
    <m/>
    <n v="0"/>
    <n v="25"/>
    <m/>
    <n v="0"/>
    <n v="25"/>
    <m/>
    <n v="0"/>
    <n v="12"/>
    <n v="0"/>
    <n v="0"/>
    <d v="2026-04-01T00:00:00"/>
    <d v="2027-03-31T00:00:00"/>
    <s v="N/A"/>
    <s v="SGP-SALUD-SALUD PUBLICA (1.2.4.2.02)"/>
    <s v="1.2.4.2.02"/>
    <m/>
    <m/>
    <m/>
    <m/>
    <s v="Personal de Salud_x000a_"/>
    <s v="N/A"/>
    <x v="22"/>
    <m/>
  </r>
  <r>
    <n v="20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7-A 2031, el 100% de las entidades territoriales habrán implementado la Política Integral de Salud Ambiental (PISA)"/>
    <s v="67-A 2031, el 100% de las entidades territoriales habrán implementado la Política Integral de Salud Ambiental (PISA)"/>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Vigilancia por laboratorio de las Intoxicación ocasionadas por plaguicidas, organofosforados y carbamatos en Municipios priorizados del Departamento del Magdalena."/>
    <s v="Procesos transversales de la Gestion de la Salud Pública"/>
    <n v="4"/>
    <s v="Número"/>
    <m/>
    <m/>
    <e v="#DIV/0!"/>
    <m/>
    <m/>
    <e v="#DIV/0!"/>
    <n v="1"/>
    <m/>
    <n v="0"/>
    <m/>
    <m/>
    <e v="#DIV/0!"/>
    <n v="4"/>
    <n v="0"/>
    <n v="0"/>
    <d v="2026-04-01T00:00:00"/>
    <d v="2027-03-31T00:00:00"/>
    <s v="N/A"/>
    <s v="SGP-SALUD-SALUD PUBLICA (1.2.4.2.02)"/>
    <s v="1.2.4.2.02"/>
    <m/>
    <m/>
    <m/>
    <m/>
    <s v="Personal de Salud_x000a_"/>
    <s v="N/A"/>
    <x v="22"/>
    <m/>
  </r>
  <r>
    <n v="20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control de Calidad por laboratorio de los eventos de interes en salud publica de las muestras enviadas por la red de laboratorios del Distrito y del Departamento"/>
    <s v="Procesos transversales de la Gestion de la Salud Pública"/>
    <n v="400"/>
    <s v="Porcentaje"/>
    <n v="25"/>
    <m/>
    <n v="0"/>
    <n v="25"/>
    <m/>
    <n v="0"/>
    <n v="25"/>
    <m/>
    <n v="0"/>
    <n v="25"/>
    <m/>
    <n v="0"/>
    <n v="400"/>
    <n v="0"/>
    <n v="0"/>
    <d v="2026-02-01T00:00:00"/>
    <d v="2027-03-31T00:00:00"/>
    <s v="N/A"/>
    <s v="SGP-SALUD-SALUD PUBLICA (1.2.4.2.02)"/>
    <s v="1.2.4.2.02"/>
    <m/>
    <m/>
    <m/>
    <m/>
    <s v="Personal de Salud_x000a_"/>
    <s v="N/A"/>
    <x v="22"/>
    <m/>
  </r>
  <r>
    <n v="20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9-A 2031, 50% de las personas que son confirmadas por banco de sangre para HTLV, VIH, Hepatitis B y C, enfermedad de Chagas y sífilis acceden a la atención integral en salud."/>
    <s v="79-A 2031, 50% de las personas que son confirmadas por banco de sangre para HTLV, VIH, Hepatitis B y C, enfermedad de Chagas y sífilis acceden a la atención integral en salud."/>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visitas e inspeccion y asistencia tecnicas a los Bancos de sangre del Departamento del Magdalena"/>
    <s v="Procesos transversales de la Gestion de la Salud Pública"/>
    <n v="9"/>
    <s v="Número"/>
    <n v="30"/>
    <m/>
    <n v="0"/>
    <n v="30"/>
    <m/>
    <n v="0"/>
    <n v="30"/>
    <m/>
    <n v="0"/>
    <n v="30"/>
    <m/>
    <n v="0"/>
    <n v="9"/>
    <n v="0"/>
    <n v="0"/>
    <d v="2026-02-01T00:00:00"/>
    <d v="2027-03-31T00:00:00"/>
    <s v="N/A"/>
    <s v="SGP-SALUD-SALUD PUBLICA (1.2.4.2.02)"/>
    <s v="1.2.4.2.02"/>
    <m/>
    <m/>
    <m/>
    <m/>
    <s v="Personal de Salud_x000a_"/>
    <s v="N/A"/>
    <x v="22"/>
    <m/>
  </r>
  <r>
    <n v="20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ersonal de salud"/>
    <s v="iii) Trabajo digno y decente para el talento humano en salud y otros trabajadores del sector"/>
    <s v="Entidades Territoriales Departamentales, Distritales y Municipales con mecanismos fortalecidos para el ejercicio de la Rectoría en Salud."/>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Desarrollo institucional y sectorial para el ejercicio de la autoridad sanitaria"/>
    <s v="Gestionar la contratación del talento humano operativo para el desarrollo de los procesos a cargo de la Entidad territorial como autoridad sanitaria, orientados a que las estrategias, procedimientos e intervenciones de Salud Pública se realicen de manera efectiva, coordinada y organizada entre los diferentes actores del SGSSS, otros sectores y la comunidad."/>
    <s v="Procesos transversales de la Gestion de la Salud Pública"/>
    <n v="100"/>
    <s v="Porcentaje"/>
    <n v="3"/>
    <m/>
    <n v="0"/>
    <n v="3"/>
    <m/>
    <n v="0"/>
    <n v="3"/>
    <m/>
    <n v="0"/>
    <n v="3"/>
    <m/>
    <n v="0"/>
    <n v="100"/>
    <n v="0"/>
    <n v="0"/>
    <d v="2026-02-01T00:00:00"/>
    <d v="2027-03-31T00:00:00"/>
    <s v="N/A"/>
    <s v="SGP-SALUD-SALUD PUBLICA (1.2.4.2.02)"/>
    <s v="1.2.4.2.02"/>
    <n v="6174978000"/>
    <n v="6174978000"/>
    <n v="6174978000"/>
    <n v="0"/>
    <s v="Personal de Salud_x000a_"/>
    <s v="N/A"/>
    <x v="22"/>
    <m/>
  </r>
  <r>
    <n v="20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Desarrollo institucional y sectorial para el ejercicio de la autoridad sanitaria"/>
    <s v="Desarrollo de capacidades frente a la planeacion integral en salud, la Formulacion coherente, pertinente y oportuna de las intervenciones del PIC/GSP Resolucion 1597/25"/>
    <s v="Procesos transversales de la Gestion de la Salud Pública"/>
    <n v="2"/>
    <s v="Número"/>
    <n v="0"/>
    <m/>
    <e v="#DIV/0!"/>
    <n v="1"/>
    <m/>
    <n v="0"/>
    <n v="2"/>
    <m/>
    <n v="0"/>
    <n v="1"/>
    <m/>
    <n v="0"/>
    <n v="2"/>
    <n v="0"/>
    <n v="0"/>
    <d v="2026-02-01T00:00:00"/>
    <d v="2027-03-31T00:00:00"/>
    <s v="N/A"/>
    <s v="SGP-SALUD-SALUD PUBLICA (1.2.4.2.02)"/>
    <s v="1.2.4.2.02"/>
    <n v="100000000"/>
    <n v="100000000"/>
    <n v="100000000"/>
    <n v="0"/>
    <s v="Personal de Salud_x000a_"/>
    <s v="N/A"/>
    <x v="22"/>
    <m/>
  </r>
  <r>
    <n v="21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Desarrollo institucional y sectorial para el ejercicio de la autoridad sanitaria"/>
    <s v="Desarrollo de capacidades los EBS para la optima ejecucion de las acciones en campo"/>
    <s v="Procesos transversales de la Gestion de la Salud Pública"/>
    <n v="2"/>
    <s v="Número"/>
    <n v="100"/>
    <m/>
    <n v="0"/>
    <n v="100"/>
    <m/>
    <n v="0"/>
    <n v="100"/>
    <m/>
    <n v="0"/>
    <n v="100"/>
    <m/>
    <n v="0"/>
    <n v="2"/>
    <n v="0"/>
    <n v="0"/>
    <d v="2026-02-01T00:00:00"/>
    <d v="2027-03-31T00:00:00"/>
    <s v="N/A"/>
    <s v="SGP-SALUD-SALUD PUBLICA (1.2.4.2.02)"/>
    <s v="1.2.4.2.02"/>
    <n v="100000000"/>
    <n v="100000000"/>
    <n v="100000000"/>
    <n v="0"/>
    <s v="Personal de Salud_x000a_"/>
    <s v="N/A"/>
    <x v="22"/>
    <m/>
  </r>
  <r>
    <n v="21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Desarrollo institucional y sectorial para el ejercicio de la autoridad sanitaria"/>
    <s v="Desarrollo de capacidades en Plan Terrirotial de Salud"/>
    <s v="Procesos transversales de la Gestion de la Salud Pública"/>
    <n v="4"/>
    <s v="Número"/>
    <n v="0"/>
    <m/>
    <e v="#DIV/0!"/>
    <n v="3"/>
    <m/>
    <n v="0"/>
    <n v="3"/>
    <m/>
    <n v="0"/>
    <n v="3"/>
    <m/>
    <n v="0"/>
    <n v="4"/>
    <n v="0"/>
    <n v="0"/>
    <d v="2026-02-01T00:00:00"/>
    <d v="2027-03-31T00:00:00"/>
    <s v="N/A"/>
    <s v="SGP-SALUD-SALUD PUBLICA (1.2.4.2.02)"/>
    <s v="1.2.4.2.02"/>
    <n v="80000000"/>
    <n v="80000000"/>
    <n v="80000000"/>
    <n v="0"/>
    <s v="Personal de Salud_x000a_"/>
    <s v="N/A"/>
    <x v="22"/>
    <m/>
  </r>
  <r>
    <n v="21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Mejorar la dotacion del Fondo Rotatorio de Estupefacientes con la adquisicion de 4 aires acondicionados ( 2 de 24000 BTU, 2 12000 BTU), desmonte de aires viejos e instalación de los nuevos."/>
    <s v="Procesos transversales de la Gestion de la Salud Pública"/>
    <n v="100"/>
    <s v="Número"/>
    <m/>
    <m/>
    <e v="#DIV/0!"/>
    <n v="60"/>
    <m/>
    <n v="0"/>
    <n v="20"/>
    <m/>
    <n v="0"/>
    <n v="20"/>
    <m/>
    <n v="0"/>
    <n v="100"/>
    <n v="0"/>
    <n v="0"/>
    <d v="2026-02-01T00:00:00"/>
    <d v="2027-03-31T00:00:00"/>
    <s v="N/A"/>
    <s v="SGP-SALUD-SALUD PUBLICA (1.2.4.2.02)"/>
    <s v="1.2.4.2.02"/>
    <n v="30000000"/>
    <n v="30000000"/>
    <n v="30000000"/>
    <n v="0"/>
    <s v="Personal de Salud_x000a_"/>
    <s v="N/A"/>
    <x v="23"/>
    <m/>
  </r>
  <r>
    <n v="213"/>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a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5-A 2031, mantener la tasa de mortalidad de suicidio por debajo de 5"/>
    <s v="Mantener por debajo de 5 por 100.000 habitantes la tasa de suicidio"/>
    <s v="Salud Pública"/>
    <s v="Médico en tu casa"/>
    <s v="Fortalecimiento de Estrategias para la Promoción de la Salud y Prevención de Enfermedades en Comunidades, mediante acciones Integrales, Participativas y Sostenibles en el Departamento del Magdalena."/>
    <s v="Implementar la línea telefonica de atencion en salud mental en el departamento del Magdalena"/>
    <s v="DESARROLLO INSTITUCIONAL Y SECTORIAL PARA EL EJERCICIO DE LA AUTORIDAD SANITARIA."/>
    <s v="Diseñar y formalizar el protocolo técnico-operativo de la línea telefónica departamental de atención en salud mental por parte de la Secretaría Seccional de Salud del Magdalena mediante acto administrativo que defina ruta de atención, perfiles del talento humano, articulación intersectorial y sistema de monitoreo"/>
    <s v="Procesos transversales de la Gestion de la Salud Pública"/>
    <n v="1"/>
    <s v="Documento"/>
    <m/>
    <m/>
    <e v="#DIV/0!"/>
    <m/>
    <m/>
    <e v="#DIV/0!"/>
    <n v="2"/>
    <m/>
    <n v="0"/>
    <m/>
    <m/>
    <e v="#DIV/0!"/>
    <n v="1"/>
    <n v="0"/>
    <n v="0"/>
    <d v="2026-04-01T00:00:00"/>
    <d v="2027-03-31T00:00:00"/>
    <s v="N/A"/>
    <s v="SGP-SALUD-SALUD PUBLICA (1.2.4.2.02)"/>
    <s v="1.2.4.2.02"/>
    <n v="15000000"/>
    <n v="15000000"/>
    <n v="15000000"/>
    <n v="0"/>
    <s v="Personal de Salud_x000a_"/>
    <s v="N/A"/>
    <x v="24"/>
    <m/>
  </r>
  <r>
    <n v="214"/>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a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5-A 2031, mantener la tasa de mortalidad de suicidio por debajo de 5"/>
    <s v="Mantener por debajo de 5 por 100.000 habitantes la tasa de suicidio"/>
    <s v="Salud Pública"/>
    <s v="Médico en tu casa"/>
    <s v="Fortalecimiento de Estrategias para la Promoción de la Salud y Prevención de Enfermedades en Comunidades, mediante acciones Integrales, Participativas y Sostenibles en el Departamento del Magdalena."/>
    <s v="Implementar la línea telefonica de atencion en salud mental en el departamento del Magdalena"/>
    <s v="ACUERDOS SOCIALES Y COMUNITARIOS PARA LA TRANSFORMACIÓN DE LAS INEQUIDADES EN SALUD  Y LA INCIDENCIA SOBRE LOS DETERMINANTES SOCIALES DE LA SALUD EN EL TERRITORIO."/>
    <s v="Concertar acuerdos territoriales de promoción y uso de la línea telefónica de salud mental con actores comunitarios, educativos y sociales del departamento del Magdalena mediante mesas de trabajo que definan estrategias de difusión, enfoque diferencial y canales de referencia comunitaria."/>
    <s v="Procesos transversales de la Gestion de la Salud Pública"/>
    <n v="100"/>
    <s v="Porcentaaje de gestión"/>
    <m/>
    <m/>
    <e v="#DIV/0!"/>
    <n v="2"/>
    <m/>
    <n v="0"/>
    <n v="2"/>
    <m/>
    <n v="0"/>
    <m/>
    <m/>
    <e v="#DIV/0!"/>
    <n v="100"/>
    <n v="0"/>
    <n v="0"/>
    <d v="2026-04-01T00:00:00"/>
    <d v="2026-03-31T00:00:00"/>
    <s v="N/A"/>
    <s v="SGP-SALUD-SALUD PUBLICA (1.2.4.2.02)"/>
    <s v="1.2.4.2.02"/>
    <n v="58000000"/>
    <n v="58000000"/>
    <n v="58000000"/>
    <n v="0"/>
    <s v="Personal de Salud_x000a_"/>
    <s v="N/A"/>
    <x v="24"/>
    <m/>
  </r>
  <r>
    <n v="215"/>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a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5-A 2031, mantener la tasa de mortalidad de suicidio por debajo de 5"/>
    <s v="Mantener por debajo de 5 por 100.000 habitantes la tasa de suicidio"/>
    <s v="Salud Pública"/>
    <s v="Médico en tu casa"/>
    <s v="Fortalecimiento de Estrategias para la Promoción de la Salud y Prevención de Enfermedades en Comunidades, mediante acciones Integrales, Participativas y Sostenibles en el Departamento del Magdalena."/>
    <s v="Implementar la línea telefonica de atencion en salud mental en el departamento del Magdalena"/>
    <s v="Cuidado de la Salud en el Territorio."/>
    <s v="Implementar la operación continua de la línea telefónica departamental de atención en salud mental por el equipo interdisciplinario contratado mediante prestación de servicio 24/7 que garantice orientación, intervención en crisis y activación oportuna de la ruta de atención en el territorio."/>
    <s v="Procesos transversales de la Gestion de la Salud Pública"/>
    <n v="360"/>
    <s v="dias"/>
    <m/>
    <m/>
    <e v="#DIV/0!"/>
    <m/>
    <m/>
    <e v="#DIV/0!"/>
    <n v="2"/>
    <m/>
    <n v="0"/>
    <n v="2"/>
    <m/>
    <n v="0"/>
    <n v="360"/>
    <n v="0"/>
    <n v="0"/>
    <d v="2026-04-01T00:00:00"/>
    <d v="2027-03-31T00:00:00"/>
    <s v="N/A"/>
    <s v="SGP-SALUD-SALUD PUBLICA (1.2.4.2.02)"/>
    <s v="1.2.4.2.02"/>
    <n v="60000000"/>
    <n v="60000000"/>
    <n v="60000000"/>
    <n v="0"/>
    <s v="Personal de Salud_x000a_"/>
    <s v="N/A"/>
    <x v="24"/>
    <m/>
  </r>
  <r>
    <n v="216"/>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a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A 2031, reducir en 50% la tasa de mortalidad por EDA en menores de 5 años"/>
    <s v="Disminuir la Tasa de mortalidad por EDA a 4,3 por 100.000 menores de 5 años"/>
    <s v="Salud Pública"/>
    <s v="Médico en tu casa"/>
    <s v="Fortalecimiento de Estrategias para la Promoción de la Salud y Prevención de Enfermedades en Comunidades, mediante acciones Integrales, Participativas y Sostenibles en el Departamento del Magdalena."/>
    <s v="Realizar estrategias de educomunicacion en salud sexual y reproductiva en IED priorizadas en el departamento"/>
    <s v="DESARROLLO INSTITUCIONAL Y SECTORIAL PARA EL EJERCICIO DE LA AUTORIDAD SANITARIA."/>
    <s v="Diseñar y adoptar el plan técnico departamental de comunicación en salud sexual y reproductiva para IED priorizadas por la Secretaría Seccional de Salud del Magdalena mediante acto administrativo que defina lineamientos pedagógicos, enfoque diferencial, articulación con sector educación y sistema de seguimiento."/>
    <s v="Procesos transversales de la Gestion de la Salud Pública"/>
    <n v="1"/>
    <s v="Documento( Plan )"/>
    <n v="0"/>
    <n v="0"/>
    <e v="#DIV/0!"/>
    <n v="0"/>
    <n v="0"/>
    <e v="#DIV/0!"/>
    <n v="1"/>
    <m/>
    <n v="0"/>
    <n v="0"/>
    <m/>
    <e v="#DIV/0!"/>
    <n v="1"/>
    <n v="0"/>
    <e v="#DIV/0!"/>
    <d v="2026-04-01T00:00:00"/>
    <d v="2027-03-31T00:00:00"/>
    <s v="N/A"/>
    <s v="SGP-SALUD-SALUD PUBLICA (1.2.4.2.02)"/>
    <s v="1.2.4.2.02"/>
    <m/>
    <m/>
    <m/>
    <m/>
    <s v="Personal de Salud_x000a_"/>
    <s v="N/A"/>
    <x v="1"/>
    <m/>
  </r>
  <r>
    <n v="217"/>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a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A 2031, reducir en 50% la tasa de mortalidad por EDA en menores de 5 años"/>
    <s v="Disminuir la Tasa de mortalidad por EDA a 4,3 por 100.000 menores de 5 años"/>
    <s v="Salud Pública"/>
    <s v="Médico en tu casa"/>
    <s v="Fortalecimiento de Estrategias para la Promoción de la Salud y Prevención de Enfermedades en Comunidades, mediante acciones Integrales, Participativas y Sostenibles en el Departamento del Magdalena."/>
    <s v="Realizar estrategias de educomunicacion en salud sexual y reproductiva en IED priorizadas en el departamento"/>
    <s v="ACUERDOS SOCIALES Y COMUNITARIOS PARA LA TRANSFORMACIÓN DE LAS INEQUIDADES EN SALUD  Y LA INCIDENCIA SOBRE LOS DETERMINANTES SOCIALES DE LA SALUD EN EL TERRITORIO."/>
    <s v="Concertar acuerdos intersectoriales de implementación de estrategias de educomunicación en salud sexual y reproductiva con directivos docentes, asociaciones de padres y líderes juveniles en los municipios del departamento mediante mesas territoriales que definan compromisos, rutas de participación y mecanismos de corresponsabilidad."/>
    <s v="Procesos transversales de la Gestion de la Salud Pública"/>
    <n v="29"/>
    <s v="municipios"/>
    <m/>
    <m/>
    <e v="#DIV/0!"/>
    <m/>
    <m/>
    <e v="#DIV/0!"/>
    <n v="1"/>
    <m/>
    <n v="0"/>
    <m/>
    <m/>
    <e v="#DIV/0!"/>
    <n v="29"/>
    <n v="0"/>
    <n v="0"/>
    <d v="2026-04-01T00:00:00"/>
    <d v="2027-03-31T00:00:00"/>
    <m/>
    <s v="SGP-SALUD-SALUD PUBLICA (1.2.4.2.02)"/>
    <s v="1.2.4.2.02"/>
    <n v="30000000"/>
    <n v="30000000"/>
    <n v="30000000"/>
    <n v="0"/>
    <s v="Familias, colectivos y comunidades"/>
    <s v="N/A"/>
    <x v="25"/>
    <m/>
  </r>
  <r>
    <n v="218"/>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a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A 2031, reducir en 50% la tasa de mortalidad por EDA en menores de 5 años"/>
    <s v="Disminuir la Tasa de mortalidad por EDA a 4,3 por 100.000 menores de 5 años"/>
    <s v="Salud Pública"/>
    <s v="Médico en tu casa"/>
    <s v="Fortalecimiento de Estrategias para la Promoción de la Salud y Prevención de Enfermedades en Comunidades, mediante acciones Integrales, Participativas y Sostenibles en el Departamento del Magdalena."/>
    <s v="Realizar estrategias de educomunicacion en salud sexual y reproductiva en IED priorizadas en el departamento"/>
    <s v="Cuidado de la Salud en el Territorio."/>
    <s v="Implementar jornadas pedagógicas y campañas educomunicativas en salud sexual y reproductiva en IED priorizadas por el equipo técnico de salud pública en cada municipio  del Deparatemento para la activación de rutas de orientación y acceso a servicios amigables."/>
    <s v="Procesos transversales de la Gestion de la Salud Pública"/>
    <n v="29"/>
    <s v="municipios"/>
    <m/>
    <m/>
    <e v="#DIV/0!"/>
    <m/>
    <m/>
    <e v="#DIV/0!"/>
    <n v="50"/>
    <m/>
    <n v="0"/>
    <n v="50"/>
    <m/>
    <n v="0"/>
    <n v="29"/>
    <n v="0"/>
    <n v="0"/>
    <d v="2026-04-01T00:00:00"/>
    <d v="2027-03-31T00:00:00"/>
    <m/>
    <s v="SGP-SALUD-SALUD PUBLICA (1.2.4.2.02)"/>
    <s v="1.2.4.2.02"/>
    <n v="30000000"/>
    <n v="30000000"/>
    <n v="30000000"/>
    <n v="0"/>
    <s v="Familias, colectivos y comunidades"/>
    <s v="NA"/>
    <x v="25"/>
    <m/>
  </r>
  <r>
    <n v="219"/>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a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1-A 2031, reducir a 32 por 100.000 nacidos vivos la razón de mortalidad materna"/>
    <s v="A 2031 Disminuir a 32 x 100.000 NVla razón de mortalidad materna a "/>
    <s v="Salud Pública"/>
    <s v="Médico en tu casa"/>
    <s v="Fortalecimiento de Estrategias para la Promoción de la Salud y Prevención de Enfermedades en Comunidades, mediante acciones Integrales, Participativas y Sostenibles en el Departamento del Magdalena."/>
    <s v="Implementación de la estrategia nacional para la prevencion de la conducta suicida en las IPS publicas del departamento"/>
    <s v="DESARROLLO INSTITUCIONAL Y SECTORIAL PARA EL EJERCICIO DE LA AUTORIDAD SANITARIA."/>
    <s v="Adoptar y reglamentar la estrategia nacional de prevención de la conducta suicida en las IPS públicas del departamento por la Secretaría Seccional de Salud del Magdalena mediante acto administrativo que defina lineamientos técnicos, responsabilidades institucionales, indicadores de seguimiento y sistema de reporte obligatorio"/>
    <s v="Procesos transversales de la Gestion de la Salud Pública"/>
    <n v="1"/>
    <s v="Estrategia"/>
    <n v="0"/>
    <n v="0"/>
    <e v="#DIV/0!"/>
    <n v="0"/>
    <n v="0"/>
    <e v="#DIV/0!"/>
    <n v="1"/>
    <m/>
    <n v="0"/>
    <n v="0"/>
    <m/>
    <e v="#DIV/0!"/>
    <n v="1"/>
    <n v="0"/>
    <e v="#DIV/0!"/>
    <d v="2026-04-01T00:00:00"/>
    <d v="2027-03-31T00:00:00"/>
    <m/>
    <s v="SGP-SALUD-SALUD PUBLICA (1.2.4.2.02)"/>
    <s v="1.2.4.2.02"/>
    <m/>
    <m/>
    <m/>
    <m/>
    <s v="Familias, colectivos y comunidades"/>
    <s v="NA"/>
    <x v="5"/>
    <m/>
  </r>
  <r>
    <n v="220"/>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a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1-A 2031, reducir a 32 por 100.000 nacidos vivos la razón de mortalidad materna"/>
    <s v="A 2031 Disminuir a 32 x 100.000 NVla razón de mortalidad materna a "/>
    <s v="Salud Pública"/>
    <s v="Médico en tu casa"/>
    <s v="Fortalecimiento de Estrategias para la Promoción de la Salud y Prevención de Enfermedades en Comunidades, mediante acciones Integrales, Participativas y Sostenibles en el Departamento del Magdalena."/>
    <s v="Implementación de la estrategia nacional para la prevencion de la conducta suicida en las IPS publicas del departamento"/>
    <s v="ACUERDOS SOCIALES Y COMUNITARIOS PARA LA TRANSFORMACIÓN DE LAS INEQUIDADES EN SALUD  Y LA INCIDENCIA SOBRE LOS DETERMINANTES SOCIALES DE LA SALUD EN EL TERRITORIO."/>
    <s v="Articular compromisos intersectoriales de prevención de la conducta suicida con sector educativo, comisarías de familia y organizaciones comunitarias del departamento mediante mesas territoriales que establezcan rutas de detección temprana, referencia y acompañamiento psicosocial."/>
    <s v="Procesos transversales de la Gestion de la Salud Pública"/>
    <n v="100"/>
    <s v="Porcentaaje de gestión"/>
    <n v="100"/>
    <n v="0"/>
    <n v="0"/>
    <n v="100"/>
    <n v="46"/>
    <n v="46"/>
    <n v="100"/>
    <m/>
    <n v="0"/>
    <n v="100"/>
    <m/>
    <n v="0"/>
    <n v="100"/>
    <n v="46"/>
    <n v="23"/>
    <d v="2026-04-01T00:00:00"/>
    <d v="2027-03-31T00:00:00"/>
    <m/>
    <m/>
    <m/>
    <m/>
    <m/>
    <m/>
    <m/>
    <s v="Familias, colectivos y comunidades"/>
    <s v="NA"/>
    <x v="5"/>
    <m/>
  </r>
  <r>
    <n v="221"/>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a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1-A 2031, reducir a 32 por 100.000 nacidos vivos la razón de mortalidad materna"/>
    <s v="A 2031 Disminuir a 32 x 100.000 NVla razón de mortalidad materna a "/>
    <s v="Salud Pública"/>
    <s v="Médico en tu casa"/>
    <s v="Fortalecimiento de Estrategias para la Promoción de la Salud y Prevención de Enfermedades en Comunidades, mediante acciones Integrales, Participativas y Sostenibles en el Departamento del Magdalena."/>
    <s v="Implementación de la estrategia nacional para la prevencion de la conducta suicida en las IPS publicas del departamento"/>
    <s v="Cuidado de la Salud en el Territorio."/>
    <s v="mplementar la estrategia nacional de prevención de la conducta suicida en las IPS públicas del departamento por los equipos interdisciplinarios de salud mental mediante capacitación al talento humano, tamizaje sistemático de riesgo y activación oportuna de la ruta integral de atención."/>
    <s v="Procesos transversales de la Gestion de la Salud Pública"/>
    <n v="1"/>
    <s v="Estrategia"/>
    <n v="0"/>
    <n v="0"/>
    <e v="#DIV/0!"/>
    <n v="0"/>
    <n v="0"/>
    <e v="#DIV/0!"/>
    <n v="1"/>
    <m/>
    <n v="0"/>
    <m/>
    <m/>
    <e v="#DIV/0!"/>
    <n v="1"/>
    <n v="0"/>
    <e v="#DIV/0!"/>
    <d v="2026-04-01T00:00:00"/>
    <d v="2027-03-31T00:00:00"/>
    <m/>
    <s v="SGP-SALUD-SALUD PUBLICA (1.2.4.2.02)"/>
    <s v="1.2.4.2.02"/>
    <n v="30000000"/>
    <n v="30000000"/>
    <n v="30000000"/>
    <n v="0"/>
    <s v="Adolescencia"/>
    <s v="NA"/>
    <x v="5"/>
    <m/>
  </r>
  <r>
    <n v="222"/>
    <s v="Aumento de la Tasa de Incidencia de las enfermedades transmitidas por vectores como el dengue"/>
    <s v="Cambio climático, emergencias, desastres y pandemias"/>
    <s v="Nivel Nacional y entes territoriales preparados y fortalecidos para la gestión del conocimiento, prevención, y atención sectorial e intersectorial de emergencias, desastres y pandemias."/>
    <s v="A 2031 se establecerán en el 100% de los Departamentos y Distritos, sistemas de alerta temprana para la identificación del riesgo por el cambio climático y la posible vulnerabilidad de la población desde un enfoque territorial.  "/>
    <s v="Fortalecimiento de capacidades comunitarias en la gestión del riesgo de emergencias y desastres que afecten la salud de la población.  "/>
    <s v="A 2031 se incorporará en el 100% de los Departamentos y Distritos, el Plan de gestión integral de riesgos de emergencias y desastres en salud (PGIRED)  "/>
    <s v="A 2031 se incorporará en el 100% de los Departamentos y Distritos, el Plan de gestión integral de riesgos de emergencias y desastres en salud (PGIRED)  "/>
    <s v="Reducir a 10% las muertes por dengue grave en el departamento"/>
    <s v="A 2027 Garantizar la vigilancia epidemiologica al los eventos de Interes en Salud Publica, en los 29 municipios del departamento "/>
    <s v="ACUERDOS SOCIALES Y COMUNITARIOS PARA LA TRANSFORMACIÓN DE LAS INEQUIDADES EN SALUD  Y LA INCIDENCIA SOBRE LOS DETERMINANTES SOCIALES DE LA SALUD EN EL TERRITORIO."/>
    <s v="Mé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
    <s v="ACUERDOS SOCIALES Y COMUNITARIOS PARA LA TRANSFORMACIÓN DE LAS INEQUIDADES EN SALUD  Y LA INCIDENCIA SOBRE LOS DETERMINANTES SOCIALES DE LA SALUD EN EL TERRITORIO."/>
    <s v="Articular compromisos comunitarios de apoyo a la vigilancia epidemiológica con actores sociales y educativos de los 29 municipios mediante jornadas participativas que promuevan la identificación temprana de eventos y la activación de rutas institucionales."/>
    <s v="Procesos transversales de la Gestion de la Salud Pública"/>
    <n v="29"/>
    <s v="municipios"/>
    <n v="0"/>
    <n v="0"/>
    <e v="#DIV/0!"/>
    <n v="5"/>
    <n v="0"/>
    <n v="0"/>
    <n v="13"/>
    <m/>
    <n v="0"/>
    <n v="11"/>
    <m/>
    <n v="0"/>
    <n v="29"/>
    <n v="0"/>
    <n v="0"/>
    <d v="2026-04-01T00:00:00"/>
    <d v="2027-03-31T00:00:00"/>
    <m/>
    <s v="SGP-SALUD-SALUD PUBLICA (1.2.4.2.02)"/>
    <s v="1.2.4.2.02"/>
    <m/>
    <m/>
    <m/>
    <m/>
    <s v="Adolescencia"/>
    <s v="NA"/>
    <x v="25"/>
    <m/>
  </r>
  <r>
    <n v="223"/>
    <s v="Deficiencias en la infraestructura sanitaria que se ve reflejada en bajas coberturas de alcantarillado y prestación del servicio de aseo, así como la mala calidad del agua, que condiciona la incidencia de enfermedades transmitidas por el agua y los alimentos, infecciones gastrointestinales, parasitosis y otras enfermedades de origen hídrico."/>
    <s v="Cambio climático, emergencias, desastres y pandemias"/>
    <s v="Nivel Nacional y entes territoriales preparados y fortalecidos para la gestión del conocimiento, prevención, y atención sectorial e intersectorial de emergencias, desastres y pandemias."/>
    <s v="a 2031 se incorporará en el 100% de los departamentos y distritos, el plan de gestion en sistemas de alerta temprana para la identificación del riesgo por el cambio climático y la posible vulnerabilidad de la población desde un enfoque territorial"/>
    <s v="fortalecimiento de las capacidades del personal de la salud en todo lo relacionado con los posibles efectos de la variabilidad del cambio climático"/>
    <s v="A 2031 se incorporará en el 100% de los Departamentos y Distritos, el Plan de gestión integral de riesgos de emergencias y desastres en salud (PGIRED)  "/>
    <s v="A 2031 se incorporará en el 100% de los Departamentos y Distritos, el Plan de gestión integral de riesgos de emergencias y desastres en salud (PGIRED)  "/>
    <s v="Reducir a 10% las muertes por dengue grave en el departamento"/>
    <s v="A 2027 Lograr la formulación  y socialización de Planes municipales de Gestion integrl de riesgos de desastres en los 29 municipios"/>
    <s v="CUIDADO DE LA SALUD EN EL TERRITORIO."/>
    <s v="Médico en tu casa"/>
    <s v="Fortalecimiento de Estrategias para la Promoción de la Salud y Prevención de Enfermedades en Comunidades, mediante acciones Integrales, Participativas y Sostenibles en el Departamento del Magdalena."/>
    <s v="Lograr la formulación  y socialización de Planes municipales de Gestion integrl de riesgos de desastres en los 29 municipios"/>
    <s v="Cuidado de la Salud en el Territorio."/>
    <s v="Implementar procesos territoriales de acompañamiento técnico para la formulación y socialización de los Planes Municipales de Gestión Integral del Riesgo de Desastres en los 29 municipios por el equipo departamental de salud pública mediante asistencia técnica directa, simulacros comunitarios y validación participativa de rutas de respuesta en salud."/>
    <s v="Procesos transversales de la Gestion de la Salud Pública"/>
    <n v="29"/>
    <s v="municipios"/>
    <n v="0"/>
    <n v="0"/>
    <e v="#DIV/0!"/>
    <n v="5"/>
    <n v="0"/>
    <n v="0"/>
    <n v="13"/>
    <m/>
    <n v="0"/>
    <n v="11"/>
    <m/>
    <n v="0"/>
    <n v="29"/>
    <n v="0"/>
    <n v="0"/>
    <d v="2026-04-01T00:00:00"/>
    <d v="2027-03-31T00:00:00"/>
    <m/>
    <m/>
    <m/>
    <m/>
    <m/>
    <m/>
    <m/>
    <s v="Personal de Salud."/>
    <s v="NA"/>
    <x v="25"/>
    <m/>
  </r>
  <r>
    <n v="22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ambio climático, emergencias, desastres y pandemias"/>
    <s v="Nivel Nacional y entes territoriales preparados y fortalecidos para la gestión del conocimiento, prevención, y atención sectorial e intersectorial de emergencias, desastres y pandemias."/>
    <s v="a 2031 se incorporará en el 100% de los departamentos y distritos, el plan de gestion en sistemas de alerta temprana para la identificación del riesgo por el cambio climático y la posible vulnerabilidad de la población desde un enfoque territorial"/>
    <s v="fortalecimiento de las capacidades del personal de la salud en todo lo relacionado con los posibles efectos de la variabilidad del cambio climático"/>
    <s v="A 2031 se incorporará en el 100% de los Departamentos y Distritos, el Plan de gestión integral de riesgos de emergencias y desastres en salud (PGIRED)  "/>
    <s v="A 2027 Fortalecer 100% de los departamentos y Distritos los sistemas de alerta temprana y la infraestructura sanitaria en zonas rurales para garantizar una respuesta rápida y efectiva ante emergencias climáticas"/>
    <s v="a 2031 Contener la tasa de Mortalidad en menores de 5 años"/>
    <s v="Lograr que los 29 municipios conozcan y apliquen el reglamento sanitario internacional 2005"/>
    <s v="CUIDADO DE LA SALUD EN EL TERRITORIO."/>
    <s v="Médico en tu casa"/>
    <s v="Fortalecimiento de Estrategias para la Promoción de la Salud y Prevención de Enfermedades en Comunidades, mediante acciones Integrales, Participativas y Sostenibles en el Departamento del Magdalena."/>
    <s v="Lograr que los 29 municipios conozcan y apliquen el reglamento sanitario internacional 2005"/>
    <s v="Cuidado de la Salud en el Territorio."/>
    <s v="Implementar procesos de capacitación y acompañamiento técnico para la aplicación del Reglamento Sanitario Internacional 2005 en los 29 municipios por el equipo departamental de vigilancia en salud pública mediante talleres prácticos, simulacros de eventos de importancia internacional y seguimiento a la activación de capacidades básicas locales"/>
    <s v="Procesos transversales de la Gestion de la Salud Pública"/>
    <n v="29"/>
    <s v="municipios"/>
    <n v="0"/>
    <n v="0"/>
    <e v="#DIV/0!"/>
    <n v="5"/>
    <n v="0"/>
    <n v="0"/>
    <n v="13"/>
    <m/>
    <n v="0"/>
    <n v="11"/>
    <m/>
    <n v="0"/>
    <n v="29"/>
    <n v="0"/>
    <n v="0"/>
    <d v="2026-04-01T00:00:00"/>
    <d v="2027-03-31T00:00:00"/>
    <m/>
    <m/>
    <m/>
    <m/>
    <m/>
    <m/>
    <m/>
    <s v="Familias, colectivos y comunidades"/>
    <m/>
    <x v="25"/>
    <m/>
  </r>
  <r>
    <n v="225"/>
    <s v="Aumento de la Tasa de Incidencia de las enfermedades transmitidas por vectores como el dengue"/>
    <s v="Cambio climático, emergencias, desastres y pandemias"/>
    <s v="Nivel Nacional y entes territoriales preparados y fortalecidos para la gestión del conocimiento, prevención, y atención sectorial e intersectorial de emergencias, desastres y pandemias."/>
    <s v="a 2031 se incorporará en el 100% de los departamentos y distritos, el plan de gestion en sistemas de alerta temprana para la identificación del riesgo por el cambio climático y la posible vulnerabilidad de la población desde un enfoque territorial"/>
    <s v="fortalecimiento de las capacidades del personal de la salud en todo lo relacionado con los posibles efectos de la variabilidad del cambio climático"/>
    <s v="A 2031 se incorporará en el 100% de los Departamentos y Distritos, el Plan de gestión integral de riesgos de emergencias y desastres en salud (PGIRED)  "/>
    <s v="A 2027 Fortalecer 100% de los departamentos y Distritos los sistemas de alerta temprana y la infraestructura sanitaria en zonas rurales para garantizar una respuesta rápida y efectiva ante emergencias climáticas"/>
    <s v="socialización RSI 2006"/>
    <s v="A 2027 Lograr promover el conocimiento de riesgos de desastres en los 29 municipios con el fin de que respondan con eficacia ante las emergencias y desastres que enfrenten"/>
    <s v="CUIDADO DE LA SALUD EN EL TERRITORIO."/>
    <s v="Médico en tu casa"/>
    <s v="Fortalecimiento de Estrategias para la Promoción de la Salud y Prevención de Enfermedades en Comunidades, mediante acciones Integrales, Participativas y Sostenibles en el Departamento del Magdalena."/>
    <s v="Lograr promover el conocimiento de riesgos de desastres en los 29 municipios con el fin de que respondan con eficacia ante las emergencias y desastres que enfrenten"/>
    <s v="Cuidado de la Salud en el Territorio."/>
    <s v="Implementar programas municipales de preparación y respuesta en gestión del riesgo de desastres en los 29 municipios por el equipo departamental de emergencias en salud mediante realización de mínimo un simulacro anual por municipio, capacitación certificada a líderes comunitarios y evaluación técnica de planes de respuesta sanitaria."/>
    <s v="Procesos transversales de la Gestion de la Salud Pública"/>
    <n v="29"/>
    <s v="municipios"/>
    <n v="0"/>
    <n v="0"/>
    <e v="#DIV/0!"/>
    <n v="5"/>
    <n v="0"/>
    <n v="0"/>
    <n v="13"/>
    <m/>
    <n v="0"/>
    <n v="11"/>
    <m/>
    <n v="0"/>
    <n v="29"/>
    <n v="0"/>
    <n v="0"/>
    <d v="2026-04-01T00:00:00"/>
    <d v="2027-03-31T00:00:00"/>
    <m/>
    <s v="SGP-SALUD-SALUD PUBLICA (1.2.4.2.02)"/>
    <s v="1.2.4.2.02"/>
    <m/>
    <m/>
    <m/>
    <m/>
    <s v="Personal de Salud."/>
    <m/>
    <x v="25"/>
    <m/>
  </r>
  <r>
    <n v="226"/>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tarias nacionales, distritales y locales, aseguradoras y prestadores, así como de la comunidad y entidades de otros sectores."/>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n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Realizar 4 Mesas de Saneamiento de Cartera trimestral (Circular conjunta 030 de 2013) con su respectivo seguimiento a la red prestadora de salud del Departamento del Magdalena."/>
    <s v="Procesos transversales de la Gestion de la Salud Pública"/>
    <n v="4"/>
    <s v="Número"/>
    <m/>
    <m/>
    <e v="#DIV/0!"/>
    <n v="5"/>
    <m/>
    <n v="0"/>
    <n v="13"/>
    <m/>
    <n v="0"/>
    <n v="11"/>
    <m/>
    <n v="0"/>
    <n v="4"/>
    <n v="0"/>
    <n v="0"/>
    <d v="2026-04-01T00:00:00"/>
    <d v="2027-03-31T00:00:00"/>
    <m/>
    <m/>
    <m/>
    <n v="10826626481"/>
    <n v="10826626481"/>
    <n v="10826626481"/>
    <n v="0"/>
    <s v="Familias, colectivos y comunidades"/>
    <m/>
    <x v="26"/>
    <m/>
  </r>
  <r>
    <n v="227"/>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s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Realizar 60 asistencias tecnicas  presenciales y/o virtuales en materia de aseguramiento a los entes territoriales municipales del Departamento del Magdalena. Realizar 4 Mesas de Saneamiento de Cartera trimestral (Circular conjunta 030 de 2013) con su respectivo seguimiento a la red prestadora de salud del Departamento del Magdalena"/>
    <s v="Procesos transversales de la Gestion de la Salud Pública"/>
    <n v="60"/>
    <s v="Número"/>
    <m/>
    <m/>
    <e v="#DIV/0!"/>
    <n v="5"/>
    <m/>
    <n v="0"/>
    <n v="13"/>
    <m/>
    <n v="0"/>
    <n v="11"/>
    <m/>
    <n v="0"/>
    <n v="60"/>
    <n v="0"/>
    <n v="0"/>
    <d v="2026-04-01T00:00:00"/>
    <d v="2027-03-31T00:00:00"/>
    <m/>
    <m/>
    <m/>
    <n v="300000000"/>
    <n v="300000000"/>
    <n v="300000000"/>
    <n v="0"/>
    <s v="Familias, colectivos y comunidades"/>
    <m/>
    <x v="26"/>
    <m/>
  </r>
  <r>
    <n v="228"/>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s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Realizar  60 acciones de Inspección, Vigilancia y Control - IVC en materia de Aseguramiento (Base de Datos, Flujo de Recursos, Contratación Red, Auditorias, Régimen Subsidiado, Regimen Contributivo y Especial), del Departamento del Magdalena"/>
    <s v="Procesos transversales de la Gestion de la Salud Pública"/>
    <n v="60"/>
    <s v="Número"/>
    <m/>
    <m/>
    <e v="#DIV/0!"/>
    <n v="5"/>
    <m/>
    <n v="0"/>
    <n v="13"/>
    <m/>
    <n v="0"/>
    <n v="11"/>
    <m/>
    <n v="0"/>
    <n v="60"/>
    <n v="0"/>
    <n v="0"/>
    <d v="2026-04-01T00:00:00"/>
    <d v="2027-03-31T00:00:00"/>
    <m/>
    <m/>
    <m/>
    <n v="4926057603"/>
    <n v="4926057603"/>
    <n v="4926057603"/>
    <n v="0"/>
    <s v="Familias, colectivos y comunidades"/>
    <m/>
    <x v="26"/>
    <m/>
  </r>
  <r>
    <n v="229"/>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s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Realizar verificación a los informes de Inspección y Vigilancias a las Entidades Promotoras de Salud - EPS realizados por los 29 Entes Territoriales Municipales. D emanera semestral."/>
    <s v="Procesos transversales de la Gestion de la Salud Pública"/>
    <n v="58"/>
    <s v="Número"/>
    <m/>
    <m/>
    <e v="#DIV/0!"/>
    <n v="5"/>
    <m/>
    <n v="0"/>
    <n v="13"/>
    <m/>
    <n v="0"/>
    <n v="11"/>
    <m/>
    <n v="0"/>
    <n v="58"/>
    <n v="0"/>
    <n v="0"/>
    <d v="2026-04-01T00:00:00"/>
    <d v="2027-03-31T00:00:00"/>
    <m/>
    <m/>
    <m/>
    <n v="1782154298"/>
    <n v="1782154298"/>
    <n v="1782154298"/>
    <n v="0"/>
    <s v="Familias, colectivos y comunidades"/>
    <m/>
    <x v="26"/>
    <m/>
  </r>
  <r>
    <n v="230"/>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s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Lograr afiliación de 68986 personas en e departamento al año 2026"/>
    <s v="Procesos transversales de la Gestion de la Salud Pública"/>
    <n v="68986"/>
    <s v="Número"/>
    <n v="1"/>
    <m/>
    <n v="0"/>
    <n v="1"/>
    <m/>
    <n v="0"/>
    <n v="1"/>
    <m/>
    <n v="0"/>
    <n v="1"/>
    <m/>
    <n v="0"/>
    <n v="68986"/>
    <n v="0"/>
    <n v="0"/>
    <d v="2026-04-01T00:00:00"/>
    <d v="2027-03-31T00:00:00"/>
    <m/>
    <s v="SGP-SALUD-REGIMEN SUBSIDIADO (1.2.4.2.01)"/>
    <s v="1.3.3.7.01"/>
    <n v="9064996090"/>
    <n v="9064996090"/>
    <n v="9064996090"/>
    <n v="0"/>
    <s v="Familias, colectivos y comunidades"/>
    <s v="RS - E4 Atención Primaria Salud - L3 Cuidado de la Salud - Transferencias Afiliación"/>
    <x v="26"/>
    <m/>
  </r>
  <r>
    <n v="231"/>
    <s v="Transversal a todos los núcleos"/>
    <s v="Gobernabilidad y gobernanza de la salud pública"/>
    <s v="i). Gobernabilidad, Gobernanza y Territorialización"/>
    <s v="Territorios saludables articulados y trabajando por la paz, la convivencia pacífica y la_x000a_resiliencia."/>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 actvidad transversal a resultados"/>
    <s v="CAMBIO EN LOS SERVICIOS DE SALUD"/>
    <s v="Na"/>
    <s v="Seguimiento y vigilancia a las Ese, EAPB,  SAC y SIAU municipales"/>
    <s v="Realizar acciones de seguimiento y asistencias técnicas a los 29 munipios para garantizar la adecuada operatividad y cumplimiento de funciones en la atención al usuario y la gestión de servicios de salud."/>
    <s v="DESARROLLO INSTITUCIONAL Y SECTORIAL PARA EL EJERCICIO DE LA AUTORIDAD SANITARIA."/>
    <s v="Realizar 14 asistencias técnicas, control , vigilancia y Seguimiento  a las Secretarias de Salud , ESES y EPS  en los 29 municipios del Departamento del Magdalena en el componente del SAC y SIAU en relacion a la operatividad en el marco de sus funciones."/>
    <s v="Procesos transversales de la Gestion de la Salud Pública"/>
    <n v="14"/>
    <s v="NUMERO"/>
    <m/>
    <m/>
    <e v="#DIV/0!"/>
    <n v="20"/>
    <m/>
    <n v="0"/>
    <n v="20"/>
    <m/>
    <n v="0"/>
    <n v="20"/>
    <m/>
    <n v="0"/>
    <n v="14"/>
    <n v="0"/>
    <n v="0"/>
    <d v="2026-04-01T00:00:00"/>
    <d v="2027-03-31T00:00:00"/>
    <m/>
    <s v="SGP-SALUD-REGIMEN SUBSIDIADO (1.2.4.2.01)"/>
    <s v="1.3.3.7.01"/>
    <n v="0"/>
    <n v="0"/>
    <n v="0"/>
    <m/>
    <s v="Familias, colectivos y comunidades"/>
    <s v="RS - E4 Atención Primaria Salud - L3 Cuidado de la Salud - Transferencias Afiliación"/>
    <x v="27"/>
    <m/>
  </r>
  <r>
    <n v="232"/>
    <s v="Transversal a todos los núcleos"/>
    <s v="Gobernabilidad y gobernanza de la salud pública"/>
    <s v="i). Gobernabilidad, Gobernanza y Territorialización"/>
    <s v="Territorios saludables articulados y trabajando por la paz, la convivencia pacífica y la_x000a_resiliencia."/>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Actividad trasversal a Resultados"/>
    <s v="CAMBIO EN LOS SERVICIOS DE SALUD"/>
    <s v="Na"/>
    <s v="Seguimiento  a la implementación de la Política de Participación Social en Salud ( PPSS"/>
    <s v="Apoyo a la ejecución de las acciones colectivas y gestión de la salud pública para el cumplimento y fortalecimiento de Participación Social en Salud al 100% de los SIAU Y SAC municipales "/>
    <s v="DESARROLLO INSTITUCIONAL Y SECTORIAL PARA EL EJERCICIO DE LA AUTORIDAD SANITARIA."/>
    <s v="Creación y seguiiento de la PPSS vigente según decreto 2063 del 2017 con los actores involucrados en el proceso enfatizando los SAC y SIAU en los 29 municipios del departamento del Magdalena."/>
    <s v="Procesos transversales de la Gestion de la Salud Pública"/>
    <n v="62"/>
    <s v="Número"/>
    <m/>
    <m/>
    <e v="#DIV/0!"/>
    <n v="20"/>
    <m/>
    <n v="0"/>
    <n v="20"/>
    <m/>
    <n v="0"/>
    <n v="20"/>
    <m/>
    <n v="0"/>
    <n v="62"/>
    <n v="0"/>
    <n v="0"/>
    <d v="2026-04-01T00:00:00"/>
    <d v="2027-03-31T00:00:00"/>
    <m/>
    <s v="SGP-SALUD-REGIMEN SUBSIDIADO (1.2.4.2.01)"/>
    <s v="1.3.3.7.01"/>
    <n v="0"/>
    <n v="0"/>
    <n v="0"/>
    <m/>
    <s v="Familias, colectivos y comunidades"/>
    <s v="RS - E4 Atención Primaria Salud - L3 Cuidado de la Salud - Transferencias Afiliación"/>
    <x v="27"/>
    <m/>
  </r>
  <r>
    <n v="233"/>
    <s v="Transversal a todos los núcleos"/>
    <s v="Gobernabilidad y gobernanza de la salud pública"/>
    <s v="i). Gobernabilidad, Gobernanza y Territorialización"/>
    <s v="Territorios saludables articulados y trabajando por la paz, la convivencia pacífica y la_x000a_resiliencia."/>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Actividad trasversal a Resultados"/>
    <s v="CAMBIO EN LOS SERVICIOS DE SALUD"/>
    <s v="Na"/>
    <s v="Aplicación y análisis de ecuentras de satisfacción"/>
    <s v="Apoyo a la ejecución de las acciones colectivas y gestión de la salud pública para el cumplimento y fortalecimiento de Participación Social en Salud al 100% de los SIAU Y SAC municipales "/>
    <s v="DESARROLLO INSTITUCIONAL Y SECTORIAL PARA EL EJERCICIO DE LA AUTORIDAD SANITARIA."/>
    <s v="Seguimiento de la PPSS vigente según decreto 2063 del 2017 con 100% de  los actores involucrados en el proceso enfatizando los SAC y SIAU en los 29 municipios del departamento del Magdalena."/>
    <s v="Procesos transversales de la Gestion de la Salud Pública"/>
    <n v="100"/>
    <s v="Porcentaje"/>
    <m/>
    <m/>
    <e v="#DIV/0!"/>
    <n v="29"/>
    <m/>
    <n v="0"/>
    <m/>
    <m/>
    <e v="#DIV/0!"/>
    <n v="29"/>
    <m/>
    <n v="0"/>
    <n v="100"/>
    <n v="0"/>
    <n v="0"/>
    <d v="2026-04-01T00:00:00"/>
    <d v="2027-03-31T00:00:00"/>
    <m/>
    <s v="SGP-SALUD-REGIMEN SUBSIDIADO (1.2.4.2.01)"/>
    <s v="1.3.3.7.01"/>
    <n v="0"/>
    <n v="0"/>
    <n v="0"/>
    <m/>
    <s v="Familias, colectivos y comunidades"/>
    <s v="RS - E4 Atención Primaria Salud - L3 Cuidado de la Salud - Transferencias Afiliación"/>
    <x v="27"/>
    <m/>
  </r>
  <r>
    <n v="234"/>
    <s v="Transversal a todos los núcleos"/>
    <s v="Gobernabilidad y gobernanza de la salud pública"/>
    <s v="i). Gobernabilidad, Gobernanza y Territorialización"/>
    <s v="Transformación cultural, movilización y organización social y popular por la vida, salud y la_x000a_equidad en salud. "/>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Actividad trasversal a Resultados"/>
    <s v="CAMBIO EN LOS SERVICIOS DE SALUD"/>
    <s v="Na"/>
    <s v="Aplicación y análisis de ecuentras de satisfacción"/>
    <s v="Apoyo a la ejecución de las acciones colectivas y gestión de la salud pública para el cumplimento y fortalecimiento de Participación Social en Salud al 100% de los SIAU Y SAC municipales "/>
    <s v="DESARROLLO INSTITUCIONAL Y SECTORIAL PARA EL EJERCICIO DE LA AUTORIDAD SANITARIA."/>
    <s v="Ejercer seguimiento y control  en el 100%, a la conformación  y activación de los mecanismos de participación social en salud (COPACOS, veedurías, comités de ética hospitalaria y consejo territoriales) en los 29 municipios del departamento del Magdalena."/>
    <s v="Procesos transversales de la Gestion de la Salud Pública"/>
    <n v="100"/>
    <s v="Porcentaje"/>
    <m/>
    <m/>
    <e v="#DIV/0!"/>
    <m/>
    <m/>
    <e v="#DIV/0!"/>
    <m/>
    <m/>
    <e v="#DIV/0!"/>
    <m/>
    <m/>
    <e v="#DIV/0!"/>
    <n v="100"/>
    <n v="0"/>
    <n v="0"/>
    <d v="2026-04-01T00:00:00"/>
    <d v="2027-03-31T00:00:00"/>
    <m/>
    <s v="SGP-SALUD-REGIMEN SUBSIDIADO (1.2.4.2.01)"/>
    <n v="0"/>
    <n v="0"/>
    <n v="0"/>
    <n v="0"/>
    <m/>
    <s v="Familias, colectivos y comunidades"/>
    <s v="RS - E4 Atención Primaria Salud - L3 Cuidado de la Salud - Transferencias Afiliación"/>
    <x v="27"/>
    <m/>
  </r>
  <r>
    <n v="235"/>
    <s v="Transversal a todos los núcleos"/>
    <s v="Gobernabilidad y gobernanza de la salud pública"/>
    <s v="i). Gobernabilidad, Gobernanza y Territorialización"/>
    <s v="Transformación cultural, movilización y organización social y popular por la vida, salud y la_x000a_equidad en salud. "/>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Actividad trasversal a Resultados"/>
    <s v="CAMBIO EN LOS SERVICIOS DE SALUD"/>
    <s v="Na"/>
    <s v="Aplicación y análisis de ecuentras de satisfacción"/>
    <s v="Evaluar la calidad de la atención en salud y servicio prestado por 100% de las Instituciones Prestadoras de Servicios de Salud y Entidades Administradoras de Planes de Beneficio _x000a_"/>
    <s v="DESARROLLO INSTITUCIONAL Y SECTORIAL PARA EL EJERCICIO DE LA AUTORIDAD SANITARIA."/>
    <s v="Aplicar, consolidar y hacer análisis de las 400 encuestas de satisfacción aplicada  al usuarios del Departamento del Magdalena y mujeres en estado de embarazo para conocer la calidad en la atención en salud  brindada por las ESE, EPS e IPS,  asimismo, ejercer el control  y velar  por la aplicación de las mismas en los 29 municipio de  manera trimestral."/>
    <s v="Procesos transversales de la Gestion de la Salud Pública"/>
    <n v="400"/>
    <s v="Número"/>
    <n v="1"/>
    <m/>
    <n v="0"/>
    <n v="4"/>
    <m/>
    <n v="0"/>
    <n v="4"/>
    <m/>
    <n v="0"/>
    <n v="5"/>
    <m/>
    <n v="0"/>
    <n v="400"/>
    <n v="0"/>
    <n v="0"/>
    <d v="2026-04-01T00:00:00"/>
    <d v="2027-03-31T00:00:00"/>
    <s v="N/A"/>
    <m/>
    <n v="0"/>
    <n v="0"/>
    <n v="0"/>
    <n v="0"/>
    <m/>
    <s v="Familias, colectivos y comunidades"/>
    <s v="SPC - E1 Gobernabilidad y Gobernanza - L1 Desarrollo Institucional y Sectorial - Planeación Integral en Salud"/>
    <x v="27"/>
    <m/>
  </r>
  <r>
    <n v="236"/>
    <s v="Transversal a todos los núcleos"/>
    <s v="Gobernabilidad y gobernanza de la salud pública"/>
    <s v="i). Gobernabilidad, Gobernanza y Territorialización"/>
    <s v="Transformación cultural, movilización y organización social y popular por la vida, salud y la_x000a_equidad en salud. "/>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10-A 2031, reducir a 5 por cada 100.000 menores de 5 años la tasa de mortalidad asociada a desnutrición aguda."/>
    <s v="98-Actividad trasversal a Resultados"/>
    <s v="CAMBIO EN LOS SERVICIOS DE SALUD"/>
    <s v="Na"/>
    <s v="Aplicación y análisis de ecuentras de satisfacción"/>
    <s v="Evaluar la calidad de la atención en salud y servicio prestado por 100% de las Instituciones Prestadoras de Servicios de Salud y Entidades Administradoras de Planes de Beneficio _x000a_"/>
    <s v="DESARROLLO INSTITUCIONAL Y SECTORIAL PARA EL EJERCICIO DE LA AUTORIDAD SANITARIA."/>
    <s v="Ejercer el seguimiento y dar respuesta a 100 de las PQRD radicadas ante la secretaría seccional de salud, asimismo, realizar acciones de control al cumplimiento del mismo las oficinas SAC y SIAU de los  29 Municipios del Departamento del Magdalena, con base en  los lineamientos vigentes."/>
    <s v="Procesos transversales de la Gestion de la Salud Pública"/>
    <n v="100"/>
    <s v="Porcentaje"/>
    <n v="62"/>
    <m/>
    <n v="0"/>
    <n v="0"/>
    <m/>
    <e v="#DIV/0!"/>
    <n v="0"/>
    <m/>
    <e v="#DIV/0!"/>
    <n v="0"/>
    <m/>
    <e v="#DIV/0!"/>
    <n v="100"/>
    <n v="0"/>
    <n v="0"/>
    <d v="2026-04-01T00:00:00"/>
    <d v="2027-03-31T00:00:00"/>
    <s v="N/A"/>
    <m/>
    <n v="0"/>
    <n v="0"/>
    <n v="0"/>
    <n v="0"/>
    <m/>
    <s v="Familias, colectivos y comunidades"/>
    <s v="SPC - E1 Gobernabilidad y Gobernanza - L1 Desarrollo Institucional y Sectorial - Planeación Integral en Salud"/>
    <x v="27"/>
    <m/>
  </r>
  <r>
    <n v="237"/>
    <s v="Inseguridad alimentaria y Desnutrición"/>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10-A 2031, reducir a 5 por cada 100.000 menores de 5 años la tasa de mortalidad asociada a desnutrición aguda."/>
    <s v="10-A 2031, reducir a 5 por cada 100.000 menores de 5 años la tasa de mortalidad asociada a desnutrición aguda."/>
    <s v="CAMBIO POR LA SALUD"/>
    <s v="CAMBIO EN LA RED PÚBLICA HOSPITALARIA "/>
    <m/>
    <s v="Ejecutar el 80% las actividades contempladas en el Plan de reducción de la mortalidad en menores de 5 años por Desnutrición, de competencia del área de prestación de servicios"/>
    <s v="Cuidado de la Salud en el Territorio."/>
    <s v="Realizar una  asistencia técnica por subregión, en lo relacionado con las acciones contempladas en la Resolución 2350 de 2020 y 2465 de 2016, en las E.S.E / IPS y EPS                                                                                                                                                                                 "/>
    <s v="Procesos transversales de la Gestion de la Salud Pública"/>
    <n v="4"/>
    <s v="Número"/>
    <n v="25"/>
    <m/>
    <n v="0"/>
    <n v="25"/>
    <m/>
    <n v="0"/>
    <n v="25"/>
    <m/>
    <n v="0"/>
    <n v="25"/>
    <m/>
    <n v="0"/>
    <n v="4"/>
    <n v="0"/>
    <n v="0"/>
    <d v="2026-04-01T00:00:00"/>
    <d v="2027-03-31T00:00:00"/>
    <s v="N/A"/>
    <m/>
    <n v="0"/>
    <n v="0"/>
    <n v="0"/>
    <n v="0"/>
    <m/>
    <s v="Familias, colectivos y comunidades"/>
    <s v="SPC - E1 Gobernabilidad y Gobernanza - L1 Desarrollo Institucional y Sectorial - Planeación Integral en Salud"/>
    <x v="28"/>
    <m/>
  </r>
  <r>
    <n v="238"/>
    <s v="Inseguridad alimentaria y Desnutrición"/>
    <s v="Gobernabilidad y gobernanza de la salud pública"/>
    <s v="i). Gobernabilidad, Gobernanza y Territorialización"/>
    <s v="Transformación cultural, movilización y organización social y popular por la vida, salud y la_x000a_equidad en salud. "/>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10-A 2031, reducir a 5 por cada 100.000 menores de 5 años la tasa de mortalidad asociada a desnutrición aguda."/>
    <s v="10-A 2031, reducir a 5 por cada 100.000 menores de 5 años la tasa de mortalidad asociada a desnutrición aguda."/>
    <s v="CAMBIO POR LA SALUD"/>
    <s v="CAMBIO EN LA RED PÚBLICA HOSPITALARIA "/>
    <m/>
    <s v="Ejecutar el 80% las actividades contempladas en el Plan de reducción de la mortalidad en menores de 5 años por Desnutrición, de competencia del área de prestación de servicios"/>
    <s v="Cuidado de la Salud en el Territorio."/>
    <s v="Realizar visitas de I.V.C , en lo relacionado con las acciones contempladas en la Resolución 2350 de 2020 y 2465 de 2016, en las E.S.E / IPS, Secretarías municipales de salud y EPS, y a las instituciones que presenten mortalidad por DNT en menores de 5 años"/>
    <s v="Procesos transversales de la Gestion de la Salud Pública"/>
    <n v="29"/>
    <s v="Número"/>
    <n v="25"/>
    <m/>
    <n v="0"/>
    <n v="25"/>
    <m/>
    <n v="0"/>
    <n v="25"/>
    <m/>
    <n v="0"/>
    <n v="25"/>
    <m/>
    <n v="0"/>
    <n v="29"/>
    <n v="0"/>
    <n v="0"/>
    <d v="2026-04-01T00:00:00"/>
    <d v="2027-03-31T00:00:00"/>
    <s v="N/A"/>
    <m/>
    <n v="0"/>
    <n v="0"/>
    <n v="0"/>
    <n v="0"/>
    <m/>
    <s v="Familias, colectivos y comunidades"/>
    <s v="SPC - E1 Gobernabilidad y Gobernanza - L1 Desarrollo Institucional y Sectorial - Planeación Integral en Salud"/>
    <x v="28"/>
    <m/>
  </r>
  <r>
    <n v="239"/>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10-A 2031, reducir a 5 por cada 100.000 menores de 5 años la tasa de mortalidad asociada a desnutrición aguda."/>
    <s v="A 2027, reducir a 52 por 100.000 nacidos vivos la_x000a_razón de mortalidad materna "/>
    <s v="CAMBIO POR LA SALUD"/>
    <s v="CAMBIO EN LA RED PÚBLICA HOSPITALARIA "/>
    <m/>
    <s v="Operativizar el Plan de Desaceleración de la Mortalidad Materna -PARE MM, en las E.S.Es de los 29 Municipios del Departamento del Magdalena"/>
    <s v="Cuidado de la Salud en el Territorio."/>
    <s v="Ejecutar el 80% de las actividades contempladas en las 6 líneas del PARE-MM 2026, aprobado por el MSPS"/>
    <s v="Procesos transversales de la Gestion de la Salud Pública"/>
    <n v="80"/>
    <s v="Porcentaje"/>
    <n v="50"/>
    <m/>
    <n v="0"/>
    <n v="120"/>
    <m/>
    <n v="0"/>
    <n v="260"/>
    <m/>
    <n v="0"/>
    <n v="70"/>
    <m/>
    <n v="0"/>
    <n v="80"/>
    <n v="0"/>
    <n v="0"/>
    <d v="2026-04-01T00:00:00"/>
    <d v="2027-03-31T00:00:00"/>
    <s v="N/A"/>
    <m/>
    <n v="0"/>
    <n v="0"/>
    <n v="0"/>
    <n v="0"/>
    <m/>
    <s v="Familias, colectivos y comunidades"/>
    <s v="SPC - E1 Gobernabilidad y Gobernanza - L1 Desarrollo Institucional y Sectorial - Planeación Integral en Salud"/>
    <x v="28"/>
    <m/>
  </r>
  <r>
    <n v="240"/>
    <s v="Condiciones de vida, estilos de vida saludables y enfermedades crónicas"/>
    <s v="Atención Primaria en Salud"/>
    <s v="i). Gobernabilidad, Gobernanza y Territorialización"/>
    <s v="Implementación de mecanismos para la coordinación y gestión de la operación de las redes integrales e integradas territoriales de salud en el marco de un modelo preventivo, predictivo y resolutivo basado en la APS.  "/>
    <s v="Entidades Territoriales Departamentales, Distritales que organizan la prestación de servicios de salud en redes integrales e integradas territoriales bajo un modelo de salud predictivo, preventivo y resolutivo fundamentado en la Atención Primaria en Salud – APS con criterios de subsidiaridad y complementariedad.   "/>
    <s v="A 2031 el 100% de los Departamentos y Distritos tendrán en operación una red integral e integrada territorial de salud – RIITS conforme al modelo de salud preventivo, predictivo y resolutivo basado en la Atención Primaria en Salud – AP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23-A 2031, el 70% de las mujeres entre 25 y 29 años son tamizadas para cáncer de cuello uterino con citología cervicouterina."/>
    <s v="A 2031 el 80% de las necesidades en salud de la población Colombiana se resuelven en el nivel primario de atención en salud"/>
    <s v="CAMBIO POR LA SALUD"/>
    <s v="CAMBIO EN LA RED PÚBLICA HOSPITALARIA "/>
    <m/>
    <s v="Realizar seguimiento a los indicadores de oportunidad de los procesos de detección temprana de cancer de cancer de cuello uterino en las EAPB e IPS, teniendo en cuenta la Ruta de Promoción y Mantenimiento de la Salud."/>
    <s v="Cuidado de la Salud en el Territorio."/>
    <s v="Realizar seguimiento trimestral a los indicadores de oportunidad de los procesos de detección temprana de cancer de cancer de cuello uterino en las EAPB e IPS, teniendo en cuenta la Ruta de Promoción y Mantenimiento de la Salud."/>
    <s v="Procesos transversales de la Gestion de la Salud Pública"/>
    <n v="4"/>
    <s v="Número"/>
    <n v="25"/>
    <m/>
    <n v="0"/>
    <n v="25"/>
    <m/>
    <n v="0"/>
    <n v="25"/>
    <m/>
    <n v="0"/>
    <n v="25"/>
    <m/>
    <n v="0"/>
    <n v="4"/>
    <n v="0"/>
    <n v="0"/>
    <d v="2026-04-01T00:00:00"/>
    <d v="2027-03-31T00:00:00"/>
    <s v="N/A"/>
    <m/>
    <n v="0"/>
    <n v="0"/>
    <n v="0"/>
    <n v="0"/>
    <m/>
    <s v="Familias, colectivos y comunidades"/>
    <s v="SPC - E1 Gobernabilidad y Gobernanza - L1 Desarrollo Institucional y Sectorial - Planeación Integral en Salud"/>
    <x v="28"/>
    <m/>
  </r>
  <r>
    <n v="241"/>
    <s v="Enfermedades transmisibles por vectores y cambio climático"/>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el 100% de los Departamentos y Distritos tendrán en operación una red integral e integrada territorial de salud – RIITS conforme al modelo de salud preventivo, predictivo y resolutivo basado en la Atención Primaria en Salud – APS  "/>
    <s v="A 2027 el 100% de los Departamentos y Distritos tendrán en operación una red integral e integrada territorial de salud – RIITS conforme al modelo de salud preventivo, predictivo y resolutivo basado en la Atención Primaria en Salud – APS  "/>
    <s v="74-A 2031, se reducirá la letalidad acumulada (2022-2031) por dengue a menos del 0,1%."/>
    <s v="A 2027, en el Departamento del Magdalena se reducirá la letalidad por dengue grave al 10%. "/>
    <s v="CAMBIO POR LA SALUD"/>
    <s v="CAMBIO EN LA RED PÚBLICA HOSPITALARIA "/>
    <m/>
    <s v="Realizar  acciones de I.V para la evaluación de la adherencia a los lineamientos y GPC, para la atención de los eventos de Enfermedades Transmitidas por Vectores -E.T.V, priorizando la red pública"/>
    <s v="Cuidado de la Salud en el Territorio."/>
    <s v="Realizar visitas de I.V a los prestadores de servicios de salud de los 29 municipios del departamento, para la evaluación de la adherencia a los lineamientos y GPC, para la atención de los eventos de Enfermedades Transmitidas por Vectores -E.T.V, priorizando la red pública"/>
    <s v="Procesos transversales de la Gestion de la Salud Pública"/>
    <n v="29"/>
    <s v="Número"/>
    <n v="1"/>
    <m/>
    <n v="0"/>
    <n v="1"/>
    <m/>
    <n v="0"/>
    <n v="1"/>
    <m/>
    <n v="0"/>
    <n v="1"/>
    <m/>
    <n v="0"/>
    <n v="29"/>
    <n v="0"/>
    <n v="0"/>
    <d v="2026-02-01T00:00:00"/>
    <d v="2026-12-31T00:00:00"/>
    <s v="NA"/>
    <m/>
    <m/>
    <n v="0"/>
    <n v="0"/>
    <n v="0"/>
    <m/>
    <s v="Primera infancia"/>
    <s v="SPC - E1 Gobernabilidad y Gobernanza - L1 Desarrollo Institucional y Sectorial - Planeación Integral en Salud"/>
    <x v="29"/>
    <m/>
  </r>
  <r>
    <n v="242"/>
    <s v="Enfermedades transmisibles por vectores y cambio climático"/>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74-A 2031, se reducirá la letalidad acumulada (2022-2031) por dengue a menos del 0,1%."/>
    <s v="A 2027, en el Departamento del Magdalena se reducirá la letalidad por dengue grave al 10%. "/>
    <s v="CAMBIO POR LA SALUD"/>
    <s v="CAMBIO EN LA RED PÚBLICA HOSPITALARIA "/>
    <m/>
    <s v="Realizar  visitas para la verificación de disposición de insumos necesarios para la atención de los eventos de Enfermedades Transmitidas por Vectores -E.T.V, priorizando la red pública"/>
    <s v="Cuidado de la Salud en el Territorio."/>
    <s v="Realizar visitas de I.V a los prestadores de servicios de salud de los 29 municipios del departamento, para  la verificación de disposición de insumos necesarios para la atención de los eventos de Enfermedades Transmitidas por Vectores -E.T.V, priorizando la red pública"/>
    <s v="Procesos transversales de la Gestion de la Salud Pública"/>
    <n v="29"/>
    <s v="Número"/>
    <n v="7"/>
    <m/>
    <n v="0"/>
    <n v="7"/>
    <m/>
    <n v="0"/>
    <n v="7"/>
    <m/>
    <n v="0"/>
    <n v="8"/>
    <m/>
    <n v="0"/>
    <n v="29"/>
    <n v="0"/>
    <n v="0"/>
    <d v="2026-02-01T00:00:00"/>
    <d v="2026-12-31T00:00:00"/>
    <s v="NA"/>
    <m/>
    <m/>
    <n v="0"/>
    <n v="0"/>
    <n v="0"/>
    <m/>
    <s v="Primera infancia"/>
    <s v="SPC - E1 Gobernabilidad y Gobernanza - L1 Desarrollo Institucional y Sectorial - Planeación Integral en Salud"/>
    <x v="29"/>
    <m/>
  </r>
  <r>
    <n v="243"/>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74-A 2031, se reducirá la letalidad acumulada (2022-2031) por dengue a menos del 0,1%."/>
    <s v="A 2027, en el Departamento del Magdalena se reducirá la letalidad por dengue grave al 10%. "/>
    <s v="CAMBIO POR LA SALUD"/>
    <s v="CAMBIO EN LA RED PÚBLICA HOSPITALARIA "/>
    <m/>
    <s v="Realizar, mínimo el 70% de las visitas de verificación de condiciones de habilitación, contempladas en el Plan anual,  a los prestadores de servicios de salud que operen en el Departamento del Magdalena"/>
    <s v="DESARROLLO INSTITUCIONAL Y SECTORIAL PARA EL EJERCICIO DE LA AUTORIDAD SANITARIA."/>
    <s v="Realizar visitas de verificación de condiciones de habilitación al 70% de entidades contempladas en el Plan anual,  de los prestadores de servicios de salud que operen en el Departamento del Magdalena."/>
    <s v="Procesos transversales de la Gestion de la Salud Pública"/>
    <n v="70"/>
    <s v="Porcentaje"/>
    <n v="20"/>
    <m/>
    <n v="0"/>
    <n v="20"/>
    <m/>
    <n v="0"/>
    <n v="20"/>
    <m/>
    <n v="0"/>
    <n v="20"/>
    <m/>
    <n v="0"/>
    <n v="70"/>
    <n v="0"/>
    <n v="0"/>
    <d v="2026-02-01T00:00:00"/>
    <d v="2026-12-31T00:00:00"/>
    <s v="NA"/>
    <m/>
    <m/>
    <n v="0"/>
    <n v="0"/>
    <n v="0"/>
    <m/>
    <s v="Población materno perinatal"/>
    <s v="SPC - E1 Gobernabilidad y Gobernanza - L1 Desarrollo Institucional y Sectorial - Planeación Integral en Salud"/>
    <x v="30"/>
    <m/>
  </r>
  <r>
    <n v="244"/>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el 100% de las  visitas de IVC , de acuerdo a las solicitudes recibidas y/o de oficio "/>
    <s v="DESARROLLO INSTITUCIONAL Y SECTORIAL PARA EL EJERCICIO DE LA AUTORIDAD SANITARIA."/>
    <s v="Realizar visitas de IVC , de acuerdo a 100 % de las solicitudes recibidas por entes competentes y/o de oficio, PQR, y demas situaciones que impliquen la vigilancia y control del ente territorial"/>
    <s v="Procesos transversales de la Gestion de la Salud Pública"/>
    <n v="100"/>
    <s v="Porcentaje"/>
    <n v="1"/>
    <m/>
    <n v="0"/>
    <n v="1"/>
    <m/>
    <n v="0"/>
    <n v="1"/>
    <m/>
    <n v="0"/>
    <n v="1"/>
    <m/>
    <n v="0"/>
    <n v="100"/>
    <n v="0"/>
    <n v="0"/>
    <d v="2026-02-01T00:00:00"/>
    <d v="2026-12-31T00:00:00"/>
    <s v="NA"/>
    <m/>
    <m/>
    <n v="0"/>
    <n v="0"/>
    <n v="0"/>
    <m/>
    <s v="Familias, colectivos y comunidades"/>
    <s v="SPC - E1 Gobernabilidad y Gobernanza - L1 Desarrollo Institucional y Sectorial - Planeación Integral en Salud"/>
    <x v="31"/>
    <m/>
  </r>
  <r>
    <n v="245"/>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Asistencias Técnica a los Prestadores de Servicios de Salud del Departamente en el Sistema Obligatorio de Garantía de Calidad "/>
    <s v="DESARROLLO INSTITUCIONAL Y SECTORIAL PARA EL EJERCICIO DE LA AUTORIDAD SANITARIA."/>
    <s v="Realizar cuatro (4) Asistencias Técnica a los Prestadores de Servicios de Salud del Departamente en el Sistema Obligatorio de Garantía de Calidad "/>
    <s v="Procesos transversales de la Gestion de la Salud Pública"/>
    <n v="4"/>
    <s v="Número"/>
    <n v="7"/>
    <m/>
    <n v="0"/>
    <n v="7"/>
    <m/>
    <n v="0"/>
    <n v="7"/>
    <m/>
    <n v="0"/>
    <n v="8"/>
    <m/>
    <n v="0"/>
    <n v="4"/>
    <n v="0"/>
    <n v="0"/>
    <d v="2026-02-01T00:00:00"/>
    <d v="2026-12-31T00:00:00"/>
    <s v="NA"/>
    <m/>
    <m/>
    <n v="0"/>
    <n v="0"/>
    <n v="0"/>
    <m/>
    <s v="Familias, colectivos y comunidades"/>
    <s v="SPC - E1 Gobernabilidad y Gobernanza - L1 Desarrollo Institucional y Sectorial - Planeación Integral en Salud"/>
    <x v="30"/>
    <m/>
  </r>
  <r>
    <n v="246"/>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seguimiento períodico al reporte y resultados de los indicadores de calidad establecidos en la Resolución 256 de 2016,   al 100% de las  Instituciones Prestadoras de Servicios de Salud y los servicios de transporte especial de pacientes del Departamento"/>
    <s v="DESARROLLO INSTITUCIONAL Y SECTORIAL PARA EL EJERCICIO DE LA AUTORIDAD SANITARIA."/>
    <s v="Consolidar y analizar la información de 100% de los Prestadores de Servicios de Salud-IPS y Transporte Asistencial de Pacientes; en lo relacionado con  el reporte y resultados de los indicadores de calidad establecidos en la Resolución 256 de 2016."/>
    <s v="Procesos transversales de la Gestion de la Salud Pública"/>
    <n v="100"/>
    <s v="Porcentaje"/>
    <n v="7"/>
    <m/>
    <n v="0"/>
    <n v="7"/>
    <m/>
    <n v="0"/>
    <n v="7"/>
    <m/>
    <n v="0"/>
    <n v="8"/>
    <m/>
    <n v="0"/>
    <n v="100"/>
    <n v="0"/>
    <n v="0"/>
    <d v="2026-02-01T00:00:00"/>
    <d v="2026-12-31T00:00:00"/>
    <s v="NA"/>
    <m/>
    <m/>
    <n v="0"/>
    <n v="0"/>
    <n v="0"/>
    <m/>
    <s v="Familias, colectivos y comunidades"/>
    <s v="SPC - E1 Gobernabilidad y Gobernanza - L1 Desarrollo Institucional y Sectorial - Planeación Integral en Salud"/>
    <x v="32"/>
    <m/>
  </r>
  <r>
    <n v="247"/>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asistencia técnica por subregión para la implementación del Programa de Auditoria para el Mejoramiento de la Calidad en la Atención en Salud -PAMEC, a las Instituciones Prestadoras de Servicios de Salud del Departamento"/>
    <s v="DESARROLLO INSTITUCIONAL Y SECTORIAL PARA EL EJERCICIO DE LA AUTORIDAD SANITARIA."/>
    <s v="Realizar  asistencia técnica por subregión para la implementación del Programa de Auditoria para el Mejoramiento de la Calidad en la Atención en Salud -PAMEC, a las 100% de Instituciones Prestadoras de Servicios de Salud del Departamento"/>
    <s v="Procesos transversales de la Gestion de la Salud Pública"/>
    <n v="100"/>
    <s v="Porcentaje"/>
    <n v="17"/>
    <m/>
    <n v="0"/>
    <n v="17"/>
    <m/>
    <n v="0"/>
    <n v="17"/>
    <m/>
    <n v="0"/>
    <n v="18"/>
    <m/>
    <n v="0"/>
    <n v="100"/>
    <n v="0"/>
    <n v="0"/>
    <d v="2026-02-01T00:00:00"/>
    <d v="2026-12-31T00:00:00"/>
    <s v="NA"/>
    <m/>
    <m/>
    <n v="0"/>
    <n v="0"/>
    <n v="0"/>
    <m/>
    <s v="Familias, colectivos y comunidades"/>
    <s v="SPC - E1 Gobernabilidad y Gobernanza - L1 Desarrollo Institucional y Sectorial - Planeación Integral en Salud"/>
    <x v="32"/>
    <m/>
  </r>
  <r>
    <n v="248"/>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seguimiento a la implementación del Programa de Auditoria para el Mejoramiento de la Calidad en la Atención en Salud PAMEC, mínimo al 80% de los prestadores de servicios de salud de los 29 Municipios del Departamento"/>
    <s v="DESARROLLO INSTITUCIONAL Y SECTORIAL PARA EL EJERCICIO DE LA AUTORIDAD SANITARIA."/>
    <s v="Realizar  seguimiento a la implementación del Programa de Auditoria para el Mejoramiento de la Calidad en la Atención en Salud PAMEC del 80% o más de los prestadores de los 29 Municipios del Departamento"/>
    <s v="Procesos transversales de la Gestion de la Salud Pública"/>
    <n v="80"/>
    <s v="Porcentaje"/>
    <n v="25"/>
    <m/>
    <n v="0"/>
    <n v="25"/>
    <m/>
    <n v="0"/>
    <n v="25"/>
    <m/>
    <n v="0"/>
    <n v="25"/>
    <m/>
    <n v="0"/>
    <n v="80"/>
    <n v="0"/>
    <n v="0"/>
    <d v="2026-02-01T00:00:00"/>
    <d v="2026-12-31T00:00:00"/>
    <s v="NA"/>
    <m/>
    <m/>
    <n v="0"/>
    <n v="0"/>
    <n v="0"/>
    <m/>
    <s v="Familias, colectivos y comunidades"/>
    <s v="SPC - E1 Gobernabilidad y Gobernanza - L1 Desarrollo Institucional y Sectorial - Planeación Integral en Salud"/>
    <x v="32"/>
    <m/>
  </r>
  <r>
    <n v="249"/>
    <s v="Prestación y Calidad de servicios"/>
    <s v="Personal de salud"/>
    <s v="Talento Humano en Salud formado para la gestión integral de la salud pública  "/>
    <s v="Transformación cultural, movilización y organización social y popular por la vida, salud y la_x000a_equidad en salud. "/>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la identificación y caracterización del Talento Humano en salud, de la red hospitalaria del Departamento del Magdalena"/>
    <s v="DESARROLLO INSTITUCIONAL Y SECTORIAL PARA EL EJERCICIO DE LA AUTORIDAD SANITARIA."/>
    <s v="Realizar y consolidar el censo del Talento Humano en salud, de cada una de las E.S.Es de la red hospitalaria del departamento del Magdalena"/>
    <s v="Procesos transversales de la Gestion de la Salud Pública"/>
    <n v="100"/>
    <s v="Porcentaje"/>
    <n v="1"/>
    <m/>
    <n v="0"/>
    <n v="1"/>
    <m/>
    <n v="0"/>
    <n v="1"/>
    <m/>
    <n v="0"/>
    <n v="1"/>
    <m/>
    <n v="0"/>
    <n v="100"/>
    <n v="0"/>
    <n v="0"/>
    <d v="2026-02-01T00:00:00"/>
    <d v="2026-12-31T00:00:00"/>
    <s v="NA"/>
    <m/>
    <m/>
    <n v="0"/>
    <n v="0"/>
    <n v="0"/>
    <m/>
    <s v="Familias, colectivos y comunidades"/>
    <s v="SPC - E1 Gobernabilidad y Gobernanza - L1 Desarrollo Institucional y Sectorial - Planeación Integral en Salud"/>
    <x v="33"/>
    <m/>
  </r>
  <r>
    <n v="250"/>
    <s v="Prestación y Calidad de servicios"/>
    <s v="Atención Primaria en Salud"/>
    <s v="ii) Redes Integrales e Integradas Territoriales de Salud - RIITS"/>
    <s v="Implementación de mecanismos para la coordinación y gestión de la operación de las redes integrales e integradas territoriales de salud en el marco de un modelo preventivo, predictivo y resolutivo basado en la APS.  "/>
    <s v="Entidades Territoriales Departamentales, Distritales que organizan la prestación de servicios de salud en redes integrales e integradas territoriales bajo un modelo de salud predictivo, preventivo y resolutivo fundamentado en la Atención Primaria en Salud – APS con criterios de subsidiaridad y complementariedad.   "/>
    <s v="A 2031 el 100% de los Departamentos y Distritos tendrán en operación una red integral e integrada territorial de salud – RIITS conforme al modelo de salud preventivo, predictivo y resolutivo basado en la Atención Primaria en Salud – APS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Lograr el fortalecimiento de la autoridad sanitaria en los 29 municipios del departamento del Magdalena"/>
    <s v="Cuidado de la Salud en el Territorio."/>
    <s v="Seguimiento al sistema de transporte asistencial de la red publica y privada del Departamento del Magdalena"/>
    <s v="No aplica"/>
    <n v="100"/>
    <s v="Porcentaje"/>
    <n v="25"/>
    <n v="25"/>
    <n v="100"/>
    <n v="25"/>
    <n v="25"/>
    <n v="100"/>
    <n v="25"/>
    <m/>
    <n v="0"/>
    <n v="25"/>
    <m/>
    <n v="0"/>
    <n v="100"/>
    <n v="50"/>
    <n v="100"/>
    <d v="2026-02-01T00:00:00"/>
    <d v="2026-12-31T00:00:00"/>
    <s v="NA"/>
    <m/>
    <m/>
    <n v="0"/>
    <n v="0"/>
    <n v="0"/>
    <m/>
    <s v="Familias, colectivos y comunidades"/>
    <s v="SPC - E1 Gobernabilidad y Gobernanza - L1 Desarrollo Institucional y Sectorial - Planeación Integral en Salud"/>
    <x v="25"/>
    <m/>
  </r>
  <r>
    <n v="251"/>
    <s v="tranversal a todos los nucleos"/>
    <s v="Gobernabilidad y gobernanza de la salud pública"/>
    <s v="ii) Redes Integrales e Integradas Territoriales de Salud - RIITS"/>
    <s v="Implementación de mecanismos para la coordinación y gestión de la operación de las redes integrales e integradas territoriales de salud en el marco de un modelo preventivo, predictivo y resolutivo basado en la APS.  "/>
    <s v="Entidades Territoriales Departamentales, Distritales que organizan la prestación de servicios de salud en redes integrales e integradas territoriales bajo un modelo de salud predictivo, preventivo y resolutivo fundamentado en la Atención Primaria en Salud – APS con criterios de subsidiaridad y complementariedad.   "/>
    <s v="A 2031 el 100% de los Departamentos y Distritos tendrán en operación una red integral e integrada territorial de salud – RIITS conforme al modelo de salud preventivo, predictivo y resolutivo basado en la Atención Primaria en Salud – APS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Na"/>
    <m/>
    <s v="Lograr el fortalecimiento de la autoridad sanitaria en los 29 municipios del departamento del Magdalena"/>
    <s v="Cuidado de la Salud en el Territorio."/>
    <s v="Dotar y activar equipos de radiocomunicaciones al CRUE y a las 5 IPS de la red pública y activación de la antena repetidora"/>
    <s v="No aplica"/>
    <n v="5"/>
    <s v="Número"/>
    <n v="25"/>
    <n v="25"/>
    <n v="100"/>
    <n v="25"/>
    <n v="12"/>
    <n v="48"/>
    <n v="25"/>
    <m/>
    <n v="0"/>
    <n v="25"/>
    <m/>
    <n v="0"/>
    <n v="5"/>
    <n v="37"/>
    <n v="74"/>
    <d v="2026-02-01T00:00:00"/>
    <d v="2026-12-31T00:00:00"/>
    <s v="NA"/>
    <m/>
    <m/>
    <n v="0"/>
    <n v="0"/>
    <n v="0"/>
    <m/>
    <s v="Familias, colectivos y comunidades"/>
    <s v="SPC - E1 Gobernabilidad y Gobernanza - L1 Desarrollo Institucional y Sectorial - Planeación Integral en Salud"/>
    <x v="25"/>
    <m/>
  </r>
  <r>
    <n v="252"/>
    <s v="Transversal a todos los núcleos"/>
    <s v="Gobernabilidad y gobernanza de la salud pública"/>
    <s v="ii) Redes Integrales e Integradas Territoriales de Salud - RIITS"/>
    <s v="Implementación de mecanismos para la coordinación y gestión de la operación de las redes integrales e integradas territoriales de salud en el marco de un modelo preventivo, predictivo y resolutivo basado en la APS.  "/>
    <s v="Entidades Territoriales Departamentales, Distritales que organizan la prestación de servicios de salud en redes integrales e integradas territoriales bajo un modelo de salud predictivo, preventivo y resolutivo fundamentado en la Atención Primaria en Salud – APS con criterios de subsidiaridad y complementariedad.   "/>
    <s v="A 2031 el 100% de los Departamentos y Distritos tendrán en operación una red integral e integrada territorial de salud – RIITS conforme al modelo de salud preventivo, predictivo y resolutivo basado en la Atención Primaria en Salud – APS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Na"/>
    <m/>
    <s v="Lograr el fortalecimiento de la autoridad sanitaria en los 29 municipios del departamento del Magdalena"/>
    <s v="Cuidado de la Salud en el Territorio."/>
    <s v="Brindar asistencia tecnica, y seguimiento a la implementación de equipos de radio comunicación"/>
    <s v="No aplica"/>
    <n v="5"/>
    <s v="Número"/>
    <n v="20"/>
    <n v="20"/>
    <n v="100"/>
    <n v="20"/>
    <n v="20"/>
    <n v="100"/>
    <n v="20"/>
    <m/>
    <n v="0"/>
    <n v="20"/>
    <m/>
    <n v="0"/>
    <n v="5"/>
    <n v="40"/>
    <n v="100"/>
    <d v="2026-02-01T00:00:00"/>
    <d v="2026-12-31T00:00:00"/>
    <s v="NA"/>
    <m/>
    <m/>
    <n v="0"/>
    <n v="0"/>
    <n v="0"/>
    <m/>
    <s v="Familias, colectivos y comunidades"/>
    <s v="SPC - E1 Gobernabilidad y Gobernanza - L1 Desarrollo Institucional y Sectorial - Planeación Integral en Salud"/>
    <x v="25"/>
    <m/>
  </r>
  <r>
    <n v="253"/>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s v="Gestionar la adecuación y/o construcción de (12) puestos y centros de salud."/>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Desarrollar una estretegia para que los hospitales y puestos y centro  de salud priorizados en el departamento del Magdalena cumplan con los estándares de infraestructura y dotación de 17 ambulancias del cambio para entornos seguros, funcionales y dignos."/>
    <s v="No aplica"/>
    <n v="17"/>
    <s v="Número"/>
    <n v="25"/>
    <m/>
    <n v="0"/>
    <n v="25"/>
    <m/>
    <n v="0"/>
    <n v="25"/>
    <m/>
    <n v="0"/>
    <n v="25"/>
    <m/>
    <n v="0"/>
    <n v="17"/>
    <n v="0"/>
    <n v="0"/>
    <d v="2026-02-01T00:00:00"/>
    <d v="2026-12-31T00:00:00"/>
    <s v="NA"/>
    <m/>
    <m/>
    <m/>
    <m/>
    <m/>
    <m/>
    <s v="Personal de Salud."/>
    <s v="SPC - E1 Gobernabilidad y Gobernanza - L1 Desarrollo Institucional y Sectorial - Planeación Integral en Salud"/>
    <x v="23"/>
    <m/>
  </r>
  <r>
    <n v="254"/>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s v="Gestionar la adecuación y/o construcción de (12) puestos y centros de salud."/>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Desarrollar una estretegia para que los prestadores públicos de salud priorizados en el departamento del Magdalena, cumplan con los estándares de infraestructura y dotación de hospitales para entornos seguros, funcionales y dignos, adecuaciones menores a 2 Hospitales, en construccion de 2 hospitales nuevos"/>
    <s v="No aplica"/>
    <n v="5"/>
    <s v="Número"/>
    <n v="25"/>
    <m/>
    <n v="0"/>
    <n v="25"/>
    <m/>
    <n v="0"/>
    <n v="25"/>
    <m/>
    <n v="0"/>
    <n v="25"/>
    <m/>
    <n v="0"/>
    <n v="5"/>
    <n v="0"/>
    <n v="0"/>
    <d v="2026-02-01T00:00:00"/>
    <d v="2026-12-31T00:00:00"/>
    <s v="NA"/>
    <m/>
    <m/>
    <m/>
    <m/>
    <m/>
    <m/>
    <s v="Varias poblaciones de protección constitucional específica"/>
    <s v="SPC - E1 Gobernabilidad y Gobernanza - L1 Desarrollo Institucional y Sectorial - Planeación Integral en Salud"/>
    <x v="23"/>
    <m/>
  </r>
  <r>
    <n v="255"/>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Desarrollar una estretegia de adecuaiones menores a 32  puestos y centro  de salud y seguimiento a 3 puestos de salud priorizados de zona rural, dispersa y urbana en el departamento del Magdalena cumplan con los estándares de infraestructura y dotación de puestos de salud para entornos seguros, funcionales y dignos"/>
    <s v="No aplica"/>
    <n v="35"/>
    <s v="Número"/>
    <m/>
    <m/>
    <e v="#DIV/0!"/>
    <m/>
    <m/>
    <e v="#DIV/0!"/>
    <m/>
    <m/>
    <e v="#DIV/0!"/>
    <n v="5"/>
    <m/>
    <n v="0"/>
    <n v="35"/>
    <n v="0"/>
    <n v="0"/>
    <d v="2026-02-01T00:00:00"/>
    <d v="2026-12-31T00:00:00"/>
    <s v="NA"/>
    <m/>
    <m/>
    <m/>
    <m/>
    <m/>
    <m/>
    <s v="Varias poblaciones de protección constitucional específica"/>
    <s v="SPC - E1 Gobernabilidad y Gobernanza - L1 Desarrollo Institucional y Sectorial - Planeación Integral en Salud"/>
    <x v="23"/>
    <m/>
  </r>
  <r>
    <n v="256"/>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Formular, Coordinar y desarrollar el COAI y PAS de la vigencia 2026 del departamento, relizar monitoreo, seguimiento, control y cargue al portal web del MSPS de manera trimestral, con el equipo integral de la Secretaria de Salud por cada una de las dimensiones del PDSP."/>
    <s v="No aplica"/>
    <n v="1"/>
    <s v="Número"/>
    <m/>
    <m/>
    <e v="#DIV/0!"/>
    <m/>
    <m/>
    <e v="#DIV/0!"/>
    <m/>
    <m/>
    <e v="#DIV/0!"/>
    <n v="5"/>
    <m/>
    <n v="0"/>
    <n v="1"/>
    <n v="0"/>
    <n v="0"/>
    <d v="2026-02-01T00:00:00"/>
    <d v="2026-12-31T00:00:00"/>
    <s v="NA"/>
    <m/>
    <m/>
    <m/>
    <m/>
    <m/>
    <m/>
    <s v="Varias poblaciones de protección constitucional específica"/>
    <s v="SPC - E1 Gobernabilidad y Gobernanza - L1 Desarrollo Institucional y Sectorial - Planeación Integral en Salud"/>
    <x v="34"/>
    <m/>
  </r>
  <r>
    <n v="258"/>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Someter a la aprobaciòn por  el Consejo de Gobierno y la sensibilizacion del CTSS  del COAI y PAS de la vigencia 2026 del departamento,  ejercer los reportes y entrega de la informaciòn del desarrollo y ejecuciòn de los mismos a la Oficina Asesora de Planeaciòn del departamento, oficina de control interno, cargue al portal Web -SISPRO del MSPS de manera trimestral, con el equipo integral de la Secretaria de Salud por cada una de las dimensiones del PDSP, para su monitoreo, control, segimiento por los entes del nivel nacional, territorial y la propia seretaria de salud y demas autoidades que ejercen control y evalauciòn incluido las veedurias y  el control social."/>
    <s v="No aplica"/>
    <n v="1"/>
    <s v="NUMERO"/>
    <m/>
    <m/>
    <e v="#DIV/0!"/>
    <m/>
    <m/>
    <e v="#DIV/0!"/>
    <m/>
    <m/>
    <e v="#DIV/0!"/>
    <n v="17"/>
    <m/>
    <n v="0"/>
    <n v="1"/>
    <n v="0"/>
    <n v="0"/>
    <d v="2026-02-01T00:00:00"/>
    <d v="2026-12-31T00:00:00"/>
    <s v="NA"/>
    <m/>
    <m/>
    <m/>
    <m/>
    <m/>
    <m/>
    <s v="Varias poblaciones de protección constitucional específica"/>
    <s v="SPC - E1 Gobernabilidad y Gobernanza - L1 Desarrollo Institucional y Sectorial - Planeación Integral en Salud"/>
    <x v="23"/>
    <m/>
  </r>
  <r>
    <n v="259"/>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Brindar Asistencia Tecnica, desarrollo de capacidades, monitoreo y seguimiento, a los planes de accion Municipales de la vigencia 2026 al 100% de los 29 municpios del departamento por subregiones, por demanda individual y vigilancia y control por municipio."/>
    <s v="No aplica"/>
    <n v="100"/>
    <s v="Porcentaje"/>
    <m/>
    <m/>
    <e v="#DIV/0!"/>
    <m/>
    <m/>
    <e v="#DIV/0!"/>
    <m/>
    <m/>
    <e v="#DIV/0!"/>
    <n v="5"/>
    <m/>
    <n v="0"/>
    <n v="100"/>
    <n v="0"/>
    <n v="0"/>
    <d v="2026-02-01T00:00:00"/>
    <d v="2026-12-31T00:00:00"/>
    <s v="NA"/>
    <m/>
    <m/>
    <m/>
    <m/>
    <m/>
    <m/>
    <s v="Varias poblaciones de protección constitucional específica"/>
    <s v="SPC - E1 Gobernabilidad y Gobernanza - L1 Desarrollo Institucional y Sectorial - Planeación Integral en Salud"/>
    <x v="34"/>
    <m/>
  </r>
  <r>
    <n v="260"/>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Apoyar el proceso de rendicion de cuentas del sector Salud   Departamental  mediante la operativizacion del 100%  los mecanismos de transparencia en la evaluacion y el control social, por lo menos una vez al año."/>
    <s v="No aplica"/>
    <n v="1"/>
    <s v="Número"/>
    <m/>
    <m/>
    <e v="#DIV/0!"/>
    <m/>
    <m/>
    <e v="#DIV/0!"/>
    <m/>
    <m/>
    <e v="#DIV/0!"/>
    <n v="35"/>
    <m/>
    <n v="0"/>
    <n v="1"/>
    <n v="0"/>
    <n v="0"/>
    <d v="2026-02-01T00:00:00"/>
    <d v="2026-12-31T00:00:00"/>
    <s v="NA"/>
    <m/>
    <m/>
    <m/>
    <m/>
    <m/>
    <m/>
    <s v="Varias poblaciones de protección constitucional específica"/>
    <s v="SPC - E1 Gobernabilidad y Gobernanza - L1 Desarrollo Institucional y Sectorial - Planeación Integral en Salud"/>
    <x v="34"/>
    <m/>
  </r>
  <r>
    <n v="261"/>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Desarrollar capacidades al talento humano al 100% de las 29 entidades territoriales  responsables de la planificacion en salud; para la construcciòn, formulación, implementación, seguimiento, monitoreo y evaluación de políticas, planes, programas, estrategias y proyectos en salud y del PDSP 2022 -2031"/>
    <s v="No aplica"/>
    <n v="100"/>
    <s v="Porcentaje"/>
    <n v="1"/>
    <m/>
    <n v="0"/>
    <m/>
    <m/>
    <e v="#DIV/0!"/>
    <m/>
    <m/>
    <e v="#DIV/0!"/>
    <m/>
    <m/>
    <e v="#DIV/0!"/>
    <n v="100"/>
    <n v="0"/>
    <n v="0"/>
    <d v="2026-01-31T00:00:00"/>
    <d v="2026-12-31T00:00:00"/>
    <s v="NA"/>
    <m/>
    <m/>
    <m/>
    <m/>
    <m/>
    <m/>
    <s v="Varias poblaciones de protección constitucional específica"/>
    <s v="SPC - E1 Gobernabilidad y Gobernanza - L1 Desarrollo Institucional y Sectorial - Planeación Integral en Salud"/>
    <x v="34"/>
    <m/>
  </r>
  <r>
    <n v="262"/>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el monitoreo, seguimiento, control y evaluacion trimestral a los planes de accion Municipales de la vigencia 2026, incluido al cargue en el portal Web del MSPS al 100% de los 29 municipios del departamento por subregiones, por demanda individual y vigilancia y control por municipios."/>
    <s v="No aplica"/>
    <n v="4"/>
    <s v="Número"/>
    <n v="1"/>
    <m/>
    <n v="0"/>
    <m/>
    <m/>
    <e v="#DIV/0!"/>
    <m/>
    <m/>
    <e v="#DIV/0!"/>
    <m/>
    <m/>
    <e v="#DIV/0!"/>
    <n v="4"/>
    <n v="0"/>
    <n v="0"/>
    <d v="2026-01-31T00:00:00"/>
    <d v="2026-12-31T00:00:00"/>
    <s v="NA"/>
    <m/>
    <m/>
    <m/>
    <m/>
    <m/>
    <m/>
    <s v="Varias poblaciones de protección constitucional específica"/>
    <s v="SPC - E1 Gobernabilidad y Gobernanza - L1 Desarrollo Institucional y Sectorial - Planeación Integral en Salud"/>
    <x v="34"/>
    <m/>
  </r>
  <r>
    <n v="263"/>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la vigilancia y el control de la capacidad de gestion de los 5 municpios certificados en salud decreto 780 DE 2016 ART. 5 Y SIGUEIENTES, con base en los lineamientos y la herramienta implementada para su evaluaciòn en la prestacion de los servicios de salud vigencia 2022."/>
    <s v="No aplica"/>
    <n v="5"/>
    <s v="Número"/>
    <n v="25"/>
    <m/>
    <n v="0"/>
    <n v="25"/>
    <m/>
    <n v="0"/>
    <n v="25"/>
    <m/>
    <n v="0"/>
    <n v="25"/>
    <m/>
    <n v="0"/>
    <n v="5"/>
    <n v="0"/>
    <n v="0"/>
    <d v="2026-02-01T00:00:00"/>
    <d v="2026-12-31T00:00:00"/>
    <s v="NA"/>
    <m/>
    <m/>
    <m/>
    <m/>
    <m/>
    <m/>
    <s v="Varias poblaciones de protección constitucional específica"/>
    <s v="SPC - E1 Gobernabilidad y Gobernanza - L1 Desarrollo Institucional y Sectorial - Planeación Integral en Salud"/>
    <x v="34"/>
    <m/>
  </r>
  <r>
    <n v="264"/>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mantener actulalizada las repuestas y de manera oportuna a los procesos juridicos, respuestas de las acciones de tutela y los procesos administartativos sansionatorios y de cumplimineto a las visitas de verifcacioón de la red de prestadores dell departamento"/>
    <s v="No aplica"/>
    <n v="100"/>
    <s v="Porcentaje"/>
    <m/>
    <m/>
    <e v="#DIV/0!"/>
    <m/>
    <m/>
    <e v="#DIV/0!"/>
    <m/>
    <m/>
    <e v="#DIV/0!"/>
    <n v="1"/>
    <m/>
    <n v="0"/>
    <n v="100"/>
    <n v="0"/>
    <n v="0"/>
    <d v="2026-02-01T00:00:00"/>
    <d v="2026-12-31T00:00:00"/>
    <s v="NA"/>
    <m/>
    <m/>
    <m/>
    <m/>
    <m/>
    <m/>
    <s v="Varias poblaciones de protección constitucional específica"/>
    <s v="SPC - E1 Gobernabilidad y Gobernanza - L1 Desarrollo Institucional y Sectorial - Planeación Integral en Salud"/>
    <x v="35"/>
    <m/>
  </r>
  <r>
    <n v="265"/>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Mantener actualizado el flujo, analisis y cargue de los sistemas de informacion para la salud, los RIPS  del 100% de las empresas prestadoras y los informes de  en la prestacion de los servicios de salud a la PPNA del departamento de manera eficiente y oportuna. "/>
    <s v="No aplica"/>
    <n v="100"/>
    <s v="Porcentaje"/>
    <n v="25"/>
    <m/>
    <n v="0"/>
    <n v="25"/>
    <m/>
    <n v="0"/>
    <n v="25"/>
    <m/>
    <n v="0"/>
    <n v="25"/>
    <m/>
    <n v="0"/>
    <n v="100"/>
    <n v="0"/>
    <n v="0"/>
    <d v="2026-02-01T00:00:00"/>
    <d v="2026-12-31T00:00:00"/>
    <s v="NA"/>
    <m/>
    <m/>
    <m/>
    <m/>
    <m/>
    <m/>
    <s v="Varias poblaciones de protección constitucional específica"/>
    <s v="SPC - E1 Gobernabilidad y Gobernanza - L1 Desarrollo Institucional y Sectorial - Planeación Integral en Salud"/>
    <x v="36"/>
    <m/>
  </r>
  <r>
    <n v="266"/>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Brindar Asistencia Tecnica y Capacitación  del flujo, analisis y cargue de los sistemas de información para la salud, los RIPS  de las empresas prestadoras y los informes de la resolución  202 en la prestación de los servicios de salud a la PPNA del departamento de manera eficiente y oportuna a 100% de prestadores del departameto y municpios certificados que prestan servicios de salud."/>
    <s v="No aplica"/>
    <n v="100"/>
    <s v="Porcentaje"/>
    <n v="1"/>
    <m/>
    <n v="0"/>
    <n v="1"/>
    <m/>
    <n v="0"/>
    <n v="1"/>
    <m/>
    <n v="0"/>
    <n v="1"/>
    <m/>
    <n v="0"/>
    <n v="100"/>
    <n v="0"/>
    <n v="0"/>
    <d v="2026-02-01T00:00:00"/>
    <d v="2026-12-31T00:00:00"/>
    <s v="NA"/>
    <m/>
    <m/>
    <n v="0"/>
    <n v="0"/>
    <n v="0"/>
    <m/>
    <s v="Varias poblaciones de protección constitucional específica"/>
    <s v="SPC - E1 Gobernabilidad y Gobernanza - L1 Desarrollo Institucional y Sectorial - Planeación Integral en Salud"/>
    <x v="36"/>
    <m/>
  </r>
  <r>
    <n v="267"/>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monitoreo, seguimiento y control al flujo ,analisis y cargue de los sistemas de informacion para la salud de la circular única, círcular 030 y 2193 en los proceos de inversion de infraestrutura, el plan bienal, Plan de Mantenimienrto, proyectos de inversion y actualizacion Catastro Fisico del deparatamento de manera eficiente y oportuna a todos los prestadores y municpios certificados que prestan servicios de salud.plan bienal AT y Control dos veces al año"/>
    <s v="No aplica"/>
    <n v="100"/>
    <s v="Porcentaje"/>
    <m/>
    <m/>
    <e v="#DIV/0!"/>
    <m/>
    <m/>
    <e v="#DIV/0!"/>
    <n v="5"/>
    <m/>
    <n v="0"/>
    <m/>
    <m/>
    <e v="#DIV/0!"/>
    <n v="100"/>
    <n v="0"/>
    <n v="0"/>
    <d v="2026-02-01T00:00:00"/>
    <d v="2026-12-31T00:00:00"/>
    <s v="NA"/>
    <m/>
    <m/>
    <n v="0"/>
    <n v="0"/>
    <n v="0"/>
    <m/>
    <s v="Varias poblaciones de protección constitucional específica"/>
    <s v="SPC - E1 Gobernabilidad y Gobernanza - L1 Desarrollo Institucional y Sectorial - Planeación Integral en Salud"/>
    <x v="36"/>
    <m/>
  </r>
  <r>
    <n v="268"/>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monitoreo, seguimiento y control al flujo, análisis  plan de mantenimiento del departamento de manera eficiente y oportuna a todos los prestadores de los municipios Control dos veces al año."/>
    <s v="No aplica"/>
    <n v="58"/>
    <s v="Número"/>
    <n v="25"/>
    <m/>
    <n v="0"/>
    <n v="25"/>
    <m/>
    <n v="0"/>
    <n v="25"/>
    <m/>
    <n v="0"/>
    <n v="25"/>
    <m/>
    <n v="0"/>
    <n v="58"/>
    <n v="0"/>
    <n v="0"/>
    <d v="2026-02-01T00:00:00"/>
    <d v="2026-12-31T00:00:00"/>
    <s v="NA"/>
    <m/>
    <m/>
    <n v="0"/>
    <n v="0"/>
    <n v="0"/>
    <m/>
    <s v="Varias poblaciones de protección constitucional específica"/>
    <s v="SPC - E1 Gobernabilidad y Gobernanza - L1 Desarrollo Institucional y Sectorial - Planeación Integral en Salud"/>
    <x v="36"/>
    <m/>
  </r>
  <r>
    <n v="269"/>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al catastro fisico de los municpios y ESE; AT e IVC y formulaciòn, viabiidad y evaluaciòn de proyectos  de infraestructura y dotacion de los 29 municpios semestralmente "/>
    <s v="No aplica"/>
    <n v="58"/>
    <s v="númeo"/>
    <n v="25"/>
    <m/>
    <n v="0"/>
    <n v="25"/>
    <m/>
    <n v="0"/>
    <n v="25"/>
    <m/>
    <n v="0"/>
    <n v="25"/>
    <m/>
    <n v="0"/>
    <n v="58"/>
    <n v="0"/>
    <n v="0"/>
    <d v="2026-02-01T00:00:00"/>
    <d v="2026-12-31T00:00:00"/>
    <s v="NA"/>
    <m/>
    <m/>
    <n v="0"/>
    <n v="0"/>
    <n v="0"/>
    <m/>
    <s v="Varias poblaciones de protección constitucional específica"/>
    <s v="SPC - E1 Gobernabilidad y Gobernanza - L1 Desarrollo Institucional y Sectorial - Planeación Integral en Salud"/>
    <x v="37"/>
    <m/>
  </r>
  <r>
    <n v="270"/>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revisar y viabilizar 100 % de los proyectos presentados por las ESE hospitales de infraestructura y dotacion. Con base en la normatividad vigente"/>
    <s v="No aplica"/>
    <n v="100"/>
    <s v="Porcentaje"/>
    <n v="25"/>
    <m/>
    <n v="0"/>
    <n v="25"/>
    <m/>
    <n v="0"/>
    <n v="25"/>
    <m/>
    <n v="0"/>
    <n v="25"/>
    <m/>
    <n v="0"/>
    <n v="100"/>
    <n v="0"/>
    <n v="0"/>
    <d v="2026-02-01T00:00:00"/>
    <d v="2026-12-31T00:00:00"/>
    <s v="NA"/>
    <m/>
    <m/>
    <n v="0"/>
    <n v="0"/>
    <n v="0"/>
    <m/>
    <s v="Varias poblaciones de protección constitucional específica"/>
    <s v="SPC - E1 Gobernabilidad y Gobernanza - L1 Desarrollo Institucional y Sectorial - Planeación Integral en Salud"/>
    <x v="37"/>
    <m/>
  </r>
  <r>
    <n v="271"/>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revisar y viabilizar  los proyectos presentados por las ESE hospitales de infraestructura y dotacion de 22 Ese con dotación de ambulancias. Con base en la normatividad vigente"/>
    <s v="No aplica"/>
    <n v="22"/>
    <s v="Número"/>
    <n v="25"/>
    <m/>
    <n v="0"/>
    <n v="25"/>
    <m/>
    <n v="0"/>
    <n v="25"/>
    <m/>
    <n v="0"/>
    <n v="25"/>
    <m/>
    <n v="0"/>
    <n v="22"/>
    <n v="0"/>
    <n v="0"/>
    <d v="2026-02-01T00:00:00"/>
    <d v="2026-12-31T00:00:00"/>
    <s v="NA"/>
    <m/>
    <m/>
    <n v="0"/>
    <n v="0"/>
    <n v="0"/>
    <m/>
    <s v="Varias poblaciones de protección constitucional específica"/>
    <s v="SPC - E1 Gobernabilidad y Gobernanza - L1 Desarrollo Institucional y Sectorial - Planeación Integral en Salud"/>
    <x v="23"/>
    <m/>
  </r>
  <r>
    <n v="272"/>
    <s v="Deficiencias en la infraestructura sanitaria que se ve reflejada en bajas coberturas de alcantarillado y prestación del servicio de aseo así como la mala calidad del agua que condiciona la incidencia d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A 2027 el 100% de las entidades territoriales del orden departamental y municipal desarrollan mecanismos para el fortalecimiento de la rectorí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Apoyar la ejecucion del plan de IVC con servicio de transporte disponiendo de 1 vehiculos 24x7"/>
    <s v="Procesos transversales de la Gestion de la Salud Pública"/>
    <n v="100"/>
    <s v="Porcentaje"/>
    <n v="0"/>
    <n v="25"/>
    <e v="#DIV/0!"/>
    <n v="30"/>
    <n v="30"/>
    <n v="100"/>
    <n v="40"/>
    <m/>
    <n v="0"/>
    <n v="30"/>
    <m/>
    <n v="0"/>
    <n v="100"/>
    <n v="55"/>
    <n v="183.33333333333331"/>
    <d v="2026-02-01T00:00:00"/>
    <d v="2026-12-31T00:00:00"/>
    <s v="NA"/>
    <m/>
    <m/>
    <n v="162000364"/>
    <n v="162000364"/>
    <n v="162000364"/>
    <n v="0"/>
    <s v="Varias poblaciones de protección constitucional específica"/>
    <s v="SPC - E1 Gobernabilidad y Gobernanza - L1 Desarrollo Institucional y Sectorial - Planeación Integral en Salud"/>
    <x v="1"/>
    <m/>
  </r>
  <r>
    <n v="27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ñales definiendo temas transversales y objetivos_x000a_  comun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9-No relación"/>
    <s v="A 2027 el 100% de las entidades terriitoriales de orden departamental, distrital y municipal desarrollaran mecanismos para el fortalecimiento de la rectori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inducción y reinducción para todo funcionario que ingrese al equipo PAI, dirigidos al talento humano y demás actores según su competencia, abarcando todos los módulos del PAI."/>
    <s v="Procesos transversales de la Gestion de la Salud Pública"/>
    <n v="1"/>
    <s v="Número"/>
    <n v="1"/>
    <n v="1"/>
    <n v="100"/>
    <n v="1"/>
    <n v="0"/>
    <n v="0"/>
    <n v="29"/>
    <m/>
    <n v="0"/>
    <m/>
    <m/>
    <e v="#DIV/0!"/>
    <n v="1"/>
    <n v="1"/>
    <n v="50"/>
    <d v="2026-02-01T00:00:00"/>
    <d v="2026-12-31T00:00:00"/>
    <s v="NA"/>
    <m/>
    <m/>
    <n v="25000000"/>
    <n v="25000000"/>
    <n v="25000000"/>
    <n v="25000000"/>
    <s v="Varias poblaciones de protección constitucional específica"/>
    <s v="SPC - E1 Gobernabilidad y Gobernanza - L1 Desarrollo Institucional y Sectorial - Planeación Integral en Salud"/>
    <x v="24"/>
    <m/>
  </r>
  <r>
    <n v="27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ñales definiendo temas transversales y objetivos_x000a_  comun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9-No relación"/>
    <s v="A 2027 el 100% de las entidades terriitoriales de orden departamental, distrital y municipal desarrollaran mecanismos para el fortalecimiento de la rectori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Socializar los lineamientos para las jornadas nacionales de_x000a_ vacunación y planes de intensificación emitidos por el nivel nacional"/>
    <s v="Procesos transversales de la Gestion de la Salud Pública"/>
    <n v="4"/>
    <s v="Número"/>
    <n v="1"/>
    <n v="1"/>
    <n v="100"/>
    <n v="1"/>
    <n v="0"/>
    <n v="0"/>
    <n v="1"/>
    <m/>
    <n v="0"/>
    <n v="1"/>
    <m/>
    <n v="0"/>
    <n v="4"/>
    <n v="1"/>
    <n v="50"/>
    <d v="2026-02-01T00:00:00"/>
    <d v="2026-12-31T00:00:00"/>
    <s v="NA"/>
    <m/>
    <m/>
    <n v="50000000"/>
    <n v="50000000"/>
    <n v="50000000"/>
    <n v="50000000"/>
    <s v="Varias poblaciones de protección constitucional específica"/>
    <s v="SPC - E1 Gobernabilidad y Gobernanza - L1 Desarrollo Institucional y Sectorial - Planeación Integral en Salud"/>
    <x v="24"/>
    <m/>
  </r>
  <r>
    <n v="275"/>
    <s v="La falta de talento humano de planta, la alta rotación de personal contratista, la falta de vehículos, la falta de adherencia a lineamientos programáticos y misionales por parte del talento humano para brindar asistencia técnica a los actores, la complejidad y de organización de procesos administrativos que generan reprocesos; dificultan la ejecución de las acciones de orden misional perdiendo gobernanza y autoridad frente a os vigilad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A 2027 el 100% de las entidades territoriales del orden departamental y municipal desarrollan mecanismos para el fortalecimiento de la rectorí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una auditoria externa para verificar el cumoplimiento de los requisitos de la norma NTC-ISO/IEC 17025 version vigente y/o criterios ONC"/>
    <s v="Procesos transversales de la Gestion de la Salud Pública"/>
    <n v="1"/>
    <s v="NUMERO"/>
    <n v="0"/>
    <m/>
    <e v="#DIV/0!"/>
    <n v="1"/>
    <m/>
    <n v="0"/>
    <m/>
    <m/>
    <e v="#DIV/0!"/>
    <n v="22"/>
    <m/>
    <n v="0"/>
    <n v="1"/>
    <n v="0"/>
    <n v="0"/>
    <d v="2026-02-01T00:00:00"/>
    <d v="2026-12-31T00:00:00"/>
    <s v="NA"/>
    <m/>
    <m/>
    <n v="40000000"/>
    <n v="40000000"/>
    <n v="40000000"/>
    <n v="0"/>
    <s v="Varias poblaciones de protección constitucional específica"/>
    <s v="SPC - E1 Gobernabilidad y Gobernanza - L1 Desarrollo Institucional y Sectorial - Planeación Integral en Salud"/>
    <x v="22"/>
    <m/>
  </r>
  <r>
    <n v="27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Entidades Territoriales Departamentales, Distritales y Municipales fortalecidas como autoridad sanitaria local para la Gobernanza en Salud Pública."/>
    <s v="A 2031 el 100% de las Entidades_x000a_ Territoriales del orden departamental,_x000a_ distrital y municipal desarrollan_x000a_ mecanismos para el fortalecimiento de la_x000a_ rectoría en salud en su territorio, conforme_x000a_ a las competencias establecidas"/>
    <s v="Desarrollo y fortalecimiento de capacidades para la implmentación integral en salud y la gestion territorial en el marco del modelo de salud preventivo y predictivo y resolución basado en AP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onformar, priorizar y desarrollar actividades educativas en GOTIS y UTIS en los 29 municipios del departamento"/>
    <s v="DESARROLLO INSTITUCIONAL Y SECTORIAL PARA EL EJERCICIO DE LA AUTORIDAD SANITARIA."/>
    <s v="Realizar asistencias técnicas en las subregiones del Departamento sobre abordaje a trabajadores de la economia popular y cominitaria Magdalena UTIS Y GOTIS en: Riesgos – peligros, actos y condiciones seguras Incentivar la afiliación al sistema de riesgos laborales Prevención de enfermedades y accidentes relacionados con el trabajo Socialización de la ruta de atención en servicios de salud_x000a_  Socialización de factores de riesgo para condiciones crónicas no transmisibles y salud mental"/>
    <s v="Procesos transversales de la Gestion de la Salud Pública"/>
    <n v="29"/>
    <s v="Número"/>
    <n v="3"/>
    <n v="3"/>
    <n v="100"/>
    <n v="4"/>
    <n v="18"/>
    <n v="450"/>
    <n v="11"/>
    <m/>
    <n v="0"/>
    <n v="11"/>
    <m/>
    <n v="0"/>
    <n v="29"/>
    <n v="21"/>
    <n v="300"/>
    <d v="2026-02-01T00:00:00"/>
    <d v="2026-12-31T00:00:00"/>
    <m/>
    <m/>
    <m/>
    <m/>
    <m/>
    <m/>
    <m/>
    <s v="Juventud, Adultez y Persona mayor"/>
    <s v="N/A"/>
    <x v="19"/>
    <m/>
  </r>
  <r>
    <n v="27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Entidades Territoriales Departamentales, Distritales y Municipales fortalecidas como autoridad sanitaria local para la Gobernanza en Salud Pública."/>
    <s v="A 2031 el 100% de las Entidades_x000a_ Territoriales del orden departamental,_x000a_ distrital y municipal desarrollan_x000a_ mecanismos para el fortalecimiento de la_x000a_ rectoría en salud en su territorio, conforme_x000a_ a las competencias establecidas"/>
    <s v="Desarrollo y fortalecimiento de capacidades para la implmentación integral en salud y la gestion territorial en el marco del modelo de salud preventivo y predictivo y resolución basado en AP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onformar, priorizar y desarrollar actividades educativas en GOTIS y UTIS en los 29 municipios del departamento"/>
    <s v="DESARROLLO INSTITUCIONAL Y SECTORIAL PARA EL EJERCICIO DE LA AUTORIDAD SANITARIA."/>
    <s v="Realizar asistencia tecnica y mesas de trabajo con las EAPB, IPS, SSM y ESE de los 29 municipios del departamento en el desarrollo de jornadas de salud y seguimiento a los reportes de accidentes laborales en trabajadores informales"/>
    <s v="Procesos transversales de la Gestion de la Salud Pública"/>
    <n v="29"/>
    <s v="Número"/>
    <n v="3"/>
    <n v="3"/>
    <n v="100"/>
    <n v="4"/>
    <n v="18"/>
    <n v="450"/>
    <n v="11"/>
    <m/>
    <n v="0"/>
    <n v="11"/>
    <m/>
    <n v="0"/>
    <n v="29"/>
    <n v="21"/>
    <n v="300"/>
    <d v="2026-02-01T00:00:00"/>
    <d v="2026-12-31T00:00:00"/>
    <m/>
    <m/>
    <m/>
    <m/>
    <m/>
    <m/>
    <m/>
    <s v="Juventud, Adultez y Persona mayor"/>
    <s v="N/A"/>
    <x v="1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7">
  <r>
    <n v="1"/>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Fortalecimiento de capacidades a las comunidades para el desarrollo de la APS con_x000a_  acciones territorializadas, universales, sistemáticas, permanentes y participativas bajo un enfoque_x000a_  familiar y comunitario."/>
    <s v="a 2031 el 100% de las entidades territoriales del orden departamental, distrital y municipal han desarrollado procesos de ajuste institucional para el fortalecimiento de las capacidades de la autoridad sanitaria y la apropiacion territorial del modelo de "/>
    <s v="a 2027 el 100% de las entidades territoriales del orden departamental, han desarrollado procesos de ajuste institucional para el fortalecimiento de las capacidades de la autoridad sanitaria y la apropiacion territorial del modelo de salud basado en APS"/>
    <s v="98-Actividad trasversal a Resultados"/>
    <s v="A 2027 el 100% de las entidades territoriales del orden departamental y municipal desarrollan mecanismos para el fortalecimiento de la rectorí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Implementar el plan de cuidado e intervencion de las personas y familias por microterritorio en el entorno hogar de acuerdo al curso de vida, garantizando la canalizacion oportuna a los servicios de salud y el seguimiento de manera permanente hasta lograr"/>
    <s v="PIC(Anexo técnico)"/>
    <n v="29"/>
    <s v="Número"/>
    <n v="29"/>
    <m/>
    <e v="#DIV/0!"/>
    <n v="29"/>
    <m/>
    <n v="0"/>
    <n v="29"/>
    <m/>
    <n v="0"/>
    <n v="29"/>
    <m/>
    <n v="0"/>
    <n v="29"/>
    <n v="0"/>
    <n v="0"/>
  </r>
  <r>
    <n v="2"/>
    <s v="Deficiencias en la infraestructura sanitaria que se ve reflejada en bajas coberturas de alcantarillado y prestación del servicio de aseo así como la mala calidad del agua que condiciona la incidencia de"/>
    <s v="Gobernabilidad y gobernanza de la salud pública"/>
    <s v="i). Gobernabilidad, Gobernanza y Territorialización"/>
    <s v="Entidades Territoriales Departamentales, Distritales y Municipales con mecanismos fortalecidos para el ejercicio de la Rectoría en Salud."/>
    <s v="Alineación y armonización al ordenamiento jurídico en materia de salud publica de cada entidad territorial de acuerdo con cada categoria administrativa y fiscal en el marco de las competencias fijadas por la ley"/>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Al 2027,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397 toma de muestra de agua en la red de distribución del departamento, de acuerdo con los articulos 24 y 26 de la resolución 2115 de 2007."/>
    <s v="Procesos transversales de la Gestion de la Salud Pública"/>
    <n v="397"/>
    <s v="Número"/>
    <n v="66"/>
    <n v="66"/>
    <n v="100"/>
    <n v="131"/>
    <n v="159"/>
    <n v="121.37404580152671"/>
    <n v="100"/>
    <m/>
    <n v="0"/>
    <n v="100"/>
    <m/>
    <n v="0"/>
    <n v="397"/>
    <n v="225"/>
    <n v="114.21319796954315"/>
  </r>
  <r>
    <n v="3"/>
    <s v="Aumento de la Tasa de Incidencia de las enfermedades transmitidas por vectores como el dengue;"/>
    <s v="Conocimiento en salud pública y Soberanía Sanitaria"/>
    <s v="i). Gobernabilidad, Gobernanza y Territorialización"/>
    <s v="Capacidades fortalecidas para la gestión del conocimiento en salud pública"/>
    <s v="Fortlecimiento de capacidades tecnicas para el ejercicio en la rectoria en salud."/>
    <s v="A 2031 se fortalecerá en el 100% de los territorios la apropiación social del conocimiento en salud pública y el desarrollo de investigaciones que den respuesta a las necesidades en salud de cada territorio"/>
    <s v="A 2027 se fortalecerá en el 100% de los territorios la apropiación social del conocimiento en salud pública y el desarrollo de investigaciones que den respuesta a las necesidades en salud de cada territorio"/>
    <s v="A 2031, el 100% las DTS departamentales, distritales y municipios habrán implementado las estrategias de Entornos Saludables"/>
    <s v="A 2027,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Desarrollar capacidades a los entes territoriales en gestion de riesgo quimico"/>
    <s v="Desarrollo institucional y sectorial para el ejercicio de la autoridad sanitaria"/>
    <s v="Desarrollar duarnte la vigencia una jornada de formación de 3 dias a las alcaldias municipales en la implementacion del modelo de seguridad quimica para el desarrollo de capacidades municipales."/>
    <s v="Procesos transversales de la Gestion de la Salud Pública"/>
    <n v="1"/>
    <s v="Número"/>
    <n v="1"/>
    <n v="1"/>
    <n v="100"/>
    <n v="0"/>
    <n v="0"/>
    <e v="#DIV/0!"/>
    <n v="0"/>
    <n v="0"/>
    <e v="#DIV/0!"/>
    <n v="0"/>
    <n v="0"/>
    <e v="#DIV/0!"/>
    <n v="1"/>
    <n v="1"/>
    <n v="100"/>
  </r>
  <r>
    <n v="4"/>
    <s v="Aumento de la Tasa de Incidencia de las enfermedades transmitidas por vectores como el dengue;"/>
    <s v="Conocimiento en salud pública y Soberanía Sanitaria"/>
    <s v="i). Gobernabilidad, Gobernanza y Territorialización"/>
    <s v="Políticas en salud pública para contribuir a la mitigación y adaptación al cambio climático."/>
    <s v="Fortalecimiento de las capacidades del personal de salud en todo lo relacionado con los posibles efectos de la variabilidad del cambio climático"/>
    <s v="A 2031 se incorporará en el 100% de los departamentos y distritos, el plan de gestión en sistemas de alerta temprana para la identificación del riesgos por el cambio climático y la posible vulnerabilidad de la población desde un enfoque territorial"/>
    <s v="Al 2027 se incorporará en el 100% de los municipios, el plan de gestión en sistemas de alerta temprana para la identificación del riesgos por el cambio climático y la posible vulnerabilidad de la población desde un enfoque territorial"/>
    <s v="Al 2031, se formularán acciones de adaptación en promoción de la salud y prevención de la enfermedad que aporten a reducir los casos de enfermedades sensibles al clima en el 100% de las Entidades Territoriales en el sector salud, del nivel departamental, "/>
    <s v="A 2027, se formularán acciones de adaptación en promoción de la salud y prevención de la enfermedad que aporten a reducir los casos de enfermedades sensibles al clima en el 100% de las Entidades Territoriales en el sector salud, del nivel departamental, d"/>
    <s v="Salud Pública"/>
    <s v="Médico en tu casa"/>
    <s v="Fortalecimiento de Estrategias para la Promoción de la Salud y Prevención de Enfermedades en Comunidades, mediante acciones Integrales, Participativas y Sostenibles en el Departamento del Magdalena."/>
    <s v="Implementar el PACCSA"/>
    <s v="Desarrollo institucional y sectorial para el ejercicio de la autoridad sanitaria"/>
    <s v="Desarrollar durante la vigencia una jornada de formación de 3 dias a las alcaldias municipales en medidas de adaptacion al cambio climatico para el desarrollo de capacidades municipales"/>
    <s v="Procesos transversales de la Gestion de la Salud Pública"/>
    <n v="1"/>
    <s v="Número"/>
    <n v="0"/>
    <n v="0"/>
    <e v="#DIV/0!"/>
    <n v="1"/>
    <n v="1"/>
    <n v="100"/>
    <m/>
    <m/>
    <e v="#DIV/0!"/>
    <n v="0"/>
    <m/>
    <e v="#DIV/0!"/>
    <n v="1"/>
    <n v="1"/>
    <n v="100"/>
  </r>
  <r>
    <n v="5"/>
    <s v="Deficiencias en la infraestructura sanitaria que se ve reflejada en bajas coberturas de alcantarillado y prestación del servicio de aseo así como la mala calidad del agua que condiciona la incidencia de "/>
    <s v="Conocimiento en salud pública y Soberanía Sanitaria"/>
    <s v="i). Gobernabilidad, Gobernanza y Territorialización"/>
    <s v="Capacidades fortalecidas para la gestión del conocimiento en salud pública"/>
    <s v="Entoros laborales saludables que promueven la salud, mejoran las condiciones de trabajo y disminuyen los riesgos laborales"/>
    <s v="A 2031 se incorporará en el 100% de los departamentos y distritos, el plan de gestión en sistemas de alerta temprana para la identificación del riesgos por el cambio climático y la posible vulnerabilidad de la población desde un enfoque territorial"/>
    <s v="A 2027 se incorporará en el 100% de los municipios, el plan de gestión en sistemas de alerta temprana para la identificación del riesgos por el cambio climático y la posible vulnerabilidad de la población desde un enfoque territorial"/>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Desarrollar una jornada de capacitación de 3 dias a las alcaldias municipales en el modelo de IVC y fomento de conciencia sanitaria para el desarrollo de capacidades municipales"/>
    <s v="Procesos transversales de la Gestion de la Salud Pública"/>
    <n v="1"/>
    <s v="Número"/>
    <n v="0"/>
    <n v="0"/>
    <e v="#DIV/0!"/>
    <n v="1"/>
    <n v="1"/>
    <n v="100"/>
    <n v="0"/>
    <m/>
    <e v="#DIV/0!"/>
    <n v="0"/>
    <m/>
    <e v="#DIV/0!"/>
    <n v="1"/>
    <n v="1"/>
    <n v="100"/>
  </r>
  <r>
    <n v="6"/>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 para la planeación integral en salud y la gestión territorial en el marco del modelo de salud preventivo, predictivo y resolutivo basado en AP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formular e Implementar el  plan de fortalecimiento de capacidades de gestion en salud ambiental a partir del diagnostico realizado con base en la informacion de la vigencia 2025  (GETSA)"/>
    <s v="Procesos transversales de la Gestion de la Salud Pública"/>
    <n v="1"/>
    <s v="Porcentaje"/>
    <n v="1"/>
    <n v="1"/>
    <n v="100"/>
    <n v="0"/>
    <m/>
    <e v="#DIV/0!"/>
    <n v="0"/>
    <m/>
    <e v="#DIV/0!"/>
    <n v="0"/>
    <m/>
    <e v="#DIV/0!"/>
    <n v="1"/>
    <n v="1"/>
    <n v="100"/>
  </r>
  <r>
    <n v="7"/>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ublica, el fortaleciiento de los laboratorios de salud publica, la inspección, vigilancia y control sanitarios, la garantía de insumos de interes en salud publica r"/>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68-A 2031,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Tomar muestras de agua en 30 puntos definidos para monitorear Cristosporidium , entregar resultados e informe"/>
    <s v="Procesos transversales de la Gestion de la Salud Pública"/>
    <n v="30"/>
    <s v="Número"/>
    <n v="0"/>
    <n v="0"/>
    <e v="#DIV/0!"/>
    <n v="0"/>
    <n v="0"/>
    <e v="#DIV/0!"/>
    <n v="0"/>
    <m/>
    <e v="#DIV/0!"/>
    <n v="30"/>
    <m/>
    <n v="0"/>
    <n v="30"/>
    <n v="0"/>
    <e v="#DIV/0!"/>
  </r>
  <r>
    <n v="8"/>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68-A 2031,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Ejecutar al 100% el plan de adquisisiones de insumos parea la vigilancia sanitaria de la calidad del agua y alimentos"/>
    <s v="Procesos transversales de la Gestion de la Salud Pública"/>
    <n v="100"/>
    <s v="Porcentaje"/>
    <n v="0"/>
    <n v="0"/>
    <e v="#DIV/0!"/>
    <n v="0"/>
    <n v="0"/>
    <e v="#DIV/0!"/>
    <n v="0"/>
    <m/>
    <e v="#DIV/0!"/>
    <n v="100"/>
    <m/>
    <n v="0"/>
    <n v="100"/>
    <n v="0"/>
    <e v="#DIV/0!"/>
  </r>
  <r>
    <n v="9"/>
    <s v="Deficiencias en la infraestructura sanitaria que se ve reflejada en bajas coberturas de alcantarillado y prestación del servicio de aseo así como la mala calidad del agua que condiciona la incidencia de "/>
    <s v="Conocimiento en salud pública y Soberanía Sanitaria"/>
    <s v="i). Gobernabilidad, Gobernanza y Territorialización"/>
    <s v="Capacidades fortalecidas para la gestión del conocimiento en salud pública"/>
    <s v="Entoros laborales saludables que promueven la salud, mejoran las condiciones de trabajo y disminuyen los riesgos laborales"/>
    <s v="A 2031 el 100% de los Departamentos, Distritos y Municipios del País integran en su Planes de Desarrollo Territoriales estrategias para afectar de manera positiva los determinantes sociales de la salud en sus territorios."/>
    <s v="A 2027 el 100% de Municipios del País integran en su Planes de Desarrollo Territoriales estrategias para afectar de manera positiva los determinantes sociales de la salud en sus territorio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Desarrollo de capacidades a los facilitadores de la red com (capacitadores), en coordinacion con el area de VSP "/>
    <s v="Procesos transversales de la Gestion de la Salud Pública"/>
    <n v="1"/>
    <s v="Número"/>
    <n v="0"/>
    <n v="0"/>
    <e v="#DIV/0!"/>
    <n v="1"/>
    <n v="1"/>
    <n v="100"/>
    <n v="0"/>
    <m/>
    <e v="#DIV/0!"/>
    <n v="0"/>
    <m/>
    <e v="#DIV/0!"/>
    <n v="1"/>
    <n v="1"/>
    <n v="100"/>
  </r>
  <r>
    <n v="10"/>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ublica, el fortaleciiento de los laboratorios de salud publica, la inspección, vigilancia y control sanitarios, la garantía de insumos de interes en salud publica r"/>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Ejecutar al 100% el plan de IVC formulado para la vigencia para dar respuesta a lo dispuesto en al Resolucion 1229 de 2013"/>
    <s v="Procesos transversales de la Gestion de la Salud Pública"/>
    <n v="100"/>
    <s v="Porcentaje"/>
    <n v="10"/>
    <n v="25"/>
    <n v="250"/>
    <n v="30"/>
    <n v="30"/>
    <n v="100"/>
    <n v="30"/>
    <m/>
    <n v="0"/>
    <n v="30"/>
    <m/>
    <n v="0"/>
    <n v="100"/>
    <n v="55"/>
    <n v="137.5"/>
  </r>
  <r>
    <n v="11"/>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ublica, el fortaleciiento de los laboratorios de salud publica, la inspección, vigilancia y control sanitarios, la garantía de insumos de interes en salud publica r"/>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Apoyar la ejecucion del plan de IVC con servicio de transporte disponiendo de 2 vehiculos 24x7"/>
    <s v="Procesos transversales de la Gestion de la Salud Pública"/>
    <n v="100"/>
    <s v="Porcentaje"/>
    <n v="0"/>
    <n v="10"/>
    <e v="#DIV/0!"/>
    <n v="30"/>
    <n v="30"/>
    <n v="100"/>
    <n v="40"/>
    <m/>
    <n v="0"/>
    <n v="30"/>
    <m/>
    <n v="0"/>
    <n v="100"/>
    <n v="40"/>
    <n v="133.33333333333331"/>
  </r>
  <r>
    <n v="12"/>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ens intersectoriales y transecvtoriales definiendo temas transcversales y objetivos comun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Gestión transectorial a través de 32 reuniones del COTSA y las mesas de calidad de agua, Comité de residuos, comité de cárceles, comité de entornos saludables y movilidad segura, comité de plaguicidas, comité de sanidad portuaria, comité secciona"/>
    <s v="Procesos transversales de la Gestion de la Salud Pública"/>
    <n v="32"/>
    <s v="Número"/>
    <n v="8"/>
    <n v="6"/>
    <n v="75"/>
    <n v="8"/>
    <n v="8"/>
    <n v="100"/>
    <n v="8"/>
    <n v="0"/>
    <n v="0"/>
    <n v="8"/>
    <m/>
    <n v="0"/>
    <n v="32"/>
    <n v="14"/>
    <n v="58.333333333333336"/>
  </r>
  <r>
    <n v="13"/>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ens intersectoriales y transecvtoriales definiendo temas transcversales y objetivos comun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Ejecutar al 100% los planes de accion de las mesas y comites asociados al COTSA"/>
    <s v="Procesos transversales de la Gestion de la Salud Pública"/>
    <n v="100"/>
    <s v="Porcentaje"/>
    <n v="10"/>
    <n v="25"/>
    <n v="250"/>
    <n v="30"/>
    <n v="30"/>
    <n v="100"/>
    <n v="30"/>
    <m/>
    <n v="0"/>
    <n v="30"/>
    <m/>
    <n v="0"/>
    <n v="100"/>
    <n v="55"/>
    <n v="137.5"/>
  </r>
  <r>
    <n v="14"/>
    <s v="Deficiencias en la infraestructura sanitaria que se ve reflejada en bajas coberturas de alcantarillado y prestación del servicio de aseo así como la mala calidad del agua que condiciona la incidencia de "/>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Desarrollo de estrategias de comunicación, educación, para el cambio de comportamiento y de acción colectiva que favorezcan la transformación de la cultura de seguridad social en salud y promover los entornos saludables y protector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A 2031, reducir en 50% la tasa de mortalidad por EDA en menores de 5 años"/>
    <s v="9-A 2031, reducir en 50% la tasa de mortalidad por EDA en menores de 5 años"/>
    <s v="Salud Pública"/>
    <s v="Médico en tu casa"/>
    <s v="Fortalecimiento de Estrategias para la Promoción de la Salud y Prevención de Enfermedades en Comunidades, mediante acciones Integrales, Participativas y Sostenibles en el Departamento del Magdalena."/>
    <s v="Implementar la estrategia de prevencion de ETA mediante la educacion a 88160 famlias sobre manual basico de manipulaciond e alimentos"/>
    <s v="Cuidado de la salud en el territorio"/>
    <s v="Capacitar a 30000 familias del departamento en las 10 normas basicas de manipulacion de alimentos en el marco de las visitas familiares."/>
    <s v="PIC(Anexo técnico)"/>
    <n v="30000"/>
    <s v="Número"/>
    <n v="10"/>
    <n v="0"/>
    <n v="0"/>
    <n v="30"/>
    <n v="0"/>
    <n v="0"/>
    <n v="30"/>
    <n v="0"/>
    <n v="0"/>
    <n v="30"/>
    <n v="0"/>
    <n v="0"/>
    <n v="30000"/>
    <n v="0"/>
    <n v="0"/>
  </r>
  <r>
    <n v="15"/>
    <s v="Deficiencias en la infraestructura sanitaria que se ve reflejada en bajas coberturas de alcantarillado y prestación del servicio de aseo así como la mala calidad del agua que condiciona la incidencia de "/>
    <s v="Conocimiento en salud pública y Soberanía Sanitaria"/>
    <s v="i). Gobernabilidad, Gobernanza y Territorialización"/>
    <s v="Capacidades fortalecidas para la gestión del conocimiento en salud pública"/>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sociales del orden departamental y municipal desarrollan mecanismos para el fortalecimiento de la rectoría en salud en su territorio, conforme a las competencias establecidas"/>
    <s v="A 2027 el 100% de las entidades territoriales sociales del orden departamental y municipal desarrollan mecanismos para el fortalecimiento de la rectoría en salud en su territorio, conforme a las competencias establecidas"/>
    <s v="9-A 2031, reducir en 50% la tasa de mortalidad por EDA en menores de 5 años"/>
    <s v="9-A 2031, reducir en 50% la tasa de mortalidad por EDA en menores de 5 año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Desarrollar de capacidades los equipos municipales y departamental en prevencion y manejo de ETAS"/>
    <s v="Procesos transversales de la Gestion de la Salud Pública"/>
    <n v="1"/>
    <s v="Número"/>
    <n v="0"/>
    <n v="0"/>
    <e v="#DIV/0!"/>
    <n v="30"/>
    <n v="0"/>
    <n v="0"/>
    <n v="40"/>
    <m/>
    <n v="0"/>
    <n v="30"/>
    <m/>
    <n v="0"/>
    <n v="1"/>
    <n v="0"/>
    <n v="0"/>
  </r>
  <r>
    <n v="16"/>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Desarrollo e implementación de otras estrategias para la generación de conocimiento acerca de las condiciones en salud de la población y sus DSS a nivel territorial tales como observatorios, ASIS, unidades de análisis, seminarios, evaluaciones de riesgo a"/>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la reunion departamental de salud ambiental de dos dias de duracion, con el tema central de entorno educativo saludable"/>
    <s v="Procesos transversales de la Gestion de la Salud Pública"/>
    <n v="1"/>
    <s v="Número"/>
    <n v="0"/>
    <n v="0"/>
    <e v="#DIV/0!"/>
    <n v="0"/>
    <n v="0"/>
    <e v="#DIV/0!"/>
    <n v="1"/>
    <m/>
    <n v="0"/>
    <n v="0"/>
    <m/>
    <e v="#DIV/0!"/>
    <n v="1"/>
    <n v="0"/>
    <e v="#DIV/0!"/>
  </r>
  <r>
    <n v="17"/>
    <s v="Las agresiones por animales potencialmente transmisores de la rabia"/>
    <s v="Conocimiento en salud pública y Soberanía Sanitaria"/>
    <s v="i). Gobernabilidad, Gobernanza y Territorialización"/>
    <s v="Capacidades fortalecidas para la gestión del conocimiento en salud pública"/>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A 2031, reducir en 50% la tasa de mortalidad por EDA en menores de 5 años"/>
    <s v="9-A 2031, reducir en 50% la tasa de mortalidad por EDA en menores de 5 años"/>
    <s v="Salud Publica"/>
    <s v="Médico en tu casa"/>
    <s v="Fortalecimiento de Estrategias para la Promoción de la Salud y Prevención de Enfermedades en Comunidades, mediante acciones Integrales, Participativas y Sostenibles en el Departamento del Magdalena."/>
    <s v="Implementar la estrategia de prevencion de ETA mediante la educacion a 88160 famlias sobre manual basico de manipulaciond e alimentos"/>
    <s v="Desarrollo institucional y sectorial para el ejercicio de la autoridad sanitaria"/>
    <s v="Desarrollo de capacidades a los miembros del comite SAN en practicas de inocuidad de alimentos "/>
    <s v="Procesos transversales de la Gestion de la Salud Pública"/>
    <n v="1"/>
    <s v="Número"/>
    <n v="0"/>
    <n v="1"/>
    <e v="#DIV/0!"/>
    <n v="1"/>
    <n v="0"/>
    <n v="0"/>
    <n v="0"/>
    <n v="0"/>
    <n v="0"/>
    <n v="0"/>
    <n v="0"/>
    <e v="#DIV/0!"/>
    <n v="1"/>
    <n v="1"/>
    <n v="100"/>
  </r>
  <r>
    <n v="18"/>
    <s v="Las agresiones por animales potencialmente transmisores de la rabia"/>
    <s v="Atención Primaria en Salud"/>
    <s v="ii) Redes Integrales e Integradas Territoriales de Salud - RIITS"/>
    <s v="Espacios e instancias intersectoriales que incluyen en sus planes de acción la transversalización de los enfoques de pueblos y comunidades, género y diferencial e integran los sistemas de conocimiento propio de los pueblos y comunidades étnicas y campesin"/>
    <s v="Alineación y armonización al ordenamiento jurídico en materia de salud publica de cada entidad territorial de acuerdo con cada categoria administrativa y fiscal en el marco de las competencias fijadas por la ley"/>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Desarrollar jornada de vacunación antirrábica canina y felina masiva casa a casa (entorno hogar), en los 29 municipios del departamento del Magdalena en zona urbana, rural y rural disperso, garantizando cobertura del 90% en animales mayores de tres meses,"/>
    <s v="PIC(Anexo técnico)"/>
    <n v="100"/>
    <s v="Porcentaje"/>
    <n v="0"/>
    <n v="0"/>
    <e v="#DIV/0!"/>
    <n v="0"/>
    <n v="5"/>
    <e v="#DIV/0!"/>
    <n v="0"/>
    <m/>
    <e v="#DIV/0!"/>
    <n v="100"/>
    <m/>
    <n v="0"/>
    <n v="100"/>
    <n v="5"/>
    <e v="#DIV/0!"/>
  </r>
  <r>
    <n v="19"/>
    <s v="Las agresiones por animales potencialmente transmisores de la rabia"/>
    <s v="Atención Primaria en Salud"/>
    <s v="ii) Redes Integrales e Integradas Territoriales de Salud - RIITS"/>
    <s v="Espacios e instancias intersectoriales que incluyen en sus planes de acción la transversalización de los enfoques de pueblos y comunidades, género y diferencial e integran los sistemas de conocimiento propio de los pueblos y comunidades étnicas y campesin"/>
    <s v="Alineación y armonización al ordenamiento jurídico en materia de salud publica de cada entidad territorial de acuerdo con cada categoria administrativa y fiscal en el marco de las competencias fijadas por la ley"/>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Realizar mantenimiento a  la vacunación antirrábica de perros y gatos durante los meses que no se esté realizando la masiva, mediante la busqueda de animales que no se pudieron vacunar en la masiva, animales nuevos que ingresen o nazcan en el periodo, vac"/>
    <s v="PIC(Anexo técnico)"/>
    <n v="100"/>
    <s v="Porcentaje"/>
    <n v="33.299999999999997"/>
    <n v="0"/>
    <n v="0"/>
    <n v="33.299999999999997"/>
    <n v="33.299999999999997"/>
    <n v="100"/>
    <n v="33.299999999999997"/>
    <m/>
    <n v="0"/>
    <n v="33.4"/>
    <m/>
    <n v="0"/>
    <n v="100"/>
    <n v="33.299999999999997"/>
    <n v="50"/>
  </r>
  <r>
    <n v="20"/>
    <s v="Las agresiones por animales potencialmente transmisores de la rabia"/>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Fortalecimiento de la red de frio para la vacunacion antirrábica canina y felina"/>
    <s v="Procesos transversales de la Gestion de la Salud Pública"/>
    <n v="100"/>
    <s v="Porcentaje"/>
    <n v="0"/>
    <n v="0"/>
    <e v="#DIV/0!"/>
    <n v="0"/>
    <n v="0"/>
    <e v="#DIV/0!"/>
    <n v="100"/>
    <m/>
    <n v="0"/>
    <n v="0"/>
    <m/>
    <e v="#DIV/0!"/>
    <n v="100"/>
    <n v="0"/>
    <e v="#DIV/0!"/>
  </r>
  <r>
    <n v="21"/>
    <s v="Las agresiones por animales potencialmente transmisores de la rabia"/>
    <s v="Pueblos y comunidades étnicas y campesinas, mujeres, sectores LGBTIQ+ y otras poblaciones por condición y/o situación"/>
    <s v="i) Gobernabilidad, Gobernanza y Territorialización."/>
    <s v="Agentes del sistema de salud que garantizan el acceso de la población con criterios de longitudinalidad, continuidad, puerta de entrada, enfoques familiar y comunitario con acciones, universales, sistemáticas, permanentes y participativas bajo un enfoque "/>
    <s v="Implementación de acciones dirigidas a mejorar la_x000a_ relación salud-ambiente-territorio para promover_x000a_ acciones dirigidas a mejorar las condiciones de vid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Desarrollar la vacunacion de perros y gatos en municipios con poblacion indigena Cienaga, Fundación, Aracataca y San Angel) y actividades de información, educación y  comuncicación de riesgo  de la rabia en IED indígena o mixta "/>
    <s v="PIC(Anexo técnico)"/>
    <n v="100"/>
    <s v="Porcentaje"/>
    <n v="0"/>
    <n v="0"/>
    <n v="0"/>
    <n v="20"/>
    <n v="5"/>
    <n v="25"/>
    <n v="40"/>
    <m/>
    <n v="0"/>
    <n v="40"/>
    <n v="0"/>
    <n v="0"/>
    <n v="100"/>
    <n v="5"/>
    <n v="8.3333333333333321"/>
  </r>
  <r>
    <n v="22"/>
    <s v="Las agresiones por animales potencialmente transmisores de la rabia"/>
    <s v="Gobernabilidad y gobernanza de la salud pública"/>
    <s v="i). Gobernabilidad, Gobernanza y Territorialización"/>
    <s v="Entidades Territoriales Departamentales, Distritales y Municipales con mecanismos fortalecidos para el ejercicio de la Rectoría en Salud."/>
    <s v="Alineación y armonización al ordenamiento jurídico en materia de salud publica de cada entidad territorial de acuerdo con cada categoria administrativa y fiscal en el marco de las competencias fijadas por la ley"/>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Realizar monitoreo de cobertura en en 100% de  los municipios que se prioricen."/>
    <s v="Procesos transversales de la Gestion de la Salud Pública"/>
    <n v="100"/>
    <s v="Porcentaje"/>
    <n v="25"/>
    <n v="0"/>
    <n v="0"/>
    <n v="25"/>
    <n v="0"/>
    <n v="0"/>
    <n v="25"/>
    <m/>
    <n v="0"/>
    <n v="25"/>
    <m/>
    <n v="0"/>
    <n v="100"/>
    <n v="0"/>
    <n v="0"/>
  </r>
  <r>
    <n v="23"/>
    <s v="Las agresiones por animales potencialmente transmisores de la rabia"/>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Suministrar insumos para la vacunación antirrábica de perros y gatos y control de rabia de acuerdo al plan de adquisiciones"/>
    <s v="Procesos transversales de la Gestion de la Salud Pública"/>
    <n v="100"/>
    <s v="Porcentaje"/>
    <n v="0"/>
    <n v="0"/>
    <e v="#DIV/0!"/>
    <n v="100"/>
    <n v="33.299999999999997"/>
    <n v="33.299999999999997"/>
    <n v="0"/>
    <m/>
    <e v="#DIV/0!"/>
    <n v="0"/>
    <m/>
    <e v="#DIV/0!"/>
    <n v="100"/>
    <n v="33.299999999999997"/>
    <n v="33.299999999999997"/>
  </r>
  <r>
    <n v="24"/>
    <s v="Las agresiones por animales potencialmente transmisores de la rabia"/>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Gestión territorial para el cuidado de la salud basado_x000a_ en la atención primaria en salud."/>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 Desarrollar un programa radial sobre la prevención de la rabia y otras zoonosis (accidente Ofídico, leptospira, toxoplasmosis) en cada uno de los 29 municipios "/>
    <s v="PIC(Anexo técnico)"/>
    <n v="29"/>
    <s v="Número"/>
    <n v="0"/>
    <n v="0"/>
    <e v="#DIV/0!"/>
    <n v="0"/>
    <n v="0"/>
    <e v="#DIV/0!"/>
    <n v="29"/>
    <m/>
    <n v="0"/>
    <n v="0"/>
    <m/>
    <e v="#DIV/0!"/>
    <n v="29"/>
    <n v="0"/>
    <e v="#DIV/0!"/>
  </r>
  <r>
    <n v="25"/>
    <s v="Las agresiones por animales potencialmente transmisores de la rabia"/>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Gestión territorial para el cuidado de la salud basado_x000a_ en la atención primaria en salud."/>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Conmemorar el dia mundial contra la rabia realizando actividad de información educación y comunicación de riesgo de la rabia en (1) una institución educativa   de cada uno de los 29 municipios "/>
    <s v="PIC(Anexo técnico)"/>
    <n v="29"/>
    <s v="Número"/>
    <n v="0"/>
    <n v="0"/>
    <e v="#DIV/0!"/>
    <n v="0"/>
    <n v="0"/>
    <e v="#DIV/0!"/>
    <n v="29"/>
    <m/>
    <n v="0"/>
    <n v="0"/>
    <m/>
    <e v="#DIV/0!"/>
    <n v="29"/>
    <n v="0"/>
    <e v="#DIV/0!"/>
  </r>
  <r>
    <n v="26"/>
    <s v="Las agresiones por animales potencialmente transmisores de la rabia"/>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Gestión territorial para el cuidado de la salud basado_x000a_ en la atención primaria en salud."/>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Desarrollar actividad de información educación y comunicación de riesgo sobre la TENENCIA RESPONSABLE DE MASCOTAS, en una institución educativa de cada uno de los 29 municipios "/>
    <s v="PIC(Anexo técnico)"/>
    <n v="29"/>
    <s v="Número"/>
    <n v="0"/>
    <n v="0"/>
    <e v="#DIV/0!"/>
    <n v="0"/>
    <n v="0"/>
    <e v="#DIV/0!"/>
    <n v="29"/>
    <m/>
    <n v="0"/>
    <n v="0"/>
    <m/>
    <e v="#DIV/0!"/>
    <n v="29"/>
    <n v="0"/>
    <e v="#DIV/0!"/>
  </r>
  <r>
    <n v="27"/>
    <s v="Las agresiones por animales potencialmente transmisores de la rabia"/>
    <s v="Gobernabilidad y gobernanza de la salud pública"/>
    <s v="i). Gobernabilidad, Gobernanza y Territorialización"/>
    <s v="Entidades Territoriales Departamentales, Distritales y Municipales con mecanismos fortalecidos para el ejercicio de la Rectoría en Salud."/>
    <s v="Alineación y armonización al ordenamiento jurídico en materia de salud publica de cada entidad territorial de acuerdo con cada categoria administrativa y fiscal en el marco de las competencias fijadas por la ley"/>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Seguimiento al 50% de los casos de exposicion leve y grave a rabia"/>
    <s v="Procesos transversales de la Gestion de la Salud Pública"/>
    <n v="50"/>
    <s v="Porcentaje"/>
    <n v="12.5"/>
    <n v="12.5"/>
    <n v="100"/>
    <n v="12.5"/>
    <n v="12.5"/>
    <n v="100"/>
    <n v="12.5"/>
    <m/>
    <n v="0"/>
    <n v="12.5"/>
    <m/>
    <n v="0"/>
    <n v="50"/>
    <n v="25"/>
    <n v="100"/>
  </r>
  <r>
    <n v="28"/>
    <s v="Las agresiones por animales potencialmente transmisores de la rabia"/>
    <s v="Gobernabilidad y gobernanza de la salud pública"/>
    <s v="i). Gobernabilidad, Gobernanza y Territorialización"/>
    <s v="Entidades Territoriales Departamentales, Distritales y Municipales con mecanismos fortalecidos para el ejercicio de la Rectoría en Salud."/>
    <s v="Alineación y armonización al ordenamiento jurídico en materia de salud publica de cada entidad territorial de acuerdo con cada categoria administrativa y fiscal en el marco de las competencias fijadas por la ley"/>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88-A 2031, el 100% de las DTS departamentales, distritales y municipios categorías especial, 1, 2 y 3 a riesgo, implementan los planes estratégicos para la vigilancia y control de zoonosis (brucelosis bovina, toxoplasmosis congénita y gestacional, acciden"/>
    <s v="88-A 2031, el 100% de las DTS departamentales, distritales y municipios categorías especial, 1, 2 y 3 a riesgo, implementan los planes estratégicos para la vigilancia y control de zoonosis (brucelosis bovina, toxoplasmosis congénita y gestacional, acciden"/>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Realizar monitoreo al 100% de la red publica y privada que cuente con servicio de urgencias en la disponibilidad de sueros antiofidicos"/>
    <s v="Procesos transversales de la Gestion de la Salud Pública"/>
    <n v="100"/>
    <s v="Porcentaje"/>
    <n v="25"/>
    <n v="25"/>
    <n v="100"/>
    <n v="25"/>
    <n v="25"/>
    <n v="100"/>
    <n v="25"/>
    <m/>
    <n v="0"/>
    <n v="25"/>
    <m/>
    <n v="0"/>
    <n v="100"/>
    <n v="50"/>
    <n v="100"/>
  </r>
  <r>
    <n v="29"/>
    <s v="Las agresiones por animales potencialmente transmisores de la rabia"/>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desarrollar capacidades al recurso humano en salud para la atencion integral de accidente ofidico y APTR para medicos de area rural y EBS"/>
    <s v="Procesos transversales de la Gestion de la Salud Pública"/>
    <n v="1"/>
    <s v="Número"/>
    <n v="0"/>
    <n v="0"/>
    <e v="#DIV/0!"/>
    <n v="0"/>
    <n v="0"/>
    <e v="#DIV/0!"/>
    <n v="1"/>
    <m/>
    <n v="0"/>
    <n v="0"/>
    <m/>
    <e v="#DIV/0!"/>
    <n v="1"/>
    <n v="0"/>
    <e v="#DIV/0!"/>
  </r>
  <r>
    <n v="30"/>
    <s v="Las agresiones por animales potencialmente transmisores de la rabia"/>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desarrollar capacidades institucionales con el fin de mejorar las habilidades individuales en la prevención y control de de zoonosis al nivel municipal"/>
    <s v="Procesos transversales de la Gestion de la Salud Pública"/>
    <n v="1"/>
    <s v="Número"/>
    <n v="0"/>
    <n v="0"/>
    <e v="#DIV/0!"/>
    <n v="0"/>
    <n v="1"/>
    <e v="#DIV/0!"/>
    <n v="0"/>
    <n v="0"/>
    <e v="#DIV/0!"/>
    <n v="1"/>
    <n v="0"/>
    <n v="0"/>
    <n v="1"/>
    <n v="1"/>
    <n v="100"/>
  </r>
  <r>
    <n v="31"/>
    <s v="Los malos hábitos alimenticios, los estilos de vida y el entorno laboral contribuyen a la alta prevalencia de HTA y diabetes y ERC. El sedentarismo se ha convertido en un flagelo del siglo XXI ; el 4 % de los asistentes a las mesas lo reconoció como un pr"/>
    <s v="Atención Primaria en Salud"/>
    <s v="ii) Redes Integrales e Integradas Territoriales de Salud - RIITS"/>
    <s v="Entidades Territoriales Departamentales, Distritales que organizan la prestación de servicios de salud en redes integrales e integradas territoriales bajo un modelo de salud predictivo, preventivo y resolutivo fundamentado en la Atención Primaria en Salud"/>
    <s v="Conformación de las Redes Integrales e Integradas_x000a_ Territoriales de Salud con base en la aplicación de_x000a_ criterios determinantes incluyendo el reconocimiento_x000a_ de las condiciones de vida y salud de personas,_x000a_ familias y comunidades bajo el liderazgo de las_x000a_"/>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1-A 2031, la prevalencia de caries se reduce al menos en 10 puntos porcentuales en primera infancia, en infancia y en adolescencia."/>
    <s v="61-A 2031, la prevalencia de caries se reduce al menos en 10 puntos porcentuales en primera infancia, en infancia y en adolescencia."/>
    <s v="Salud Pública"/>
    <s v="Médico en tu casa"/>
    <s v="Fortalecimiento de Estrategias para la Promoción de la Salud y Prevención de Enfermedades en Comunidades, mediante acciones Integrales, Participativas y Sostenibles en el Departamento del Magdalena."/>
    <s v="Implementar en el 100% de los municipios del Departamento la estrategia CERSS"/>
    <s v="Cuidado de la salud en el territorio"/>
    <s v="Promover la adopcion de habitos saludables relacionados con higiene visual, cuidado auditivo y autocuidado oral en niños, niñas y adolescentes, mediante estrategias ludicas y educativas que fomenten el aprendizaje práctico y participativo en los ambitos u"/>
    <s v="PIC(Anexo técnico)"/>
    <n v="29"/>
    <s v="Número"/>
    <n v="0"/>
    <n v="0"/>
    <e v="#DIV/0!"/>
    <n v="10"/>
    <m/>
    <n v="0"/>
    <n v="10"/>
    <m/>
    <n v="0"/>
    <n v="9"/>
    <m/>
    <n v="0"/>
    <n v="29"/>
    <n v="0"/>
    <e v="#DIV/0!"/>
  </r>
  <r>
    <n v="32"/>
    <s v="Los malos hábitos alimenticios, los estilos de vida y el entorno laboral contribuyen a la alta prevalencia de HTA y diabetes y ERC. El sedentarismo se ha convertido en un flagelo del siglo XXI ; el 4 % de los asistentes a las mesas lo reconoció como un pr"/>
    <s v="Atención Primaria en Salud"/>
    <s v="ii) Redes Integrales e Integradas Territoriales de Salud - RIITS"/>
    <s v="Entidades Territoriales Departamentales, Distritales y Municipales fortalecidas como autoridad sanitaria local para la Gobernanza en Salud Pública."/>
    <s v="Conformación de las Redes Integrales e Integradas_x000a_ Territoriales de Salud con base en la aplicación de_x000a_ criterios determinantes incluyendo el reconocimiento_x000a_ de las condiciones de vida y salud de personas,_x000a_ familias y comunidades bajo el liderazgo de las_x000a_"/>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40-A 2031, se garantiza que entre la sospecha médica y la confirmación diagnóstica de cáncer de cuello uterino transcurran en promedio 30 días o menos"/>
    <s v="40-A 2031, se garantiza que entre la sospecha médica y la confirmación diagnóstica de cáncer de cuello uterino transcurran en promedio 30 días o menos"/>
    <s v="Salud Pública"/>
    <s v="Médico en tu casa"/>
    <s v="Fortalecimiento de Estrategias para la Promoción de la Salud y Prevención de Enfermedades en Comunidades, mediante acciones Integrales, Participativas y Sostenibles en el Departamento del Magdalena."/>
    <s v="Implementar en el 100% de los municipios del Departamento la estrategia CERSS"/>
    <s v="Cuidado de la salud en el territorio"/>
    <s v="Jornadas de salud que permitan identificar el riesgo haciendo promocion de la salud bucal, auditiva, comunicatva, tamizaje de riesgo cardiovascular, tamizaje para CCU, autoexamen de seno, aplicacion de barniz de fluor, de acuerdo al curso de vida en el en"/>
    <s v="PIC(Anexo técnico)"/>
    <n v="29"/>
    <s v="Número"/>
    <n v="0"/>
    <n v="0"/>
    <e v="#DIV/0!"/>
    <n v="10"/>
    <n v="0"/>
    <n v="0"/>
    <n v="10"/>
    <m/>
    <n v="0"/>
    <n v="9"/>
    <m/>
    <n v="0"/>
    <n v="29"/>
    <n v="0"/>
    <n v="0"/>
  </r>
  <r>
    <n v="33"/>
    <s v="Los malos hábitos alimenticios, los estilos de vida y el entorno laboral contribuyen a la alta prevalencia de HTA y diabetes y ERC. El sedentarismo se ha convertido en un flagelo del siglo XXI ; el 4 % de los asistentes a las mesas lo reconoció como un pr"/>
    <s v="Atención Primaria en Salud"/>
    <s v="ii) Redes Integrales e Integradas Territoriales de Salud - RIITS"/>
    <s v="Entidades Territoriales Departamentales, Distritales que organizan la prestación de servicios de salud en redes integrales e integradas territoriales bajo un modelo de salud predictivo, preventivo y resolutivo fundamentado en la Atención Primaria en Salud"/>
    <s v="Conformación de las Redes Integrales e Integradas_x000a_ Territoriales de Salud con base en la aplicación de_x000a_ criterios determinantes incluyendo el reconocimiento_x000a_ de las condiciones de vida y salud de personas,_x000a_ familias y comunidades bajo el liderazgo de las_x000a_"/>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Implementar en el 100% de los municipios del Departamento la estrategia CERSS"/>
    <s v="Cuidado de la salud en el territorio"/>
    <s v="Conmemorar la semana de hábitos y estilos de vida saludables a través de actividades educativas, recreativas y de sensibilización enfocadas en la alimentación balanceada, la actividad física, el bienestar emocional y la prevención de enfermedades, fortale"/>
    <s v="PIC(Anexo técnico)"/>
    <n v="29"/>
    <s v="Número"/>
    <n v="0"/>
    <n v="0"/>
    <e v="#DIV/0!"/>
    <n v="10"/>
    <n v="0"/>
    <n v="0"/>
    <n v="10"/>
    <m/>
    <n v="0"/>
    <n v="9"/>
    <m/>
    <n v="0"/>
    <n v="29"/>
    <n v="0"/>
    <n v="0"/>
  </r>
  <r>
    <n v="34"/>
    <s v="Los malos hábitos alimenticios, los estilos de vida y el entorno laboral contribuyen a la alta prevalencia de HTA y diabetes y ERC. El sedentarismo se ha convertido en un flagelo del siglo XXI ; el 4 % de los asistentes a las mesas lo reconoció como un pr"/>
    <s v="Gobernabilidad y gobernanza de la salud pública"/>
    <s v="i). Gobernabilidad, Gobernanza y Territorialización"/>
    <s v="Entidades Territoriales Departamentales, Distritales y Municipales con mecanismos fortalecidos para el ejercicio de la Rectoría en Salud."/>
    <s v="Implementación de mecanismos para la_x000a_ coordinación y gestión de la operación de las redes_x000a_ integrales e integradas territoriales de salud en el_x000a_ marco de un modelo preventivo,"/>
    <s v="A 2031 el 100% de las Entidades Territoriales del orden departamental, distrital y municipal desarrollan mecanismos para el fortalecimiento de la rectoría en salud en su territorio, conforme a las competencias establecidas."/>
    <s v="A 2031 el 100% de las Entidades Territoriales del orden departamental, distrital y municipal desarrollan mecanismos para el fortalecimiento de la rectoría en salud en su territorio, conforme a las competencias establecidas."/>
    <s v="62-A 2031, las personas sin pérdida dental (dentición permanente) por enfermedad bucodental prevenible, se incrementa en 5 puntos porcentuales (mínimo) en las edades de 20-34 años; 35-44 años; 45-64 años y 65-79 y más años"/>
    <s v="62-A 2031, las personas sin pérdida dental (dentición permanente) por enfermedad bucodental prevenible, se incrementa en 5 puntos porcentuales (mínimo) en las edades de 20-34 años; 35-44 años; 45-64 años y 65-79 y más años"/>
    <s v="Salud Pública"/>
    <s v="Médico en tu casa"/>
    <s v="Fortalecimiento de Estrategias para la Promoción de la Salud y Prevención de Enfermedades en Comunidades, mediante acciones Integrales, Participativas y Sostenibles en el Departamento del Magdalena."/>
    <s v="Implementar en el 100% de los municipios del Departamento la estrategia CERSS"/>
    <s v="Desarrollo institucional y sectorial para el ejercicio de la autoridad sanitaria"/>
    <s v="Alianzas transectoriales, que busquen fortalecer la promoción de la salud bucal mediante el desarrollo de actividades y estrategias de prevención, educación, detección temprana, atención integral y oportuna."/>
    <s v="Procesos transversales de la Gestion de la Salud Pública"/>
    <n v="3"/>
    <s v="Número"/>
    <n v="0"/>
    <n v="0"/>
    <n v="0"/>
    <n v="1"/>
    <m/>
    <n v="0"/>
    <n v="1"/>
    <m/>
    <n v="0"/>
    <n v="1"/>
    <m/>
    <n v="0"/>
    <n v="3"/>
    <n v="0"/>
    <e v="#DIV/0!"/>
  </r>
  <r>
    <n v="35"/>
    <s v="Los malos hábitos alimenticios, los estilos de vida y el entorno laboral contribuyen a la alta prevalencia de HTA y diabetes y ERC. El sedentarismo se ha convertido en un flagelo del siglo XXI ; el 4 % de los asistentes a las mesas lo reconoció como un pr"/>
    <s v="Gobernabilidad y gobernanza de la salud pública"/>
    <s v="i). Gobernabilidad, Gobernanza y Territorialización"/>
    <s v="Entidades Territoriales Departamentales, Distritales y Municipales con mecanismos fortalecidos para el ejercicio de la Rectoría en Salud."/>
    <s v="DESARROLLO Y FORTALECIMIENTO DE CAPACIDADES PARA LA PLANEACION INTEGRAL EN SALUD Y LA GESTION TERRITTORIAL EN EL MARCO DEL MODELO DE SALUD PTREVENTIVO, PREDICTIVO Y RESOLUTIVO BASADO EN AP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Alcanzar una cobertura del 20% con esquema completo de aplicación de barniz de flúor en la población entre 1 y 17 años para avanzar en la mejora de las condiciones de salud bucal."/>
    <s v="Desarrollo institucional y sectorial para el ejercicio de la autoridad sanitaria"/>
    <s v="Brindar asistencia Tecnica a todos los actores del sistema en todos los componentes de Promocion Y prevencion de las enfermedades crónicas no transmisibles mediante levantamiento de linea base de total de personas que padecen HTA . DM y ERC  ( incidencia "/>
    <s v="Procesos transversales de la Gestion de la Salud Pública"/>
    <n v="29"/>
    <s v="Número"/>
    <n v="8"/>
    <n v="0"/>
    <n v="0"/>
    <n v="8"/>
    <n v="7"/>
    <n v="87.5"/>
    <n v="8"/>
    <m/>
    <n v="0"/>
    <n v="5"/>
    <m/>
    <n v="0"/>
    <n v="29"/>
    <n v="7"/>
    <n v="43.75"/>
  </r>
  <r>
    <n v="36"/>
    <s v="Los malos hábitos alimenticios, los estilos de vida y el entorno laboral contribuyen a la alta prevalencia de HTA y diabetes y ERC. El sedentarismo se ha convertido en un flagelo del siglo XXI ; el 4 % de los asistentes a las mesas lo reconoció como un pr"/>
    <s v="Gobernabilidad y gobernanza de la salud pública"/>
    <s v="i). Gobernabilidad, Gobernanza y Territorialización"/>
    <s v="Entidades Territoriales Departamentales, Distritales y Municipales con mecanismos fortalecidos para el ejercicio de la Rectoría en Salud."/>
    <s v="Implementación de mecanismos para la_x000a_ coordinación y gestión de la operación de las redes_x000a_ integrales e integradas territoriales de salud en el_x000a_ marco de un modelo preventivo,"/>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0-A 2031, se reducirá la tasa ajustada de mortalidad por cáncer infantil a menos de 4,00 x 100000 niños, niñas y adolescentes"/>
    <s v="50-A 2031, se reducirá la tasa ajustada de mortalidad por cáncer infantil a menos de 4,00 x 100000 niños, niñas y adolescentes"/>
    <s v="Salud Pública"/>
    <s v="Médico en tu casa"/>
    <s v="Fortalecimiento de Estrategias para la Promoción de la Salud y Prevención de Enfermedades en Comunidades, mediante acciones Integrales, Participativas y Sostenibles en el Departamento del Magdalena."/>
    <s v="Consolidar los planes de choque en Cancer de mama, cáncer cervicouterino y cáncer infantil de los 29 municipios y EAPB del departamento del Magdalena"/>
    <s v="Desarrollo institucional y sectorial para el ejercicio de la autoridad sanitaria"/>
    <s v="Realizar 4 sesiones del Consejo Departamental Asesor en Cancer Infantil de la mano de los actores definidos en la resolucion 1101 del 15 de noviembre de 2012 y el reglamento interno del CODACAI"/>
    <s v="Procesos transversales de la Gestion de la Salud Pública"/>
    <n v="4"/>
    <m/>
    <n v="1"/>
    <n v="1"/>
    <n v="100"/>
    <n v="1"/>
    <n v="1"/>
    <n v="100"/>
    <n v="1"/>
    <m/>
    <n v="0"/>
    <n v="1"/>
    <m/>
    <n v="0"/>
    <n v="4"/>
    <n v="2"/>
    <n v="100"/>
  </r>
  <r>
    <n v="37"/>
    <s v="Los malos hábitos alimenticios, los estilos de vida y el entorno laboral contribuyen a la alta prevalencia de HTA y diabetes y ERC. El sedentarismo se ha convertido en un flagelo del siglo XXI ; el 4 % de los asistentes a las mesas lo reconoció como un pr"/>
    <s v="Conocimiento en salud pública y Soberanía Sanitaria"/>
    <s v="i). Gobernabilidad, Gobernanza y Territorialización"/>
    <s v="Entidades Territoriales Departamentales, Distritales y Municipales con mecanismos fortalecidos para el ejercicio de la Rectoría en Salud."/>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Alcanzar una cobertura del 20% con esquema completo de aplicación de barniz de flúor en la población entre 1 y 17 años para avanzar en la mejora de las condiciones de salud bucal."/>
    <s v="Desarrollo institucional y sectorial para el ejercicio de la autoridad sanitaria"/>
    <s v="Realizar promocion activa de CERSS - fase de ejecucion, monitoreo y evaluacion (Herramientas: Implementacion de CERSS, monitoreo y evaluacion en los 29 municipios. Realizacion de taller para la implementacion, monitoreo y evaluacion de la estrategias CERS"/>
    <s v="Procesos transversales de la Gestion de la Salud Pública"/>
    <n v="4"/>
    <s v="Número"/>
    <n v="0"/>
    <n v="0"/>
    <e v="#DIV/0!"/>
    <n v="0"/>
    <n v="0"/>
    <e v="#DIV/0!"/>
    <n v="2"/>
    <m/>
    <n v="0"/>
    <n v="2"/>
    <m/>
    <n v="0"/>
    <n v="4"/>
    <n v="0"/>
    <e v="#DIV/0!"/>
  </r>
  <r>
    <n v="38"/>
    <s v="Los malos hábitos alimenticios, los estilos de vida y el entorno laboral contribuyen a la alta prevalencia de HTA y diabetes y ERC. El sedentarismo se ha convertido en un flagelo del siglo XXI ; el 4 % de los asistentes a las mesas lo reconoció como un pr"/>
    <s v="Gobernabilidad y gobernanza de la salud pública"/>
    <s v="i). Gobernabilidad, Gobernanza y Territorialización"/>
    <s v="Entidades Territoriales Departamentales, Distritales y Municipales con mecanismos fortalecidos para el ejercicio de la Rectoría en Salud."/>
    <s v="DESARROLLO Y FORTALECIMIENTO DE CAPACIDADES PARA LA PLANEACION INTEGRAL EN SALUD Y LA GESTION TERRITTORIAL EN EL MARCO DEL MODELO DE SALUD PTREVENTIVO, PREDICTIVO Y RESOLUTIVO BASADO EN AP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Alcanzar una cobertura del 20% con esquema completo de aplicación de barniz de flúor en la población entre 1 y 17 años para avanzar en la mejora de las condiciones de salud bucal."/>
    <s v="Desarrollo institucional y sectorial para el ejercicio de la autoridad sanitaria"/>
    <s v="Desarrollo de capacidades en enfermedades cronicas dirigido a medicos y enfermeros jefes de las entidades prestadoras de servicios en el departamento del Magdalena."/>
    <s v="Procesos transversales de la Gestion de la Salud Pública"/>
    <n v="1"/>
    <s v="Número"/>
    <n v="0"/>
    <n v="0"/>
    <e v="#DIV/0!"/>
    <n v="0"/>
    <n v="0"/>
    <e v="#DIV/0!"/>
    <n v="0"/>
    <m/>
    <e v="#DIV/0!"/>
    <n v="1"/>
    <m/>
    <n v="0"/>
    <n v="1"/>
    <n v="0"/>
    <e v="#DIV/0!"/>
  </r>
  <r>
    <n v="39"/>
    <s v="La pérdida de valores, falta de involucramiento parental, mitos y creencias que naturalizan el maltrato se relaciona con el deterioro de la salud mental"/>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Gestión territorial para el cuidado de la salud basado en la atención primaria en salud."/>
    <s v="A 2031 el 80% de las necesidades en salud de la población Colombiana se resuelven en el nivel primario de atención en salud."/>
    <s v="A 2027 el 80% de las necesidades en salud de la población Colombiana se resuelven en el nivel primario de atención en salud."/>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Implementar la estrategia nacional para la prevencion de la conducta suicida en las 33 ESE públicas del departamento"/>
    <s v="Cuidado de la salud en el territorio"/>
    <s v="Implementar las Zonas de Orientación y/o Centros de Escucha en el entorno educativo en cada uno de los 29 municipios, fortaleciendo la promoción y atención primaria de la salud mental, la prevención del consumo de SPA, la conducta suicida y las violencias"/>
    <s v="PIC(Anexo técnico)"/>
    <n v="35"/>
    <s v="Número"/>
    <n v="35"/>
    <n v="0"/>
    <n v="0"/>
    <n v="35"/>
    <n v="10"/>
    <n v="28.571428571428569"/>
    <n v="35"/>
    <m/>
    <n v="0"/>
    <n v="35"/>
    <m/>
    <n v="0"/>
    <n v="35"/>
    <n v="10"/>
    <n v="14.285714285714285"/>
  </r>
  <r>
    <n v="40"/>
    <s v="La pérdida de valores, falta de involucramiento parental, mitos y creencias que naturalizan el maltrato se relaciona con el deterioro de la salud mental"/>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Gestión territorial para el cuidado de la salud basado en la atención primaria en salud."/>
    <s v="A 2031 el 80% de las necesidades en salud de la población Colombiana se resuelven en el nivel primario de atención en salud."/>
    <s v="A 2027 el 80% de las necesidades en salud de la población Colombiana se resuelven en el nivel primario de atención en salud."/>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Implementar la estrategia nacional para la prevencion de la conducta suicida en las 33 ESE públicas del departamento"/>
    <s v="Cuidado de la salud en el territorio"/>
    <s v="Promover la educación e información en salud en el entorno familiar y educativo orientado hacia la promocion de la salud mental, prevencion del consumo de spa, prevencion de la conducta suicida, prevencion de la violencia en el entorno escolar en los 29 M"/>
    <s v="PIC(Anexo técnico)"/>
    <n v="102"/>
    <s v="Número"/>
    <n v="0"/>
    <n v="0"/>
    <e v="#DIV/0!"/>
    <n v="34"/>
    <n v="24"/>
    <n v="70.588235294117652"/>
    <n v="34"/>
    <m/>
    <n v="0"/>
    <n v="34"/>
    <m/>
    <n v="0"/>
    <n v="102"/>
    <n v="24"/>
    <n v="70.588235294117652"/>
  </r>
  <r>
    <n v="41"/>
    <s v="La pérdida de valores, falta de involucramiento parental, mitos y creencias que naturalizan el maltrato se relaciona con el deterioro de la salud mental"/>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Gestión territorial para el cuidado de la salud basado en la atención primaria en salud."/>
    <s v="A 2031 el 80% de las necesidades en salud de la población Colombiana se resuelven en el nivel primario de atención en salud."/>
    <s v="A 2027 el 80% de las necesidades en salud de la población Colombiana se resuelven en el nivel primario de atención en salud."/>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Implementar la estrategia nacional para la prevencion de la conducta suicida en las 33 ESE públicas del departamento"/>
    <s v="Cuidado de la salud en el territorio"/>
    <s v="Realizar la conmemoración de: Día Mundial de la Salud Mental, Dia Internacional y semana  de la Prevención de la conducta suicida, Dia Internacional de la Eliminación de la violencia contra la mujer,  semana de la prevención del consumo de sustancias psic"/>
    <s v="PIC(Anexo técnico)"/>
    <n v="102"/>
    <s v="Número"/>
    <n v="0"/>
    <n v="0"/>
    <n v="0"/>
    <n v="34"/>
    <n v="29"/>
    <n v="85.294117647058826"/>
    <n v="34"/>
    <m/>
    <n v="0"/>
    <n v="34"/>
    <m/>
    <n v="0"/>
    <n v="102"/>
    <n v="29"/>
    <n v="85.294117647058826"/>
  </r>
  <r>
    <n v="42"/>
    <s v="La pérdida de valores, falta de involucramiento parental, mitos y creencias que naturalizan el maltrato se relaciona con el deterioro de la salud mental, "/>
    <s v="Conocimiento en salud pública y Soberanía Sanitaria"/>
    <s v="i). Gobernabilidad, Gobernanza y Territorialización"/>
    <s v="Capacidades fortalecidas para la gestión del conocimiento en salud pública"/>
    <s v="Fortalecimiento de las capacidades del Talento Humano en la implementación de estrategias para la generación de conocimiento de las condiciones de salud de la población y sus determinantes tales como observatorios, ASIS, unidades de análisis, seminarios, "/>
    <s v="A 2031 el 100% las entidades territoriales Departamentales, Distritales han implementado las medidas de atención para la atención a las mujeres víctimas de violencia de género."/>
    <s v="A 2027 el 100% las entidades territoriales han implementado las medidas de atención para la atención a las mujeres víctimas de violencia de género."/>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Mantener por debajo de 161.9 por 100.000 habitantes la tasa de violencia intrafamiliar."/>
    <s v="Desarrollo institucional y sectorial para el ejercicio de la autoridad sanitaria"/>
    <s v="Desarrollar capacidades del Talento Humano en salud de las EAPB y ESE mediante talleres en Salud mental comunitaria e intervención temprana, atención en salud para las mujeres víctimas de violencias de genero e intrafamiliar, ruta de atención integral en "/>
    <s v="Procesos transversales de la Gestion de la Salud Pública"/>
    <n v="1"/>
    <s v="Número"/>
    <n v="0"/>
    <n v="0"/>
    <n v="0"/>
    <n v="0"/>
    <n v="0"/>
    <e v="#DIV/0!"/>
    <n v="1"/>
    <m/>
    <n v="0"/>
    <n v="1"/>
    <m/>
    <n v="0"/>
    <n v="1"/>
    <n v="0"/>
    <e v="#DIV/0!"/>
  </r>
  <r>
    <n v="43"/>
    <s v="La pérdida de valores, falta de involucramiento parental, mitos y creencias que naturalizan el maltrato se relaciona con el deterioro de la salud mental, "/>
    <s v="Conocimiento en salud pública y Soberanía Sanitaria"/>
    <s v="i). Gobernabilidad, Gobernanza y Territorialización"/>
    <s v="Capacidades fortalecidas para la gestión del conocimiento en salud pública"/>
    <s v="Fortalecimiento de las capacidades del Talento Humano en la irnplementación de estrategias para la generación de conocimiento de las condiciones de salud de la población y sus determinantes tales como bservatorios, ASIS, unidades de análisis, seminarios, "/>
    <s v="A 2031, mantener la tasa de mortalidad de suicidio"/>
    <s v="A 2027, mantener la tasa de mortalidad de suicidio"/>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Mantener por debajo de 2,7 por 100.000 habitantes la tasa de suicidio"/>
    <s v="Desarrollo institucional y sectorial para el ejercicio de la autoridad sanitaria"/>
    <s v="Desarrollo de capacidades a través de un taller por subregión, referente a primeros auxilios psicológicos, dirigido a los equipos de profesionales de las ESE, equipos básicos en atención primaria en salud y docentes orientadores de los 29 municipios que c"/>
    <s v="Procesos transversales de la Gestion de la Salud Pública"/>
    <n v="4"/>
    <s v="Número"/>
    <n v="0"/>
    <n v="0"/>
    <n v="0"/>
    <n v="1"/>
    <n v="0"/>
    <n v="0"/>
    <n v="2"/>
    <m/>
    <n v="0"/>
    <n v="4"/>
    <m/>
    <n v="0"/>
    <n v="4"/>
    <n v="0"/>
    <n v="0"/>
  </r>
  <r>
    <n v="44"/>
    <s v="La pérdida de valores, falta de involucramiento parental, mitos y creencias que naturalizan el maltrato se relaciona con el deterioro de la salud mental, "/>
    <s v="Conocimiento en salud pública y Soberanía Sanitaria"/>
    <s v="i). Gobernabilidad, Gobernanza y Territorialización"/>
    <s v="Capacidades fortalecidas para la gestión del conocimiento en salud pública"/>
    <s v="Fortalecimiento de las capacidades del Talento Humano en la irnplementación de estrategias para la generación de conocimiento de las condiciones de salud de la población y sus determinantes tales como bservatorios, ASIS, unidades de análisis, seminarios, "/>
    <s v="A 2031, mantener la tasa de mortalidad de suicidio"/>
    <s v="A 2027, mantener la tasa de mortalidad de suicidio"/>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Mantener por debajo de 2,7 por 100.000 habitantes la tasa de suicidio"/>
    <s v="Desarrollo institucional y sectorial para el ejercicio de la autoridad sanitaria"/>
    <s v="Desarrollo y fortalecimiento de capacidades a través de un taller por subregión, referente  a Promover la salud integral e integrada y prevenir el consumo de SPA,  rutas de atención para garantizar el acceso a la detección, tratamiento y atención de los p"/>
    <s v="Procesos transversales de la Gestion de la Salud Pública"/>
    <n v="4"/>
    <s v="Número"/>
    <n v="0"/>
    <n v="0"/>
    <n v="0"/>
    <n v="1"/>
    <n v="0"/>
    <n v="0"/>
    <n v="1"/>
    <m/>
    <n v="0"/>
    <n v="2"/>
    <m/>
    <n v="0"/>
    <n v="4"/>
    <n v="0"/>
    <n v="0"/>
  </r>
  <r>
    <n v="45"/>
    <s v="La pérdida de valores, falta de involucramiento parental, mitos y creencias que naturalizan el maltrato se relaciona con el deterioro de la salud mental, "/>
    <s v="Conocimiento en salud pública y Soberanía Sanitaria"/>
    <s v="i). Gobernabilidad, Gobernanza y Territorialización"/>
    <s v="Capacidades fortalecidas para la gestión del conocimiento en salud pública"/>
    <s v="Fortalecimiento de las capacidades del Talento Humano en la irnplementación de estrategias para la generación de conocimiento de las condiciones de salud de la población y sus determinantes tales como bservatorios, ASIS, unidades de análisis, seminarios, "/>
    <s v="A 2031, mantener la tasa de mortalidad de suicidio"/>
    <s v="A 2027, mantener la tasa de mortalidad de suicidio"/>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Mantener por debajo de 2,7 por 100.000 habitantes la tasa de suicidio"/>
    <s v="Desarrollo institucional y sectorial para el ejercicio de la autoridad sanitaria"/>
    <s v="Desarrollo y fortalecimiento de capacidades a través de un taller referente a reducir la conducta suicida en el departamento, con estrategias locales y en contexto, diferenciadas por curso de vida y entornos de desarrollo. Fortalecer las rutas de promoció"/>
    <s v="Procesos transversales de la Gestion de la Salud Pública"/>
    <n v="2"/>
    <s v="Número"/>
    <n v="0"/>
    <n v="0"/>
    <n v="0"/>
    <n v="0"/>
    <n v="0"/>
    <e v="#DIV/0!"/>
    <n v="1"/>
    <m/>
    <n v="0"/>
    <n v="1"/>
    <m/>
    <n v="0"/>
    <n v="2"/>
    <n v="0"/>
    <e v="#DIV/0!"/>
  </r>
  <r>
    <n v="46"/>
    <s v="La pérdida de valores, falta de involucramiento parental, mitos y creencias que naturalizan el maltrato se relaciona con el deterioro de la salud mental, "/>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en la irnplementación de estrategias para la generación de conocimiento de las condiciones de salud de la población y sus determinantes tales como bservatorios, ASIS, unidades de análisis, seminarios, "/>
    <s v="A 2031, disminuir la tasa de violencia interpersonal a 230 por 100.000 habitantes"/>
    <s v="A 2027, mantener la tasa de mortalidad de suicidio"/>
    <s v="95-A 2031, mantener la tasa de mortalidad de suicidio por debajo de 5"/>
    <s v="A 2027,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Mantener por debajo de 161.9 por 100.000 habitantes la tasa de violencia intrafamiliar."/>
    <s v="Desarrollo institucional y sectorial para el ejercicio de la autoridad sanitaria"/>
    <s v="Realizar encuentro departamental de referentes de convivencia social y salud mental de los 29 municipios del departamento"/>
    <s v="Procesos transversales de la Gestion de la Salud Pública"/>
    <n v="1"/>
    <s v="Número"/>
    <n v="0"/>
    <n v="0"/>
    <n v="0"/>
    <n v="1"/>
    <n v="0"/>
    <n v="0"/>
    <n v="0"/>
    <m/>
    <e v="#DIV/0!"/>
    <n v="0"/>
    <m/>
    <e v="#DIV/0!"/>
    <n v="1"/>
    <n v="0"/>
    <n v="0"/>
  </r>
  <r>
    <n v="47"/>
    <s v="La pérdida de valores, falta de involucramiento parental, mitos y creencias que naturalizan el maltrato se relaciona con el deterioro de la salud mental, "/>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implmentación integral en salud y la gestion territorial en el marco del modelo de salud preventivo y predictivo y resolución basado en APS."/>
    <s v="A 2031, mantener la tasa de mortalidad de suicidio"/>
    <s v="A 2027, mantener la tasa de mortalidad de suicidio"/>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Implementar la estrategia nacional para la prevencion de la conducta suicida en las 33 ESE públicas del departamento"/>
    <s v="Desarrollo institucional y sectorial para el ejercicio de la autoridad sanitaria"/>
    <s v="Realizar 2 sesiones de Comités de Departamental de Drogas; 2 de Consejo Seccional de Estupefacientes; 2 de consejos de departamental de salud mental.  2 mesas de articulación para la atención integral de las violencias basadas en genero. "/>
    <s v="Procesos transversales de la Gestion de la Salud Pública"/>
    <n v="9"/>
    <s v="Número"/>
    <n v="0"/>
    <m/>
    <n v="0"/>
    <n v="3"/>
    <n v="2"/>
    <n v="66.666666666666657"/>
    <n v="3"/>
    <m/>
    <n v="0"/>
    <n v="3"/>
    <m/>
    <n v="0"/>
    <n v="9"/>
    <n v="2"/>
    <e v="#DIV/0!"/>
  </r>
  <r>
    <n v="48"/>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Desarrollo de estrategias para la organización y acompañamiento de la participación ciudadana dirigida a la identificación de problemáticas, análisis, comprensión y definición de decisiones que impacten de manera positiva la salud"/>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15-A 2031, reducir en un 20% la prevalencia de anemia en los niños, niñas menores de 5 años"/>
    <s v="15-A 2031, reducir en un 20% la prevalencia de anemia en los niños, niñas menores de 5 años"/>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Cuidado de la Salud en el Territorio."/>
    <s v=" implementación de huertas en megacolegios con continuidad, capacitación en las nuevas GABAS con enfoque diferencial dirigido a docentes y rectores de colegios la promoción de loncheras saludables con articulación intersectorial "/>
    <s v="PIC(Anexo técnico)"/>
    <n v="29"/>
    <s v="Número"/>
    <n v="7"/>
    <n v="0"/>
    <n v="0"/>
    <n v="7"/>
    <n v="0"/>
    <n v="0"/>
    <n v="7"/>
    <m/>
    <n v="0"/>
    <n v="8"/>
    <m/>
    <n v="0"/>
    <n v="29"/>
    <n v="0"/>
    <n v="0"/>
  </r>
  <r>
    <n v="49"/>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s v="A  2027 el 100% de entidades territoriales Municipales que tienen en su tenitorio pueblos y comunidades indígenas, comunidades negras, afrocolombianas, raizales y  palenqueras y pueblo Rrom han _x000a_establecido acuerdos para la garantía del derecho fundamenta"/>
    <s v="14-A 2031, disminuir 20% la prevalencia por retraso en talla en menores de 5 años."/>
    <s v="14-A 2031, disminuir 20% la prevalencia por retraso en talla en menores de 5 años."/>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Cuidado de la salud en el territorio"/>
    <s v="Realizar Busqueda activa comunitaria mensual de niños(as) menores de cinco años; en el  entorno hogar, en los territorios y microterritorios de los 4 municipios a cada familia se le debe educar en el código internacional de Sucedáneos, implementacion de p"/>
    <s v="PIC(Anexo técnico)"/>
    <n v="4"/>
    <s v="Número"/>
    <n v="1"/>
    <n v="0"/>
    <n v="0"/>
    <n v="1"/>
    <n v="0"/>
    <n v="0"/>
    <n v="1"/>
    <m/>
    <n v="0"/>
    <n v="1"/>
    <m/>
    <n v="0"/>
    <n v="4"/>
    <n v="0"/>
    <n v="0"/>
  </r>
  <r>
    <n v="50"/>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A 2031 el 100% de las Entidades Territoriales del orden departamental, distrital y municipal han desarrollado procesos de ajuste institucional para el fortalecimiento de las capacidades de la autoridad sanitaria y la apropiación territorial del modelo de "/>
    <s v="Gestión territorial para el cuidado de la salud basado en la atención primaria en salud. "/>
    <s v="Gestión territorial para el cuidado de la salud basado en la atención primaria en salud. "/>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Cuidado de la salud en el territorio  "/>
    <s v="Realizar Busqueda activa comunitaria bimensual de niños(as) menores de cinco años en riesgo de desnutricion aguda en el entorno hogar, agrupados , IED y Programas de ICBF en los territorios y microterritorios totales en los 29 municpios a cada familia se "/>
    <s v="PIC(Anexo técnico)"/>
    <n v="200"/>
    <s v="Número"/>
    <n v="50"/>
    <n v="0"/>
    <n v="0"/>
    <n v="50"/>
    <n v="0"/>
    <n v="0"/>
    <n v="50"/>
    <n v="0"/>
    <n v="0"/>
    <n v="50"/>
    <m/>
    <n v="0"/>
    <n v="200"/>
    <n v="0"/>
    <n v="0"/>
  </r>
  <r>
    <n v="51"/>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fortalecidas como autoridad sanitaria local para la Gobernanza en Salud Pública.  "/>
    <s v="&quot; A 2031 el 100% de las Entidades Territoriales del orden departamental, distrital y municipal desarrollan mecanismos para el fortalecimiento de la rectoría en salud en su territorio, conforme a las competencias establecidas&quot;"/>
    <s v="A 2031, el 40% de los niños menores de 6 meses tienen lactancia materna exclusiva"/>
    <s v="A 2027, el 40% de los niños menores de 6 meses tienen lactancia materna exclusiva"/>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Desarrollo institucional y sectorial para el ejercicio de la autoridad sanitaria  "/>
    <s v="Capacitar al talento humano de las EPS, IPS, EBS  y PIC de los 29 municipios del departamento del Magdalena sobre lactancia y relactancia materna y Código Internacional de Comercialización de Sucedáneos de la Leche materna (CICSLM) "/>
    <s v="Procesos transversales de la Gestion de la Salud Pública"/>
    <n v="1"/>
    <s v="Número"/>
    <n v="0"/>
    <n v="0"/>
    <e v="#DIV/0!"/>
    <n v="0"/>
    <n v="1"/>
    <e v="#DIV/0!"/>
    <n v="1"/>
    <n v="0"/>
    <n v="0"/>
    <n v="0"/>
    <m/>
    <e v="#DIV/0!"/>
    <n v="1"/>
    <n v="1"/>
    <n v="100"/>
  </r>
  <r>
    <n v="52"/>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A 2031 el 100% de las Entidades Territoriales del orden departamental, distrital y municipal han desarrollado procesos de ajuste institucional para el fortalecimiento de las capacidades de la autoridad sanitaria y la apropiación territorial del modelo de "/>
    <s v="Gestión territorial para el cuidado de la salud basado en la atención primaria en salud. "/>
    <s v="Gestión territorial para el cuidado de la salud basado en la atención primaria en salud. "/>
    <s v="12-A 2031, el 40% de los niños menores de 6 meses tienen lactancia materna exclusiva"/>
    <s v="12-A 2031, el 40% de los niños menores de 6 meses tienen lactancia materna exclusiv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Cuidado de la salud en el territorio  "/>
    <s v="Conmemorar la semana mundial de la LM realizar por sub-región en articulación del comité SAN municipal, líderes, líderesas y gestores comunitarios acciones de movilización y sensibilización a mujeres gestantes y lactantes y sus familias a cerca de la impo"/>
    <s v="PIC(Anexo técnico)"/>
    <n v="29"/>
    <s v="Número"/>
    <n v="0"/>
    <n v="0"/>
    <e v="#DIV/0!"/>
    <n v="0"/>
    <n v="0"/>
    <e v="#DIV/0!"/>
    <n v="29"/>
    <n v="0"/>
    <n v="0"/>
    <n v="0"/>
    <m/>
    <e v="#DIV/0!"/>
    <n v="29"/>
    <n v="0"/>
    <n v="0"/>
  </r>
  <r>
    <n v="53"/>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fortalecidas como autoridad sanitaria local para la Gobernanza en Salud Pública.  "/>
    <s v="&quot; A 2031 el 100% de las Entidades Territoriales del orden departamental, distrital y municipal desarrollan mecanismos para el fortalecimiento de la rectoría en salud en su territorio, conforme a las competencias establecidas&quot;"/>
    <s v="Gestión territorial para el cuidado de la salud basado en la atención primaria en salud. "/>
    <s v="Gestión territorial para el cuidado de la salud basado en la atención primaria en salud. "/>
    <s v="12-A 2031, el 40% de los niños menores de 6 meses tienen lactancia materna exclusiva"/>
    <s v="12-A 2031, el 40% de los niños menores de 6 meses tienen lactancia materna exclusiva"/>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Desarrollo institucional y sectorial para el ejercicio de la autoridad sanitaria  "/>
    <s v="Desarrollo de capacidades teorico practico de dos dias para la construcción de Planes de SAN Municipales en los 29 municipios del departamento del Magdalena."/>
    <s v="Procesos transversales de la Gestion de la Salud Pública"/>
    <n v="2"/>
    <s v="Número"/>
    <n v="0"/>
    <n v="0"/>
    <e v="#DIV/0!"/>
    <n v="1"/>
    <n v="1"/>
    <n v="100"/>
    <n v="1"/>
    <m/>
    <n v="0"/>
    <n v="0"/>
    <m/>
    <e v="#DIV/0!"/>
    <n v="2"/>
    <n v="1"/>
    <n v="100"/>
  </r>
  <r>
    <n v="54"/>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2-A 2031, el 40% de los niños menores de 6 meses tienen lactancia materna exclusiva"/>
    <s v="12-A 2031, el 40% de los niños menores de 6 meses tienen lactancia materna exclusiva"/>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Desarrollo institucional y sectorial para el ejercicio de la autoridad sanitaria  "/>
    <s v="Realizar el acompañamiento técnico a las EAPB priorizadas la implementación de la Resolución 3280 de 2018  énfasis en las atenciones que promuevan la lactancia materna y adecuada alimentación complementaria, el seguimiento y monitoreo a la consulta partic"/>
    <s v="Procesos transversales de la Gestion de la Salud Pública"/>
    <n v="29"/>
    <s v="Número"/>
    <n v="0"/>
    <n v="0"/>
    <e v="#DIV/0!"/>
    <n v="10"/>
    <n v="0"/>
    <n v="0"/>
    <n v="10"/>
    <m/>
    <n v="0"/>
    <n v="9"/>
    <m/>
    <n v="0"/>
    <n v="29"/>
    <n v="0"/>
    <n v="0"/>
  </r>
  <r>
    <n v="55"/>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4-A 2031, disminuir 20% la prevalencia por retraso en talla en menores de 5 años."/>
    <s v="14-A 2031, disminuir 20% la prevalencia por retraso en talla en menores de 5 años."/>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Sesionar 4 Mesas de trabajo durante el año con el comité departamental SAN para evaluar y ajustar la ejecución de la politica departamental mediante plan de acción con Matriz de monitoreo para el cumplimiento del derecho humano a la alimentacion Adecuada "/>
    <s v="Procesos transversales de la Gestion de la Salud Pública"/>
    <n v="4"/>
    <s v="Número"/>
    <n v="1"/>
    <n v="0"/>
    <n v="0"/>
    <n v="1"/>
    <n v="1"/>
    <n v="100"/>
    <n v="1"/>
    <m/>
    <n v="0"/>
    <n v="1"/>
    <m/>
    <n v="0"/>
    <n v="4"/>
    <n v="1"/>
    <n v="50"/>
  </r>
  <r>
    <n v="56"/>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Desarrollar Capacidades técnicas, científicas y operativas al RH de la DTS, IPS, EAPB en la Resolución 2465 /2016 y resolucion 2350/2020, con la revison de los planes de la desaceleracion de la desnutricon en los 29 municipios."/>
    <s v="Procesos transversales de la Gestion de la Salud Pública"/>
    <n v="29"/>
    <s v="Número"/>
    <n v="7"/>
    <n v="0"/>
    <n v="0"/>
    <n v="7"/>
    <n v="0"/>
    <n v="0"/>
    <n v="7"/>
    <m/>
    <n v="0"/>
    <n v="8"/>
    <m/>
    <n v="0"/>
    <n v="29"/>
    <n v="0"/>
    <n v="0"/>
  </r>
  <r>
    <n v="57"/>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Desarrollo de capacidades teórico práctico al talento humano de las Secretarías de Salud, Profesionales de la Salud de IPS, EPS, EBS, Madres FAMI, ICBF, rectores y docentes de colegios y Alcaldias de los 29 municipios sobre las nuevas GABA con enfoque dif"/>
    <s v="Procesos transversales de la Gestion de la Salud Pública"/>
    <n v="29"/>
    <s v="Número"/>
    <n v="0"/>
    <n v="0"/>
    <e v="#DIV/0!"/>
    <n v="10"/>
    <n v="10"/>
    <n v="100"/>
    <n v="10"/>
    <m/>
    <n v="0"/>
    <n v="9"/>
    <m/>
    <n v="0"/>
    <n v="29"/>
    <n v="10"/>
    <n v="100"/>
  </r>
  <r>
    <n v="58"/>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Desarrollo de capacidades teorico practico, certificado sobre la estrategia Instituciones Amiga de la Mujer y la Infacia- IAMII, Salas Amigas de Extracción Manual de la leche materna, código internacional de sucedáneos de la leche materna, RIAS 3280, RIAS"/>
    <s v="Procesos transversales de la Gestion de la Salud Pública"/>
    <n v="4"/>
    <s v="Número"/>
    <n v="0"/>
    <n v="0"/>
    <e v="#DIV/0!"/>
    <n v="2"/>
    <n v="0"/>
    <n v="0"/>
    <n v="2"/>
    <m/>
    <n v="0"/>
    <n v="0"/>
    <m/>
    <e v="#DIV/0!"/>
    <n v="4"/>
    <n v="0"/>
    <n v="0"/>
  </r>
  <r>
    <n v="59"/>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4-A 2031, disminuir 20% la prevalencia por retraso en talla en menores de 5 años."/>
    <s v="14-A 2031, disminuir 20% la prevalencia por retraso en talla en menores de 5 años."/>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Desarrollo institucional y sectorial para el ejercicio de la autoridad sanitaria  "/>
    <s v="Desarrollo de capacidades en Resolucion 3280 dirigido al TH de las ESE, IPS; DTS de los 29 municipios"/>
    <s v="Procesos transversales de la Gestion de la Salud Pública"/>
    <n v="1"/>
    <s v="Número"/>
    <n v="1"/>
    <n v="0"/>
    <n v="0"/>
    <n v="0"/>
    <n v="1"/>
    <e v="#DIV/0!"/>
    <n v="1"/>
    <m/>
    <n v="0"/>
    <n v="0"/>
    <m/>
    <e v="#DIV/0!"/>
    <n v="1"/>
    <n v="1"/>
    <n v="100"/>
  </r>
  <r>
    <n v="60"/>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4-A 2031, mantener en &lt; 9% la proporción de Bajo Peso al Nacer"/>
    <s v="3-A 2031, reducir a 6 por cada 1.000 nacidos vivos la tasa de mortalidad neonatal"/>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Realizar comité trimestral del  plan  desaceleracion de muerte por desnutricion haciendo seguimientos mensuales a las EAPB Y MUNICIPIOS sobre la busquedad activa de niños reportados en la base sivigila ,según la resolucion 2350 y 2465  y realizar asistenc"/>
    <s v="Procesos transversales de la Gestion de la Salud Pública"/>
    <n v="4"/>
    <s v="Número"/>
    <n v="1"/>
    <n v="1"/>
    <n v="100"/>
    <n v="1"/>
    <n v="0"/>
    <n v="0"/>
    <n v="1"/>
    <m/>
    <n v="0"/>
    <n v="1"/>
    <m/>
    <n v="0"/>
    <n v="4"/>
    <n v="1"/>
    <n v="50"/>
  </r>
  <r>
    <n v="61"/>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Entidades Territoriales Departamentales, Distritales y Municipales que conforman territorios de salud de acuerdo con las particularidades geográficas, socioculturales, político administrativas y ambientales donde se produce el proceso de salud.  "/>
    <s v="Gestión territorial para el cuidado de la salud basado en la atención primaria en salud.  "/>
    <s v="A 2031 el 100 % de las Entidades Territoriales del orden departamental, distrital y municipal han desarrollado procesos de ajuste institucional para el fortalecimiento de las capacidades de la autoridad sanitaria y la apropiación territorial del modelo de"/>
    <s v="A 2027 el 100% de las Entidades Territoriales del orden municipal desarrollan mecanismos para el fortalecimiento de la rectoría en salud en su territorio, conforme a las competencias establecidas&quot;"/>
    <s v="20-A 2031, disminuir la tasa especifica de fecundidad adolescente de 15 a 19 años a menos de 40 nacimientos por cada 1000 mujeres adolescentes de 15 a 19 años."/>
    <s v="20-A 2031, disminuir la tasa especifica de fecundidad adolescente de 15 a 19 años a menos de 40 nacimientos por cada 1000 mujeres adolescentes de 15 a 19 años."/>
    <s v="Salud Pública"/>
    <s v="Médico en tu casa"/>
    <s v="Fortalecimiento de Estrategias para la Promoción de la Salud y Prevención de Enfermedades en Comunidades, mediante acciones Integrales, Participativas y Sostenibles en el Departamento del Magdalena."/>
    <s v="Realizar estrategias de educación en salud sexual y reproductiva en 58 IED priorizadas en el departamento"/>
    <s v="Cuidado de la salud en el territorio"/>
    <s v="Educacion en salud en el componente de prevencion de embarazo en adolescentes, prevencion de las violencias, planificacion familiar, prevencion de las enfermedades de transmisión sexual ETS (VIH/SIDA)) en el entorno escolar jovenes y adolescentes (6 a 11 "/>
    <s v="PIC(Anexo técnico)"/>
    <n v="29"/>
    <s v="Número"/>
    <n v="5"/>
    <n v="0"/>
    <n v="0"/>
    <n v="10"/>
    <n v="0"/>
    <n v="0"/>
    <n v="10"/>
    <m/>
    <n v="0"/>
    <n v="4"/>
    <m/>
    <n v="0"/>
    <n v="29"/>
    <n v="0"/>
    <n v="0"/>
  </r>
  <r>
    <n v="62"/>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Entidades Territoriales Departamentales, Distritales y Municipales que conforman territorios de salud de acuerdo con las particularidades geográficas, socioculturales, político administrativas y ambientales donde se produce el proceso de salud.  "/>
    <s v="Regionalización y tenitohalización del sistema de salud por áreas para la gestión en salud / territorios en salud con base en la estrategia atención primaria en salud, salud familiar y comunitaria, cuidado de la salud, gestión integral del riesgo en salud"/>
    <s v="A 2031 el 100 % de las Entidades Territoriales del orden departamental, distrital y municipal han desarrollado procesos de ajuste institucional para el fortalecimiento de las capacidades de la autoridad sanitaria y la apropiación territorial del modelo de"/>
    <s v="A 2027 el 100% de las Entidades Territoriales del orden municipal desarrollan mecanismos para el fortalecimiento de la rectoría en salud en su territorio, conforme a las competencias establecidas&quot;"/>
    <s v="20-A 2031, disminuir la tasa especifica de fecundidad adolescente de 15 a 19 años a menos de 40 nacimientos por cada 1000 mujeres adolescentes de 15 a 19 años."/>
    <s v="20-A 2031, disminuir la tasa especifica de fecundidad adolescente de 15 a 19 años a menos de 40 nacimientos por cada 1000 mujeres adolescentes de 15 a 19 años."/>
    <s v="Salud Pública"/>
    <s v="Médico en tu casa"/>
    <s v="Fortalecimiento de Estrategias para la Promoción de la Salud y Prevención de Enfermedades en Comunidades, mediante acciones Integrales, Participativas y Sostenibles en el Departamento del Magdalena."/>
    <s v="Realizar estrategias de educación en salud sexual y reproductiva en 58 IED priorizadas en el departamento"/>
    <s v="Cuidado de la salud en el territorio"/>
    <s v="Educacion en salud a padres de familia, maestros, lideres comunitarios y otros actores, en la promoción de la salud sexual y reproductiva;  fomentando un entorno de apoyo, comprensión promover relaciones respetuosas, igualitarias y libres de violencia; co"/>
    <s v="PIC(Anexo técnico)"/>
    <n v="29"/>
    <s v="Número"/>
    <n v="5"/>
    <n v="0"/>
    <n v="0"/>
    <n v="10"/>
    <n v="0"/>
    <n v="0"/>
    <n v="10"/>
    <m/>
    <n v="0"/>
    <n v="4"/>
    <m/>
    <n v="0"/>
    <n v="29"/>
    <n v="0"/>
    <n v="0"/>
  </r>
  <r>
    <n v="63"/>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Regionalización y tenitohalización del sistema de salud por áreas para la gestión en salud / territorios en salud con base en la estrategia atención primaria en salud, salud familiar y comunitaria, cuidado de la salud, gestión integral del riesgo en salud"/>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1-A 2031, reducir a 32 por 100.000 nacidos vivos la razón de mortalidad materna"/>
    <s v="1-A 2031, reducir a 32 por 100.000 nacidos vivos la razón de mortalidad materna"/>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Cuidado de la salud en el territorio"/>
    <s v="Realizar educación en salud materna y neonatal, a mujeres en edad fertil, parteras y jefes del hogar en las comunidades priorizadas, sobre factores de riesgo y desarmonías, reporte oportuno y atención en salud para evitar complicaciones en la madre y en s"/>
    <s v="PIC(Anexo técnico)"/>
    <n v="4"/>
    <s v="Número"/>
    <n v="1"/>
    <n v="0"/>
    <n v="0"/>
    <n v="1"/>
    <n v="0"/>
    <n v="0"/>
    <n v="1"/>
    <m/>
    <n v="0"/>
    <n v="1"/>
    <m/>
    <n v="0"/>
    <n v="4"/>
    <n v="0"/>
    <n v="0"/>
  </r>
  <r>
    <n v="64"/>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Regionalización y tenitohalización del sistema de salud por áreas para la gestión en salud / territorios en salud con base en la estrategia atención primaria en salud, salud familiar y comunitaria, cuidado de la salud, gestión integral del riesgo en salud"/>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3-A 2031, reducir a 6 por cada 1.000 nacidos vivos la tasa de mortalidad neonatal"/>
    <s v="3-A 2031, reducir a 6 por cada 1.000 nacidos vivos la tasa de mortalidad neonatal"/>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Cuidado de la salud en el territorio"/>
    <s v="Educacion en salud para la promocion y prevencion de la salud materno perinatal dirigida a mamos, medicos, parteras y lideres con el fin de fortalecer el manejo de la guia materno perinatal"/>
    <s v="PIC(Anexo técnico)"/>
    <n v="4"/>
    <s v="Número"/>
    <n v="1"/>
    <n v="0"/>
    <n v="0"/>
    <n v="1"/>
    <n v="0"/>
    <n v="0"/>
    <n v="1"/>
    <m/>
    <n v="0"/>
    <n v="1"/>
    <m/>
    <n v="0"/>
    <n v="4"/>
    <n v="0"/>
    <n v="0"/>
  </r>
  <r>
    <n v="65"/>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Regionalización y tenitohalización del sistema de salud por áreas para la gestión en salud / territorios en salud con base en la estrategia atención primaria en salud, salud familiar y comunitaria, cuidado de la salud, gestión integral del riesgo en salud"/>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1-A 2031, reducir a 32 por 100.000 nacidos vivos la razón de mortalidad materna"/>
    <s v="1-A 2031, reducir a 32 por 100.000 nacidos vivos la razón de mortalidad materna"/>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Desarrollo institucional y sectorial para el ejercicio de la autoridad sanitaria"/>
    <s v="Desarrollo de capacidades bajo escenario de simulacion presencial teorico practicos al talento humano en salud de las ESE e IPS del Departamento del Magdalena,  sobre Ruta Materno Perinatal,  emergencias obstetricas, Planificacion Familiar dirigido a medi"/>
    <s v="Procesos transversales de la Gestion de la Salud Pública"/>
    <n v="2"/>
    <s v="Número"/>
    <n v="0"/>
    <n v="0"/>
    <e v="#DIV/0!"/>
    <n v="0"/>
    <n v="0"/>
    <e v="#DIV/0!"/>
    <n v="1"/>
    <m/>
    <n v="0"/>
    <n v="1"/>
    <m/>
    <n v="0"/>
    <n v="2"/>
    <n v="0"/>
    <e v="#DIV/0!"/>
  </r>
  <r>
    <n v="66"/>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Regionalización y tenitohalización del sistema de salud por áreas para la gestión en salud / territorios en salud con base en la estrategia atención primaria en salud, salud familiar y comunitaria, cuidado de la salud, gestión integral del riesgo en salud"/>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Desarrollo institucional y sectorial para el ejercicio de la autoridad sanitaria"/>
    <s v="Desarrollar capacidades  del Talento Humano  en salud  de las EAPB y ESE mediante taller en atencion en salud para las mujeres victimas de violencias de genero e intrafamiliar, ruta de atención integral de los 29 municipios del departamento del Magdalena "/>
    <s v="Procesos transversales de la Gestion de la Salud Pública"/>
    <n v="1"/>
    <s v="Número"/>
    <n v="0"/>
    <n v="0"/>
    <e v="#DIV/0!"/>
    <n v="0"/>
    <n v="0"/>
    <e v="#DIV/0!"/>
    <n v="1"/>
    <m/>
    <n v="0"/>
    <n v="1"/>
    <m/>
    <n v="0"/>
    <n v="1"/>
    <n v="0"/>
    <e v="#DIV/0!"/>
  </r>
  <r>
    <n v="6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que conforman territorios de salud de acuerdo con las particularidades geográficas, socioculturales, político administrativas y ambientales donde se produce el proceso de salud.  "/>
    <s v="Regionalización y tenitohalización del sistema de salud por áreas para la gestión en salud / territorios en salud con base en la estrategia atención primaria en salud, salud familiar y comunitaria, cuidado de la salud, gestión integral del riesgo en salud"/>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Desarrollo institucional y sectorial para el ejercicio de la autoridad sanitaria"/>
    <s v="Asistencia Tecnica Seguimiento y monitoreo a la operativizacion de la ruta de atención en salud para víctimas de violencias sexuales y violencias de genero al entorno institucional, en el marco del Modelo Atención Integral de Salud en los 29 Municipios de"/>
    <s v="Procesos transversales de la Gestion de la Salud Pública"/>
    <n v="29"/>
    <s v="Número"/>
    <n v="5"/>
    <n v="0"/>
    <n v="0"/>
    <n v="10"/>
    <n v="4"/>
    <n v="40"/>
    <n v="10"/>
    <m/>
    <n v="0"/>
    <n v="4"/>
    <m/>
    <n v="0"/>
    <n v="29"/>
    <n v="4"/>
    <n v="26.666666666666668"/>
  </r>
  <r>
    <n v="68"/>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Entidades Territoriales Departamentales, Distritales y Municipales que conforman territorios de salud de acuerdo con las particularidades geográficas, socioculturales, político administrativas y ambientales donde se produce el proceso de salud.  "/>
    <s v="Gestión territorial para el cuidado de la salud basado en la atención primaria en salud.  "/>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20-A 2031, disminuir la tasa especifica de fecundidad adolescente de 15 a 19 años a menos de 40 nacimientos por cada 1000 mujeres adolescentes de 15 a 19 años."/>
    <s v="20-A 2031, disminuir la tasa especifica de fecundidad adolescente de 15 a 19 años a menos de 40 nacimientos por cada 1000 mujeres adolescentes de 15 a 19 años."/>
    <s v="Salud Pública"/>
    <s v="Médico en tu casa"/>
    <s v="Fortalecimiento de Estrategias para la Promoción de la Salud y Prevención de Enfermedades en Comunidades, mediante acciones Integrales, Participativas y Sostenibles en el Departamento del Magdalena."/>
    <s v="Realizar estrategias de educación en salud sexual y reproductiva en 58 IED priorizadas en el departamento"/>
    <s v="Cuidado de la salud en el territorio"/>
    <s v="Realizar la conmemoracion de la semana andina de prevencion de embarazo en adolescentes y niñas en los 29 municipios del  departamento de magdalena "/>
    <s v="PIC(Anexo técnico)"/>
    <n v="29"/>
    <s v="Número"/>
    <n v="4"/>
    <n v="0"/>
    <n v="0"/>
    <n v="10"/>
    <n v="0"/>
    <n v="0"/>
    <n v="10"/>
    <m/>
    <n v="0"/>
    <n v="5"/>
    <m/>
    <n v="0"/>
    <n v="29"/>
    <n v="0"/>
    <n v="0"/>
  </r>
  <r>
    <n v="69"/>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Entidades Territoriales Departamentales, Distritales y Municipales que conforman territorios de salud de acuerdo con las particularidades geográficas, socioculturales, político administrativas y ambientales donde se produce el proceso de salud.  "/>
    <s v="Gestión territorial para el cuidado de la salud basado en la atención primaria en salud.  "/>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19-A 2031, disminuir la tasa especifica de fecundidad adolescente de 10 a 14 años a cero nacimientos por cada 1.000 niñas de 10 a 14 años."/>
    <s v="19-A 2031, disminuir la tasa especifica de fecundidad adolescente de 10 a 14 años a cero nacimientos por cada 1.000 niñas de 10 a 14 años."/>
    <s v="Salud Pública"/>
    <s v="Médico en tu casa"/>
    <s v="Fortalecimiento de Estrategias para la Promoción de la Salud y Prevención de Enfermedades en Comunidades, mediante acciones Integrales, Participativas y Sostenibles en el Departamento del Magdalena."/>
    <s v="Realizar estrategias de educación en salud sexual y reproductiva en 58 IED priorizadas en el departamento"/>
    <s v="Cuidado de la salud en el territorio"/>
    <s v="Educación En Salud Sexual y Reproductiva con Enfoque Diferencial (Lgbtiq+) y de Género en las IED de cada microterritorio dirigida a los grados 10 y 11 "/>
    <s v="PIC(Anexo técnico)"/>
    <n v="29"/>
    <s v="Número"/>
    <n v="0"/>
    <n v="0"/>
    <e v="#DIV/0!"/>
    <n v="0"/>
    <n v="0"/>
    <e v="#DIV/0!"/>
    <n v="14"/>
    <m/>
    <n v="0"/>
    <n v="15"/>
    <m/>
    <n v="0"/>
    <n v="29"/>
    <n v="0"/>
    <e v="#DIV/0!"/>
  </r>
  <r>
    <n v="70"/>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Regionalización y tenitohalización del sistema de salud por áreas para la gestión en salud / territorios en salud con base en la estrategia atención primaria en salud, salud familiar y comunitaria, cuidado de la salud, gestión integral del riesgo en salud"/>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5-A 2031, reducir a 15,3 por mil nacidos vivos la tasa de mortalidad infantil"/>
    <s v="5-A 2031, reducir a 15,3 por mil nacidos vivos la tasa de mortalidad infantil"/>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Desarrollo institucional y sectorial para el ejercicio de la autoridad sanitaria"/>
    <s v="Desarrollo de capacidades del Departamento del Magdalena, sobre la estrategia ETMIPLUS"/>
    <s v="Procesos transversales de la Gestion de la Salud Pública"/>
    <n v="2"/>
    <s v="Número"/>
    <n v="0"/>
    <n v="0"/>
    <e v="#DIV/0!"/>
    <n v="0"/>
    <n v="0"/>
    <e v="#DIV/0!"/>
    <n v="1"/>
    <m/>
    <n v="0"/>
    <n v="1"/>
    <m/>
    <n v="0"/>
    <n v="2"/>
    <n v="0"/>
    <e v="#DIV/0!"/>
  </r>
  <r>
    <n v="71"/>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
    <s v="A 2031 se incorporará en el 100% de los departamentos y distritos, el plan de gestión en sistemas de alerta temprana para la identificación del riesgos por el cambio climático y la posible vulnerabilidad de la población desde un enfoque territorial"/>
    <s v="A 2027 se incorporará en el 100% de los municipios el plan de gestión en sistemas de alerta temprana para la identificación del riesgos por el cambio climático y la posible vulnerabilidad de la población desde un enfoque territorial"/>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Adquisicion de suministro insumo criticos para el control integral de vectores (sujeto a auotorizacion del ministerio)"/>
    <s v="Procesos transversales de la Gestion de la Salud Pública"/>
    <n v="30"/>
    <s v="Porcentaje"/>
    <n v="0"/>
    <n v="0"/>
    <e v="#DIV/0!"/>
    <n v="30"/>
    <n v="0"/>
    <n v="0"/>
    <n v="0"/>
    <m/>
    <e v="#DIV/0!"/>
    <n v="0"/>
    <m/>
    <e v="#DIV/0!"/>
    <n v="30"/>
    <n v="0"/>
    <n v="0"/>
  </r>
  <r>
    <n v="72"/>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PS"/>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84-A 2031, se reduce en 40% las muertes por malaria en el periodo 2022- 2031."/>
    <s v="84-A 2031, se reduce en 40% las muertes por malaria en el periodo 2022- 203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Garantizar el acceso y disponibilidad a medicamentos para el tratamiento de Malaria, Leishmaniasis y Enfermedad de Chagas."/>
    <s v="Procesos transversales de la Gestion de la Salud Pública"/>
    <n v="12"/>
    <s v="Número"/>
    <n v="3"/>
    <n v="0"/>
    <n v="0"/>
    <n v="3"/>
    <m/>
    <n v="0"/>
    <n v="3"/>
    <m/>
    <n v="0"/>
    <n v="3"/>
    <m/>
    <n v="0"/>
    <n v="12"/>
    <n v="0"/>
    <n v="0"/>
  </r>
  <r>
    <n v="73"/>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Abogacia e incidencia tecnica y politica en la agenda de otros sectores , a fin de generar acciones intersectoriales y transectoriales definiendo temas transversales y objetivos comunes"/>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Fortalecer la articulación intersectorial mediante reuniones de la mesa sectorial de ETV ."/>
    <s v="Procesos transversales de la Gestion de la Salud Pública"/>
    <n v="4"/>
    <s v="Número"/>
    <n v="1"/>
    <n v="0"/>
    <n v="0"/>
    <n v="1"/>
    <n v="2"/>
    <n v="200"/>
    <n v="1"/>
    <m/>
    <n v="0"/>
    <n v="1"/>
    <m/>
    <n v="0"/>
    <n v="4"/>
    <n v="2"/>
    <n v="100"/>
  </r>
  <r>
    <n v="74"/>
    <s v="Aumento de la Tasa de Incidencia de las enfermedades transmitidas por vectores como el dengu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Realizar mantenimiento preventivo y correctivo las maquinas del programa que lo requieran según diagnostico"/>
    <s v="Procesos transversales de la Gestion de la Salud Pública"/>
    <n v="100"/>
    <s v="Porcentaje"/>
    <n v="0"/>
    <n v="0"/>
    <e v="#DIV/0!"/>
    <n v="0"/>
    <n v="0"/>
    <e v="#DIV/0!"/>
    <n v="0"/>
    <m/>
    <e v="#DIV/0!"/>
    <n v="100"/>
    <m/>
    <n v="0"/>
    <n v="100"/>
    <n v="0"/>
    <e v="#DIV/0!"/>
  </r>
  <r>
    <n v="75"/>
    <s v="Aumento de la Tasa de Incidencia de las enfermedades transmitidas por vectores como el dengu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Realizar mantenimiento preventivo y correctivo de dos (2) vehiculos al servicio del programa según terminos de referencia, compra de SOAT y seguros"/>
    <s v="Procesos transversales de la Gestion de la Salud Pública"/>
    <n v="2"/>
    <s v="Número"/>
    <n v="0"/>
    <n v="0"/>
    <e v="#DIV/0!"/>
    <n v="0"/>
    <n v="1"/>
    <e v="#DIV/0!"/>
    <n v="0"/>
    <m/>
    <e v="#DIV/0!"/>
    <n v="2"/>
    <m/>
    <n v="0"/>
    <n v="2"/>
    <n v="1"/>
    <e v="#DIV/0!"/>
  </r>
  <r>
    <n v="76"/>
    <s v="Aumento de la Tasa de Incidencia de las enfermedades transmitidas por vectores como el dengu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orden departamental, han desarrollado procesos de ajuste institucional para el fortalecimiento de lad capacidades de la autoridad sanitaria y la apropiación territorial del modelo de salud basado en APS"/>
    <s v="A 2027 el 100% de las Entidades Territoriales han desarrollado procesos de ajuste institucional para el fortalecimiento de lad capacidades de la autoridad sanitaria y la apropiació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Taller teórico-práctico de 5 días para ingenieros ambientales y técnicos de E.S.E. y hospitales, enfocado en la identificación y control de criaderos, captura entomológica de arbovirosis y uso de la plataforma Epicollect para la recolección y visualizació"/>
    <s v="Procesos transversales de la Gestion de la Salud Pública"/>
    <n v="1"/>
    <s v="Número"/>
    <n v="0"/>
    <n v="0"/>
    <e v="#DIV/0!"/>
    <n v="1"/>
    <n v="0.5"/>
    <n v="50"/>
    <n v="0"/>
    <m/>
    <e v="#DIV/0!"/>
    <n v="0"/>
    <m/>
    <e v="#DIV/0!"/>
    <n v="1"/>
    <n v="0.5"/>
    <n v="50"/>
  </r>
  <r>
    <n v="77"/>
    <s v="Aumento de la Tasa de Incidencia de las enfermedades transmitidas por vectores como el dengue;"/>
    <s v="Conocimiento en salud pública y Soberanía Sanitari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PS"/>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Desarrollo de capacidades de ocho (8) horas sobre la socialización de la estrategia de Manejo Integrado de Vectores, dirigido a funcionarios de las alcaldías municipales y E.S.E. Hospitales públicos del departamento (una persona por entidad). La actividad"/>
    <s v="Procesos transversales de la Gestion de la Salud Pública"/>
    <n v="1"/>
    <s v="Porcentaje"/>
    <n v="0"/>
    <n v="0"/>
    <e v="#DIV/0!"/>
    <n v="1"/>
    <n v="0.5"/>
    <n v="50"/>
    <n v="0"/>
    <m/>
    <e v="#DIV/0!"/>
    <n v="0"/>
    <m/>
    <e v="#DIV/0!"/>
    <n v="1"/>
    <n v="0.5"/>
    <n v="50"/>
  </r>
  <r>
    <n v="78"/>
    <s v="Aumento de la Tasa de Incidencia de las enfermedades transmitidas por vectores como el dengu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distrital y orden departamental, municip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Asistencia ténica al talento humano por parte del medico del área de prestación de servicios (presencial o virtual) para la adherencia a guías de atención integral de casos (Dengue / Chikunguña / Zika), Fiebre amarilla, Leishmaniasis, Malaria y Chagas en"/>
    <s v="Procesos transversales de la Gestion de la Salud Pública"/>
    <n v="1"/>
    <s v="Número"/>
    <n v="0"/>
    <n v="0"/>
    <e v="#DIV/0!"/>
    <n v="0"/>
    <n v="0"/>
    <e v="#DIV/0!"/>
    <n v="0"/>
    <m/>
    <e v="#DIV/0!"/>
    <n v="1"/>
    <m/>
    <n v="0"/>
    <n v="1"/>
    <n v="0"/>
    <e v="#DIV/0!"/>
  </r>
  <r>
    <n v="79"/>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PS"/>
    <s v="A 2031 el 100% de los espacios e instancias intersectoriales inlcuyen en sus planes de accion la transversalizacion de los enfoques de puebos y comunidades . Genero y diferencial e integran los sistemas de conocimiento propio d elos pueblos y comunidades "/>
    <s v="A 2027 el 100% de los espacios e instancias intersectoriales inlcuyen en sus planes de accion la transversalizacion de los enfoques de puebos y comunidades Genero y diferencial e integran los sistemas de conocimiento propio d elos pueblos y comunidades et"/>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Abogacia con las comunidades etnicas para la implementacion de acciones de promocion y prevencion de las ETV"/>
    <s v="Procesos transversales de la Gestion de la Salud Pública"/>
    <n v="1"/>
    <s v="Número"/>
    <n v="0"/>
    <n v="0"/>
    <e v="#DIV/0!"/>
    <n v="0"/>
    <n v="1"/>
    <e v="#DIV/0!"/>
    <n v="0"/>
    <m/>
    <e v="#DIV/0!"/>
    <n v="1"/>
    <m/>
    <n v="0"/>
    <n v="1"/>
    <n v="1"/>
    <e v="#DIV/0!"/>
  </r>
  <r>
    <n v="80"/>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Desarrollo y fortalecimiento de capacidades para la planeación integral en salud y la gestión territorial en el marco del modelo de salud preventivo, predictivo y resolutivo basado en APS"/>
    <s v="a 2031 el 100% de las entidades territoriales del orden departaental, distrital y municipal han desarrollado procesos de ajuste inatitucional para el fortalecimiento de las capacidades de la autoridad sanitaria y la apropiacion territorial del modelo de s"/>
    <s v="A 2027 el 100% de las entidades territoriales del orden municipal han desarrollado procesos de ajuste inatitucional para el fortalecimiento de las capacidades de la autoridad sanitaria y la apropiacio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Prevenir la transmisión de ETV mediante uso de control químico en municipios en brote según analisis de la informacion epidemiologica (a demanda)"/>
    <s v="PIC(Anexo técnico)"/>
    <n v="100"/>
    <s v="Porcentaje"/>
    <n v="25"/>
    <n v="0"/>
    <n v="0"/>
    <n v="25"/>
    <n v="0"/>
    <n v="0"/>
    <n v="25"/>
    <m/>
    <n v="0"/>
    <n v="25"/>
    <m/>
    <n v="0"/>
    <n v="100"/>
    <n v="0"/>
    <n v="0"/>
  </r>
  <r>
    <n v="81"/>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Desarrollo y fortalecimiento de capacidades para la planeación integral en salud y la gestión territorial en el marco del modelo de salud preventivo, predictivo y resolutivo basado en APS"/>
    <s v="a 2031 el 100% de las entidades territoriales del orden departaental, distrital y municipal han desarrollado procesos de ajuste inatitucional para el fortalecimiento de las capacidades de la autoridad sanitaria y la apropiacion territorial del modelo de s"/>
    <s v="A 2027 el 100% de las entidades territoriales del orden municipal han desarrollado procesos de ajuste inatitucional para el fortalecimiento de las capacidades de la autoridad sanitaria y la apropiacio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Realizar levantamiento de indices aédicos, control larvario, destruccion de criadros y captura entomologica de larvas y adultos en el entorno hogar beneficiando a las familias en 29 municipios según programacion de los tecnicos de ETV y en los cementerios"/>
    <s v="PIC(Anexo técnico)"/>
    <n v="29"/>
    <s v="Número"/>
    <n v="6"/>
    <n v="0"/>
    <n v="0"/>
    <n v="8"/>
    <n v="12"/>
    <n v="150"/>
    <n v="9"/>
    <m/>
    <n v="0"/>
    <n v="6"/>
    <m/>
    <n v="0"/>
    <n v="29"/>
    <n v="12"/>
    <n v="85.714285714285708"/>
  </r>
  <r>
    <n v="82"/>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Desarrollo y fortalecimiento de capacidades para la planeación integral en salud y la gestión territorial en el marco del modelo de salud preventivo, predictivo y resolutivo basado en APS"/>
    <s v="a 2031 el 100% de las entidades territoriales del orden departaental, distrital y municipal han desarrollado procesos de ajuste inatitucional para el fortalecimiento de las capacidades de la autoridad sanitaria y la apropiacion territorial del modelo de s"/>
    <s v="A 2027 el 100% de las entidades territoriales del orden municipal han desarrollado procesos de ajuste inatitucional para el fortalecimiento de las capacidades de la autoridad sanitaria y la apropiacio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Levantar indices aedicos, destruccion de criaderos, control larvario y captura entomologica de larvas y adultos y educacion en signos y sintomas de alarma en el entorno educativo"/>
    <s v="PIC(Anexo técnico)"/>
    <n v="29"/>
    <s v="Número"/>
    <n v="7"/>
    <n v="0"/>
    <n v="0"/>
    <n v="7"/>
    <n v="18"/>
    <n v="257.14285714285717"/>
    <n v="8"/>
    <m/>
    <n v="0"/>
    <n v="7"/>
    <m/>
    <n v="0"/>
    <n v="29"/>
    <n v="18"/>
    <n v="128.57142857142858"/>
  </r>
  <r>
    <n v="83"/>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Desarrollo y fortalecimiento de capacidades para la planeación integral en salud y la gestión territorial en el marco del modelo de salud preventivo, predictivo y resolutivo basado en APS"/>
    <s v="a 2031 el 100% de las entidades territoriales del orden departaental, distrital y municipal han desarrollado procesos de ajuste inatitucional para el fortalecimiento de las capacidades de la autoridad sanitaria y la apropiacion territorial del modelo de s"/>
    <s v="A 2027 el 100% de las entidades territoriales del orden municipal han desarrollado procesos de ajuste inatitucional para el fortalecimiento de las capacidades de la autoridad sanitaria y la apropiacio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Instalación de cuatro (4) larvitrampas, captura de larvas y seguimiento de las mismas según lineamiento ubicados en terminales de transporte fluviales, aereos, y terrestres en los 29 municipios del departamento del Magdalena"/>
    <s v="PIC(Anexo técnico)"/>
    <n v="29"/>
    <s v="Número"/>
    <n v="7"/>
    <n v="0"/>
    <n v="0"/>
    <n v="7"/>
    <n v="5"/>
    <n v="71.428571428571431"/>
    <n v="8"/>
    <m/>
    <n v="0"/>
    <n v="7"/>
    <m/>
    <n v="0"/>
    <n v="29"/>
    <n v="5"/>
    <n v="35.714285714285715"/>
  </r>
  <r>
    <n v="84"/>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Desarrollo de estrategias de comunicación para la difusión y el uso adecuado de la información en salud pública"/>
    <s v="A 2031 el 100% de las Entidades Territoriales del distrital y orden departamental,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Realizar un (1) programa radial en los 29 municipios del departamento del Magdalena sobre las ETV, dando a conocer el ciclo vectorial, habito de los vectores transmisores de arbovirosis, malaria, chagas y leishmania"/>
    <s v="PIC(Anexo técnico)"/>
    <n v="29"/>
    <s v="Número"/>
    <n v="0"/>
    <n v="0"/>
    <e v="#DIV/0!"/>
    <n v="0"/>
    <n v="0"/>
    <e v="#DIV/0!"/>
    <n v="29"/>
    <m/>
    <n v="0"/>
    <n v="0"/>
    <m/>
    <e v="#DIV/0!"/>
    <n v="29"/>
    <n v="0"/>
    <e v="#DIV/0!"/>
  </r>
  <r>
    <n v="85"/>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Desarrollo de macanismos para el fortalecimiento d ela conduccion y articulación sectorial e intersectorial, la conformación y operación de redes integrales e integradas territoriales de servicios de salud y la rendicion de cuentas conforme a las competen"/>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5-A 2031, se reduce 20% la letalidad acumulada (2022-2031) por enfermedad de Chagas agudo."/>
    <s v="75-A 2031, se reduce 20% la letalidad acumulada (2022-2031) por enfermedad de Chagas agudo."/>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Abogacia con las EAPB para el tamizaje de chagas para maternas e hijos de maternas positivas en el marco de la estrategia MPLUS y seguimiento nominal de los casos"/>
    <s v="Procesos transversales de la Gestion de la Salud Pública"/>
    <n v="12"/>
    <s v="Número"/>
    <n v="3"/>
    <n v="0"/>
    <n v="0"/>
    <n v="3"/>
    <n v="3"/>
    <n v="100"/>
    <n v="3"/>
    <m/>
    <n v="0"/>
    <n v="3"/>
    <m/>
    <n v="0"/>
    <n v="12"/>
    <n v="3"/>
    <n v="50"/>
  </r>
  <r>
    <n v="86"/>
    <s v="Aumento de la Tasa de Incidencia de las enfermedades transmitidas por vectores como el dengu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distrital y orden departamental,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Desarrollar capacidades al talento humano (profesionales de apoyo) en capacitación en identificación taxonomica de Culicidos y montaje de especimenes para la colección de referencia entomologica."/>
    <s v="Procesos transversales de la Gestion de la Salud Pública"/>
    <n v="1"/>
    <s v="Número"/>
    <n v="0"/>
    <n v="0"/>
    <e v="#DIV/0!"/>
    <n v="1"/>
    <n v="0"/>
    <n v="0"/>
    <n v="0"/>
    <m/>
    <e v="#DIV/0!"/>
    <n v="1"/>
    <m/>
    <n v="0"/>
    <n v="1"/>
    <n v="0"/>
    <n v="0"/>
  </r>
  <r>
    <n v="87"/>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Entidades Territoriales Departamentales, Distritales y Municipales fortalecidas como autoridad sanitaria local para la Gobernanza en Salud Pública."/>
    <s v="Fortalecimiento de capacidades institucionales y comunitarias para el desarrollo de la APS con acciones territorializadas, universales, sistemáticas, permanentes y participativas bajo un enfoque familiar y comunitario."/>
    <s v="Agentes del sistema de salud que garantizan el acceso de la población con criterios de longitudinalidad, continuidad, puerta de entrada, enfoques familiar y comunitario con acciones, universales, sistemáticas, permanentes y participativas bajo un enfoque "/>
    <s v="Agentes del sistema de salud que garantizan el acceso de la población con criterios de longitudinalidad, continuidad, puerta de entrada, enfoques familiar y comunitario con acciones, universales, sistemáticas, permanentes y participativas bajo un enfoque "/>
    <s v="16-A 2031, Colombia logrará coberturas útiles de vacunación (95% -biológicos trazadores)."/>
    <s v="16-A 2031, Colombia logrará coberturas útiles de vacunación (95% -biológicos trazador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Desarrollar Un (1) encuentro lúdico de saberes con todas las Madres ICBF, padres de familia, los docentes y las madres lideres de Mas familias en acción cuyo énfasis sean estrategias asertivas en vacunación para la identificación de niños y niñas menores "/>
    <s v="Procesos transversales de la Gestion de la Salud Pública"/>
    <n v="29"/>
    <s v="Número"/>
    <n v="0"/>
    <n v="0"/>
    <e v="#DIV/0!"/>
    <n v="0"/>
    <n v="1"/>
    <e v="#DIV/0!"/>
    <n v="14"/>
    <m/>
    <n v="0"/>
    <n v="15"/>
    <m/>
    <n v="0"/>
    <n v="29"/>
    <n v="1"/>
    <e v="#DIV/0!"/>
  </r>
  <r>
    <n v="88"/>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Entidades Territoriales Departamentales, Distritales y Municipales fortalecidas como autoridad sanitaria local para la Gobernanza en Salud Pública."/>
    <s v="Fortalecimiento de capacidades institucionales y comunitarias para el desarrollo de la APS con acciones territorializadas, universales, sistemáticas, permanentes y participativas bajo un enfoque familiar y comunitario."/>
    <s v="Agentes del sistema de salud que garantizan el acceso de la población con criterios de longitudinalidad, continuidad, puerta de entrada, enfoques familiar y comunitario con acciones, universales, sistemáticas, permanentes y participativas bajo un enfoque "/>
    <s v="Agentes del sistema de salud que garantizan el acceso de la población con criterios de longitudinalidad, continuidad, puerta de entrada, enfoques familiar y comunitario con acciones, universales, sistemáticas, permanentes y participativas bajo un enfoque "/>
    <s v="17-Al 2031, Colombia mantendrá la implementación de los planes orientados a la erradicación de poliomielitis, eliminación de Sarampión y Rubeola, control y eliminación de eventos inmunoprevenibles, Síndrome de Rubeola Congénita, Tétanos Neonatal, Fiebre A"/>
    <s v="17-Al 2031, Colombia mantendrá la implementación de los planes orientados a la erradicación de poliomielitis, eliminación de Sarampión y Rubeola, control y eliminación de eventos inmunoprevenibles, Síndrome de Rubeola Congénita, Tétanos Neonatal, Fiebre A"/>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Programa comunicacional mensual en los 29 municipios donde se informe: esquema de vacunacion, jornadas, vacunacion segura, entre otros los 12 meses del año pueden usar medio radial de cobertura municipal o perifoneo demostrado en todo el municipio "/>
    <s v="PIC(Anexo técnico)"/>
    <n v="29"/>
    <s v="Número"/>
    <n v="29"/>
    <n v="0"/>
    <n v="0"/>
    <n v="29"/>
    <n v="0"/>
    <n v="0"/>
    <n v="29"/>
    <m/>
    <n v="0"/>
    <n v="29"/>
    <m/>
    <n v="0"/>
    <n v="29"/>
    <n v="0"/>
    <n v="0"/>
  </r>
  <r>
    <n v="89"/>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Espacios e instancias intersectoriales que incluyen en sus planes de acción la transversalización de los enfoques de pueblos y comunidades, género y diferencial e integran los sistemas de conocimiento propio de los pueblos y comunidades étnicas y campesin"/>
    <s v="Establecimiento de mecanismos institucionales, sectoriales, intersectoriales y comunitarios que garanticen la participación de las diferentes formas y expresiones organizativas de los pueblos y comunidades en la planeación y la respuesta en salud"/>
    <s v="A 2031 el 100% de entidades territoriales Departamentales, Distritales y Municipales que tienen en su territorio pueblos y comunidades indígenas, comunidades negras, afrocolombianas, raizales y palenqueras y pueblo Rrom integran en sus planes territoriale"/>
    <s v="A 2027 el 100% de entidades territoriales  Municipales que tienen en su territorio pueblos y comunidades indígenas, comunidades negras, afrocolombianas, raizales y palenqueras y pueblo Rrom integran en sus planes territoriales de salud los acuerdos result"/>
    <s v="16-A 2031, Colombia logrará coberturas útiles de vacunación (95% -biológicos trazadores)."/>
    <s v="16-A 2031, Colombia logrará coberturas útiles de vacunación (95% -biológicos trazador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Desarrollar un (1) encuentro didactico de saberes con comunidad indígena de los municipios de Ciénaga, Fundación, Aracataca y Sabana de San Ángel, con énfasis en estrategias asertivas de vacunación para la identificación de niños y niñas menores de seis ("/>
    <s v="PIC(Anexo técnico)"/>
    <n v="4"/>
    <s v="Número"/>
    <n v="0"/>
    <n v="0"/>
    <e v="#DIV/0!"/>
    <n v="0"/>
    <n v="0"/>
    <e v="#DIV/0!"/>
    <n v="2"/>
    <m/>
    <n v="0"/>
    <n v="2"/>
    <m/>
    <n v="0"/>
    <n v="4"/>
    <n v="0"/>
    <e v="#DIV/0!"/>
  </r>
  <r>
    <n v="90"/>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Nivel primario de atención con equipos de salud territoriales y centros de atención primaria en salud fortalecidos en su infraestructura, insumos, dotación y personal de salud como puerta de entrada y primer contacto con el Sistema de Salud, para dar resp"/>
    <s v="Implementación de mecanismos para la coordinación y gestión de la operación de las redes integrales e integradas territoriales de salud en el marco de un modelo preventivo, predictivo y resolutivo basado en la APS."/>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18-A 2031, Colombia aumentará a un 90%, la cobertura de vacunación de VPH en niños y niñas de 9 años de edad"/>
    <s v="18-A 2031, Colombia aumentará a un 90%, la cobertura de vacunación de VPH en niños y niñas de 9 años de edad"/>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Garantizar el inicio, continuidad y finalizacion de los esquemas de vacunación según la edad, mediante jornadas dirigidas al 100% de las familias intervenidas por la estrategia de Atención Primaria en Salud que cuenten con miembros objeto del PAI, a travé"/>
    <s v="PIC(Anexo técnico)"/>
    <n v="2"/>
    <s v="Número"/>
    <n v="0"/>
    <n v="0"/>
    <e v="#DIV/0!"/>
    <n v="1"/>
    <n v="1"/>
    <n v="100"/>
    <n v="1"/>
    <m/>
    <n v="0"/>
    <n v="0"/>
    <m/>
    <e v="#DIV/0!"/>
    <n v="2"/>
    <n v="1"/>
    <n v="100"/>
  </r>
  <r>
    <n v="91"/>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Nivel primario de atención con equipos de salud territoriales y centros de atención primaria en salud fortalecidos en su infraestructura, insumos, dotación y personal de salud como puerta de entrada y primer contacto con el Sistema de Salud, para dar resp"/>
    <s v="Implementación de mecanismos para la coordinación y gestión de la operación de las redes integrales e integradas territoriales de salud en el marco de un modelo preventivo, predictivo y resolutivo basado en la APS."/>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17-Al 2031, Colombia mantendrá la implementación de los planes orientados a la erradicación de poliomielitis, eliminación de Sarampión y Rubeola, control y eliminación de eventos inmunoprevenibles, Síndrome de Rubeola Congénita, Tétanos Neonatal, Fiebre A"/>
    <s v="17-Al 2031, Colombia mantendrá la implementación de los planes orientados a la erradicación de poliomielitis, eliminación de Sarampión y Rubeola, control y eliminación de eventos inmunoprevenibles, Síndrome de Rubeola Congénita, Tétanos Neonatal, Fiebre A"/>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Educacion en Salud sobre Vacunacion segura y esquema gratuito, Realizar búsqueda activa de la poblacion objetivo del programa y la puesta al día de coberturas de vacunación en los 29 Municipios y de esta manera gestionar el cumplimiento de las metas progr"/>
    <s v="PIC(Anexo técnico)"/>
    <n v="1"/>
    <s v="Porcentaje"/>
    <s v="0,25"/>
    <n v="0"/>
    <n v="0"/>
    <s v="0,25"/>
    <n v="1"/>
    <n v="400"/>
    <s v="0,25"/>
    <m/>
    <n v="0"/>
    <s v="0,25"/>
    <m/>
    <n v="0"/>
    <n v="1"/>
    <n v="1"/>
    <n v="200"/>
  </r>
  <r>
    <n v="92"/>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tención Primaria en Salud - APS."/>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16-A 2031, Colombia logrará coberturas útiles de vacunación (95% -biológicos trazadores)."/>
    <s v="16-A 2031, Colombia logrará coberturas útiles de vacunación (95% -biológicos trazador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Desarrollar capacidades en los diferentes componentes del programa dirigido al talento humano Vacunadores de los equipos y unidades vacunadoras de 29 municipios incluida IPS Indigena"/>
    <s v="Procesos transversales de la Gestion de la Salud Pública"/>
    <n v="4"/>
    <s v="Número"/>
    <n v="0"/>
    <n v="0"/>
    <e v="#DIV/0!"/>
    <n v="0"/>
    <n v="0"/>
    <e v="#DIV/0!"/>
    <n v="4"/>
    <m/>
    <n v="0"/>
    <n v="4"/>
    <m/>
    <n v="0"/>
    <n v="4"/>
    <n v="0"/>
    <e v="#DIV/0!"/>
  </r>
  <r>
    <n v="93"/>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tención Primaria en Salud - APS."/>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11-A 2031, reducir a 10,3 por mil nacidos vivos la tasa de mortalidad en menores de 5 años"/>
    <s v="11-A 2031, reducir a 10,3 por mil nacidos vivos la tasa de mortalidad en menores de 5 añ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Desarrollar capacidades en los diferentes componentes del programa dirigido al talento humano coordinadores de los equipos y unidades vacunadoras de 29 municipios incluida IPS Indigena"/>
    <s v="Procesos transversales de la Gestion de la Salud Pública"/>
    <n v="1"/>
    <s v="Número"/>
    <n v="0"/>
    <n v="0"/>
    <e v="#DIV/0!"/>
    <n v="0"/>
    <n v="0"/>
    <e v="#DIV/0!"/>
    <n v="1"/>
    <m/>
    <n v="0"/>
    <n v="1"/>
    <m/>
    <n v="0"/>
    <n v="1"/>
    <n v="0"/>
    <e v="#DIV/0!"/>
  </r>
  <r>
    <n v="94"/>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11-A 2031, reducir a 10,3 por mil nacidos vivos la tasa de mortalidad en menores de 5 años"/>
    <s v="11-A 2031, reducir a 10,3 por mil nacidos vivos la tasa de mortalidad en menores de 5 añ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Articulacion con el SENA para garantizar la certificacion en las 2 competencias laborales (Adminstracion de Inmunobiologicos y Atencion al usuario) a los tecnicos (auxiliares) y profesionales (enfermeras) de las IPS de los 29 municipios, incluida la IPS I"/>
    <s v="Procesos transversales de la Gestion de la Salud Pública"/>
    <n v="29"/>
    <s v="Número"/>
    <n v="5"/>
    <n v="0"/>
    <n v="0"/>
    <n v="5"/>
    <n v="2"/>
    <n v="40"/>
    <n v="9"/>
    <m/>
    <n v="0"/>
    <n v="10"/>
    <m/>
    <n v="0"/>
    <n v="29"/>
    <n v="2"/>
    <n v="20"/>
  </r>
  <r>
    <n v="95"/>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_x000a_  para la vigilancia en salud pública, el fortalecimiento de los_x000a_  laboratorios de salud pública, la inspección, vigilancia y control_x000a_  sanitarios y la garantía de insumos de interés en salud p"/>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la gestión de los insumos críticos del programa de la red de frio"/>
    <s v="Procesos transversales de la Gestion de la Salud Pública"/>
    <n v="12"/>
    <s v="Porcentaje"/>
    <n v="3"/>
    <n v="3"/>
    <n v="100"/>
    <n v="3"/>
    <n v="3"/>
    <n v="100"/>
    <m/>
    <m/>
    <e v="#DIV/0!"/>
    <m/>
    <m/>
    <e v="#DIV/0!"/>
    <n v="12"/>
    <n v="6"/>
    <n v="100"/>
  </r>
  <r>
    <n v="96"/>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Gestion de insumos de interes en salud publica para garantizar la implementacion de la estrategia de vacunacion sin barreras a los 29 Municipios"/>
    <s v="Desarrollo institucional y sectorial para el ejercicio de la autoridad sanitaria"/>
    <s v="Realizar Mantenimiento preventivo y correctivo a la red de frio departamental"/>
    <s v="Procesos transversales de la Gestion de la Salud Pública"/>
    <n v="1"/>
    <s v="Porcentaje"/>
    <n v="0.25"/>
    <n v="0"/>
    <n v="0"/>
    <n v="0.25"/>
    <n v="1"/>
    <n v="400"/>
    <n v="0.25"/>
    <m/>
    <n v="0"/>
    <n v="0.25"/>
    <m/>
    <n v="0"/>
    <n v="1"/>
    <n v="1"/>
    <n v="200"/>
  </r>
  <r>
    <n v="9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Garantizar el traslado de insumos y biologicos del esquema regular y contra covid19 los 12 meses del año 2025 a los 29 muicipios conservando su red de frio"/>
    <s v="Procesos transversales de la Gestion de la Salud Pública"/>
    <n v="1"/>
    <s v="Porcentaje"/>
    <n v="0.25"/>
    <n v="3"/>
    <n v="1200"/>
    <n v="0.25"/>
    <n v="3"/>
    <n v="1200"/>
    <n v="1"/>
    <m/>
    <n v="0"/>
    <m/>
    <m/>
    <e v="#DIV/0!"/>
    <n v="1"/>
    <n v="6"/>
    <n v="1200"/>
  </r>
  <r>
    <n v="98"/>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Garantizar la proteccion y vida util de los biologicos e insumos criticos para el programa ampliado de inmunizaciones PAI a traves de una poliza de seguros todo riesgo"/>
    <s v="Procesos transversales de la Gestion de la Salud Pública"/>
    <n v="1"/>
    <s v="Porcentaje"/>
    <n v="1"/>
    <n v="0"/>
    <n v="0"/>
    <n v="1"/>
    <n v="1"/>
    <n v="100"/>
    <m/>
    <m/>
    <e v="#DIV/0!"/>
    <m/>
    <m/>
    <e v="#DIV/0!"/>
    <n v="1"/>
    <n v="1"/>
    <n v="50"/>
  </r>
  <r>
    <n v="99"/>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ñales definiendo temas transversales y objetivos_x000a_  comun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cuatro (4) Comites del Programa Ampliado de Inmunizaciones PAI según lineamientos del MSPS, que garantice la participación de los actores del sector salud y otros sectores con el objetivo de lograr la meta de cobertura propuesta."/>
    <s v="Procesos transversales de la Gestion de la Salud Pública"/>
    <n v="4"/>
    <s v="Número"/>
    <n v="0.25"/>
    <n v="0"/>
    <n v="0"/>
    <n v="0.25"/>
    <n v="1"/>
    <n v="400"/>
    <n v="0.25"/>
    <m/>
    <n v="0"/>
    <n v="0.25"/>
    <m/>
    <n v="0"/>
    <n v="4"/>
    <n v="1"/>
    <n v="200"/>
  </r>
  <r>
    <n v="100"/>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Posicionamiento del sistema único de información en salud parametrizado y estandarizado acorde con la normatividad_x000a_  vigente, que tenga la capacidad de articular los sistemas propios de información en salud de los pueblos y comunidades existent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seguimiento y elaborar informe de un monitoreo rápido de coberturas realizados por los 29 municipios, conforme a lo establecido en los lineamientos del MSPS."/>
    <s v="Procesos transversales de la Gestion de la Salud Pública"/>
    <n v="1"/>
    <s v="Porcentaje"/>
    <n v="0"/>
    <n v="0"/>
    <e v="#DIV/0!"/>
    <n v="0.25"/>
    <n v="1"/>
    <n v="400"/>
    <n v="0.25"/>
    <m/>
    <n v="0"/>
    <n v="0.25"/>
    <m/>
    <n v="0"/>
    <n v="1"/>
    <n v="1"/>
    <n v="400"/>
  </r>
  <r>
    <n v="101"/>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asistencias tècnicas y seguimientos, para la implementación y fortalecimiento deI Programa Ampliado de Inmunizaciones en todos sus componentes en las IPS/ESE ,IPS de atención al recien nacidos y EAPB de los 29 municipios."/>
    <s v="Procesos transversales de la Gestion de la Salud Pública"/>
    <n v="29"/>
    <s v="Número"/>
    <n v="5"/>
    <n v="7"/>
    <n v="140"/>
    <n v="5"/>
    <n v="22"/>
    <n v="440.00000000000006"/>
    <n v="9"/>
    <m/>
    <n v="0"/>
    <n v="10"/>
    <m/>
    <n v="0"/>
    <n v="29"/>
    <n v="29"/>
    <n v="290"/>
  </r>
  <r>
    <n v="102"/>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Desarrollo de mecanismos para el fortalecimiento de la conducción y articulación sectorial e intersectorial, la regulación, la conformación y operación de redes integrales e integradas territoriales de servicios de salud y la rendición de cuentas conforme"/>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Articular las acciones con el equipo de vigilancia en salud pública, así como participar en las salas de análisis de riesgo, comités de vigilancia epidemiológica, equipos de respuesta inmediata, sala situacional, unidad de analisis ESAVI, comite de expert"/>
    <s v="Procesos transversales de la Gestion de la Salud Pública"/>
    <n v="4"/>
    <s v="Número"/>
    <n v="1"/>
    <n v="1"/>
    <n v="100"/>
    <n v="1"/>
    <n v="1"/>
    <n v="100"/>
    <n v="1"/>
    <m/>
    <n v="0"/>
    <n v="1"/>
    <m/>
    <n v="0"/>
    <n v="4"/>
    <n v="2"/>
    <n v="100"/>
  </r>
  <r>
    <n v="103"/>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Diseño e implementación de estrategias para la transversafización de los enfoques diferencial, de género y diversidad, curso de vida, salud familiar y comunitaria y_x000a_  psicosocial para pueblos y comunidad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17-Al 2031, Colombia mantendrá la implementación de los planes orientados a la erradicación de poliomielitis, eliminación de Sarampión y Rubeola, control y eliminación de eventos inmunoprevenibles, Síndrome de Rubeola Congénita, Tétanos Neonatal, Fiebre A"/>
    <s v="17-Al 2031, Colombia mantendrá la implementación de los planes orientados a la erradicación de poliomielitis, eliminación de Sarampión y Rubeola, control y eliminación de eventos inmunoprevenibles, Síndrome de Rubeola Congénita, Tétanos Neonatal, Fiebre A"/>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Programar y gerenciar las estrategias del programa ampliado de inmunizaciones PAI del Departamento (Informes ejecutivos del programa, jornadas de vacunación ESQUEMA REGULAR a las que haya lugar grarantizando el control de los bilógicos e insumos, sistema "/>
    <s v="Procesos transversales de la Gestion de la Salud Pública"/>
    <n v="4"/>
    <s v="Porcentaje"/>
    <n v="1"/>
    <n v="1"/>
    <n v="100"/>
    <n v="1"/>
    <n v="1"/>
    <n v="100"/>
    <n v="1"/>
    <m/>
    <n v="0"/>
    <n v="1"/>
    <m/>
    <n v="0"/>
    <n v="4"/>
    <n v="2"/>
    <n v="100"/>
  </r>
  <r>
    <n v="104"/>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Entidades Territoriales Departamentales, Distritales y Municipales con mecanismos fortalecidos para el ejercicio de la Rectoría en Salud."/>
    <s v="Fortalecimiento de capacidades institucionales y comunitarias para el desarrollo de la APS con acciones territoizalizadas universales sistematica participativas bajo un enfoque territorial y comunitario."/>
    <s v="Fortalecimiento de capacidades institucionales y comunitarias para el desarrollo de la APS con acciones territoizalizadas universales sistematica participativas bajo un enfoque territorial y comunitario."/>
    <s v="Fortalecimiento de capacidades institucionales y comunitarias para el desarrollo de la APS con acciones territoizalizadas universales sistematica participativas bajo un enfoque territorial y comunitario."/>
    <s v="93-A 2031, se logra el 90% de tratamiento exitoso en pacientes con tuberculosis"/>
    <s v="93-A 2031, se logra el 90% de tratamiento exitoso en pacientes con tuberculosis"/>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Cuidado de la salud en el territorio"/>
    <s v="Educacion en salud a los pacientes privados de la libertad (carceles y estacion de policia) sobre Identificación de signos y síntomas de tuberculosis.Realizar busqueda activa de sintomaticos respiratorios y su canalizacion respectiva para diagnostico opor"/>
    <s v="PIC(Anexo técnico)"/>
    <n v="29"/>
    <s v="Número"/>
    <n v="0"/>
    <n v="0"/>
    <e v="#DIV/0!"/>
    <n v="10"/>
    <n v="1"/>
    <n v="10"/>
    <n v="10"/>
    <m/>
    <n v="0"/>
    <n v="9"/>
    <m/>
    <n v="0"/>
    <n v="29"/>
    <n v="1"/>
    <n v="10"/>
  </r>
  <r>
    <n v="105"/>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con mecanismos fortalecidos para el ejercicio de la Rectoría en Salud."/>
    <s v="Análisis de la información que permita la comprensión de las situaciones de salud de la poblacion y sus determinantes sociales a nivel territorial"/>
    <s v="A 2031 el 100% de las entidades territoriales del orden departamental , distrital y municipal han desarrollado procesos de ajuste institucional para el fortalecimiento de las capacidades de las autoridades sanitarias y apropiacion territorial del modelo d"/>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ublica"/>
    <s v="Mè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Desarrollo institucional y sectorial para el ejercicio de la autoridad sanitaria"/>
    <s v="Desarrollo de capacidades al Talento Humano del SGSSS en tuberculosis en los temas de gestión, diagnostico, sistema de información, análisis y seguimiento de indicadores y prevención y manejo de la coinfeccion TB/VIH y manejo programático de TB-MDR y soci"/>
    <s v="Procesos transversales de la Gestion de la Salud Pública"/>
    <n v="1"/>
    <s v="Número"/>
    <n v="0"/>
    <n v="0"/>
    <e v="#DIV/0!"/>
    <n v="0"/>
    <n v="0"/>
    <e v="#DIV/0!"/>
    <n v="1"/>
    <m/>
    <n v="0"/>
    <n v="0"/>
    <m/>
    <e v="#DIV/0!"/>
    <n v="1"/>
    <n v="0"/>
    <e v="#DIV/0!"/>
  </r>
  <r>
    <n v="106"/>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ública"/>
    <s v="Mé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Cuidado de la salud en el territorio  "/>
    <s v="Educación en salud de TB para la promoción y la gestión del riesgo y la transformación positiva de los diferentes entornos (hogar, comunitario) de los pacientes, ex-pacientes, sus familias"/>
    <s v="PIC(Anexo técnico)"/>
    <n v="29"/>
    <s v="Número"/>
    <n v="0"/>
    <n v="0"/>
    <e v="#DIV/0!"/>
    <n v="11"/>
    <n v="0"/>
    <n v="0"/>
    <n v="10"/>
    <m/>
    <n v="0"/>
    <n v="8"/>
    <m/>
    <n v="0"/>
    <n v="29"/>
    <n v="0"/>
    <n v="0"/>
  </r>
  <r>
    <n v="107"/>
    <s v="Inadecuada e insuficiente infraestructura hospitalaria y débil institucionalidad para la prestación del servicio de salud que se evidencian en el incumplimiento de la aplicación de las guías clínicas de atención, la inoportunidad del servicio y baja imple"/>
    <s v="Personal de salud"/>
    <s v="iii) Trabajo digno y decente para el talento humano en salud y otros trabajadores del sector"/>
    <s v="Entidades Territoriales Departamentales, Distritales y Municipales con mecanismos fortalecidos para el ejercicio de la Rectoría en Salud."/>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4-A 2031, se logra reducir el 50% la tasa de mortalidad por 100mil habitantes, causada por la tuberculosis en Colombia."/>
    <s v="94-A 2031, se logra reducir el 50% la tasa de mortalidad por 100mil habitantes, causada por la tuberculosis en Colombia."/>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Desarrollo institucional y sectorial para el ejercicio de la autoridad sanitaria"/>
    <s v="Realizar un plan de asistencia tecnica a los diferentes actores del sistema de los 29 Municipios en el programa de tuberculosis y Apoyar la adopcion del Plan Estrategico post 2015 facia el fin el la Tuberculosis. PLAN ESTRATEGICO 2025"/>
    <s v="Procesos transversales de la Gestion de la Salud Pública"/>
    <n v="29"/>
    <s v="Número"/>
    <n v="0"/>
    <n v="0"/>
    <e v="#DIV/0!"/>
    <n v="10"/>
    <n v="10"/>
    <n v="100"/>
    <n v="10"/>
    <m/>
    <n v="0"/>
    <n v="9"/>
    <m/>
    <n v="0"/>
    <n v="29"/>
    <n v="10"/>
    <n v="100"/>
  </r>
  <r>
    <n v="108"/>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Capacidades fortalecidas para la gestión del conocimiento en salud pública"/>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 distrital y municipal han desarrollado procesos de ajuste institucional para el fortalecimiento de las capacidades de las autoridades sanitarias y apropiacion territorial del modelo d"/>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Desarrollo institucional y sectorial para el ejercicio de la autoridad sanitaria"/>
    <s v="Realizar investigacion operativa de acuerdo a lineamiento de la red de investigacion nacional en tuberculosis resolucion 227 de 2020."/>
    <s v="Procesos transversales de la Gestion de la Salud Pública"/>
    <n v="1"/>
    <s v="Número"/>
    <n v="0"/>
    <n v="0"/>
    <e v="#DIV/0!"/>
    <n v="0"/>
    <n v="0"/>
    <e v="#DIV/0!"/>
    <n v="1"/>
    <m/>
    <n v="0"/>
    <n v="0"/>
    <m/>
    <e v="#DIV/0!"/>
    <n v="1"/>
    <n v="0"/>
    <e v="#DIV/0!"/>
  </r>
  <r>
    <n v="109"/>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
    <s v="Fomentar la inversión en investigación, desarrollo innovaciòn y produccion local de TES"/>
    <s v="A 2031 el 100% de las entidades territoriales del orden departamental , distrital y municipal  han  desarrollado procesos de ajuste institucional para el fortalecimiento de las capacidades de las autoridades sanitarias y apropiacion territorial del modelo"/>
    <s v="A 2027 el 100% de las entidades territoriales del orden departamental, municipal  han  desarrollado procesos de ajuste institucional para el fortalecimiento de las capacidades de las autoridades sanitarias y apropiacion territorial del modelo de salud bas"/>
    <s v="94-A 2031, se logra reducir el 50% la tasa de mortalidad por 100mil habitantes, causada por la tuberculosis en Colombia."/>
    <s v="94-A 2031, se logra reducir el 50% la tasa de mortalidad por 100mil habitantes, causada por la tuberculosis en Colombia."/>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s v="Desarrollo institucional y sectorial para el ejercicio de la autoridad sanitaria"/>
    <s v="Adquisicion de insumos de laboratorios para apoyo de la red "/>
    <s v="Procesos transversales de la Gestion de la Salud Pública"/>
    <n v="1"/>
    <s v="Número"/>
    <n v="0"/>
    <n v="0"/>
    <e v="#DIV/0!"/>
    <n v="0"/>
    <n v="0"/>
    <e v="#DIV/0!"/>
    <n v="1"/>
    <m/>
    <n v="0"/>
    <n v="0"/>
    <m/>
    <e v="#DIV/0!"/>
    <n v="1"/>
    <n v="0"/>
    <e v="#DIV/0!"/>
  </r>
  <r>
    <n v="110"/>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Capacidades fortalecidas para la gestión del conocimiento en salud pública"/>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 distrital y municipal han desarrollado procesos de ajuste institucional para el fortalecimiento de las capacidades de las autoridades sanitarias y apropiacion territorial del modelo d"/>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Desarrollo institucional y sectorial para el ejercicio de la autoridad sanitaria"/>
    <s v="Realizar investigacion operativa de acuerdo a lineamiento de la red de investigacion nacional en tuberculosis resolucion 227 de 2020."/>
    <s v="Procesos transversales de la Gestion de la Salud Pública"/>
    <n v="1"/>
    <s v="Número"/>
    <n v="0"/>
    <n v="0"/>
    <e v="#DIV/0!"/>
    <n v="0"/>
    <m/>
    <e v="#DIV/0!"/>
    <n v="1"/>
    <m/>
    <n v="0"/>
    <n v="0"/>
    <m/>
    <e v="#DIV/0!"/>
    <n v="1"/>
    <n v="0"/>
    <e v="#DIV/0!"/>
  </r>
  <r>
    <n v="111"/>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Entidades Territoriales Departamentales, Distritales y Municipales con mecanismos fortalecidos para el ejercicio de la Rectoría en Salud."/>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d"/>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Cuidado de la salud en el territorio"/>
    <s v="Fortalecer acciones de protección en infancia: rastreo de contactos en niños expuestos a casos de TB bacilífera para asegurar profilaxis según lineamiento nacional, educación a familias de los niños intervenidos en ESE municipales – EPS"/>
    <s v="PIC(Anexo técnico)"/>
    <n v="29"/>
    <s v="Número"/>
    <n v="0"/>
    <n v="0"/>
    <e v="#DIV/0!"/>
    <n v="10"/>
    <n v="0"/>
    <n v="0"/>
    <n v="10"/>
    <m/>
    <n v="0"/>
    <n v="9"/>
    <m/>
    <n v="0"/>
    <n v="29"/>
    <n v="0"/>
    <n v="0"/>
  </r>
  <r>
    <n v="112"/>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Fortalecimiento de capacidades institucionales y comunitarias para el desarrollo de la APS con acciones territorializadas, universales, sistemáticas, permanentes y participativas bajo un enfoque familiar y comunitario."/>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A 2031, reducir en 50% la tasa de mortalidad por EDA en menores de 5 años"/>
    <s v="9-A 2031, reducir en 50% la tasa de mortalidad por EDA en menores de 5 años"/>
    <s v="Salud Pública"/>
    <s v="Medico en tu casa"/>
    <s v="Fortalecimiento de Estrategias para la Promoción de la Salud y Prevención de Enfermedades en Comunidades, mediante acciones Integrales, Participativas y Sostenibles en el Departamento del Magdalena."/>
    <s v="Realizar seguimiento a la implementación del programa nacional de prevención, manejo y control de IRA en las 33 ESE del departamento"/>
    <s v="Cuidado de la salud en el territorio"/>
    <s v="Desarrollar un proceso de fortalecimiento de capacidades dirigido a líderes comunitarios, representantes de instituciones educativas, madres y líderes de hogares del ICBF de los ámbitos urbano y rural de los municipios. Este proceso se llevará a cabo en l"/>
    <s v="PIC(Anexo técnico)"/>
    <n v="29"/>
    <s v="Número"/>
    <n v="0"/>
    <n v="0"/>
    <e v="#DIV/0!"/>
    <n v="9"/>
    <m/>
    <n v="0"/>
    <n v="10"/>
    <m/>
    <n v="0"/>
    <n v="10"/>
    <m/>
    <n v="0"/>
    <n v="29"/>
    <n v="0"/>
    <e v="#DIV/0!"/>
  </r>
  <r>
    <n v="113"/>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Gestión territorial para el cuidado de la salud basado en la atención primaria en salud."/>
    <s v="A 2031 el 100% de las Entidades Territoriales del orden departamental, dlstrl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7-A 2031 departamentos y distritos con población en riesgo, logran alcanzar y mantener las coberturas anuales de desparasitación antihelmíntica iguales o superiores al 75%, en niños elegibles en edad preescolar y escolar."/>
    <s v="77-A 2031 departamentos y distritos con población en riesgo, logran alcanzar y mantener las coberturas anuales de desparasitación antihelmíntica iguales o superiores al 75%, en niños elegibles en edad preescolar y escolar."/>
    <s v="Salud Pública"/>
    <s v="Me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Realizar jornadas de desparasitación antihelmíntica, acompañadas de actividades de educación en salud en los entornos comunitario y escolar, dirigidas a niñas, niños y adolescentes de 1 a 14 años. Estas acciones estarán enfocadas en sensibilizar sobre la "/>
    <s v="PIC(Anexo técnico)"/>
    <n v="58"/>
    <s v="Número"/>
    <n v="0"/>
    <n v="0"/>
    <e v="#DIV/0!"/>
    <n v="29"/>
    <n v="0"/>
    <n v="0"/>
    <n v="29"/>
    <m/>
    <n v="0"/>
    <n v="29"/>
    <m/>
    <n v="0"/>
    <n v="58"/>
    <n v="0"/>
    <n v="0"/>
  </r>
  <r>
    <n v="114"/>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Agentes del sistema de salud que garantizan el acceso de la población con criterios de longitudinalidad, continuidad, puerta de entrada, enfoques familiar y comunitario con acciones, universales, sistemáticas, permanentes y participativas bajo un enfoque "/>
    <s v="Gestión territorial para el cuidado de la salud basado_x000a_en la atención primaria en salud."/>
    <s v="A 2031 el 100% de las Entidades Territoriales del orden departamental, dlstrl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7-A 2031 departamentos y distritos con población en riesgo, logran alcanzar y mantener las coberturas anuales de desparasitación antihelmíntica iguales o superiores al 75%, en niños elegibles en edad preescolar y escolar."/>
    <s v="77-A 2031 departamentos y distritos con población en riesgo, logran alcanzar y mantener las coberturas anuales de desparasitación antihelmíntica iguales o superiores al 75%, en niños elegibles en edad preescolar y escolar."/>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Realizar jornadas de desparasitación antihelmíntica, acompañado de Educacion en salud en la población etnica (indígena) en todos los entornos, a niños(as) y adolescentes de 1 a 14 años, sobre la importancia de la desparasitación antihelmíntica en los muni"/>
    <s v="PIC(Anexo técnico)"/>
    <n v="4"/>
    <s v="Número"/>
    <n v="0"/>
    <n v="0"/>
    <n v="0"/>
    <m/>
    <m/>
    <e v="#DIV/0!"/>
    <n v="1"/>
    <m/>
    <n v="0"/>
    <m/>
    <m/>
    <e v="#DIV/0!"/>
    <n v="4"/>
    <n v="0"/>
    <e v="#DIV/0!"/>
  </r>
  <r>
    <n v="115"/>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Capacidades fortalecidas para la gestión del conocimiento en salud pública"/>
    <s v="Fortalecimiento de capacidades a nivel nacional y territorial_x000a_para la vigilancia en salud pública, el fortalecimiento de los_x000a_laboratorios de salud pública, la inspección, vigilancia y control_x000a_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14-A 2031, disminuir 20% la prevalencia por retraso en talla en menores de 5 años."/>
    <s v="14-A 2031, disminuir 20% la prevalencia por retraso en talla en menores de 5 añ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Desarrollar un fortalecimiento de capacidades certificado para la adecuada aplicación de la Escala Abreviada de Desarrollo-3 (EAD-3), cuestionarios e instrumentos de la Ruta para la Promocion y Mantenimiento de la salud mediante una actividad de entrenami"/>
    <s v="Procesos transversales de la Gestion de la Salud Pública"/>
    <n v="1"/>
    <s v="Número"/>
    <n v="0"/>
    <n v="0"/>
    <e v="#DIV/0!"/>
    <n v="0"/>
    <m/>
    <e v="#DIV/0!"/>
    <n v="1"/>
    <m/>
    <n v="0"/>
    <n v="0"/>
    <m/>
    <e v="#DIV/0!"/>
    <n v="1"/>
    <n v="0"/>
    <e v="#DIV/0!"/>
  </r>
  <r>
    <n v="116"/>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Capacidades fortalecidas para la gestión del conocimiento en salud pública"/>
    <s v="Implementación de mecanismos para l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A 2031, reducir a 15,3 por mil nacidos vivos la tasa de mortalidad infantil"/>
    <s v="5-A 2031, reducir a 15,3 por mil nacidos vivos la tasa de mortalidad infantil"/>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Desarrollo de un taller teórico práctico en AIEPI clinico, dirigido al Talento Humano en Salud de las ESE e IPS de los 29 municipios del Departamento del Magdalena."/>
    <s v="Procesos transversales de la Gestion de la Salud Pública"/>
    <n v="1"/>
    <s v="Número"/>
    <m/>
    <m/>
    <e v="#DIV/0!"/>
    <n v="0"/>
    <m/>
    <e v="#DIV/0!"/>
    <n v="1"/>
    <m/>
    <n v="0"/>
    <n v="0"/>
    <m/>
    <e v="#DIV/0!"/>
    <n v="1"/>
    <n v="0"/>
    <n v="0"/>
  </r>
  <r>
    <n v="11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coordinación y gestión de la operación de las redes integrales e integradas territoriales de salud en el marco de un modelo preventivo, predictivo y resolutivo basado en la AP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7-A 2031 departamentos y distritos con población en riesgo, logran alcanzar y mantener las coberturas anuales de desparasitación antihelmíntica iguales o superiores al 75%, en niños elegibles en edad preescolar y escolar."/>
    <s v="77-A 2031 departamentos y distritos con población en riesgo, logran alcanzar y mantener las coberturas anuales de desparasitación antihelmíntica iguales o superiores al 75%, en niños elegibles en edad preescolar y escolar."/>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asistencia tecnica en la estrategia de desparasitacion antihelmintica (Lineamientos desparasitacion antihelmintica quimioterapia preventiva), en los 29 Municipios"/>
    <s v="Procesos transversales de la Gestion de la Salud Pública"/>
    <n v="4"/>
    <s v="Número"/>
    <n v="0"/>
    <n v="0"/>
    <e v="#DIV/0!"/>
    <n v="1"/>
    <m/>
    <n v="0"/>
    <n v="1"/>
    <m/>
    <n v="0"/>
    <n v="2"/>
    <m/>
    <n v="0"/>
    <n v="4"/>
    <n v="0"/>
    <e v="#DIV/0!"/>
  </r>
  <r>
    <n v="118"/>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Capacidades fortalecidas para la gestión del conocimiento en salud pública  "/>
    <s v="coordinación y gestión de la operación de las redes integrales e integradas territoriales de salud en el marco de un modelo preventivo, predictivo y resolutivo basado en la APS. "/>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2-A 2031, reducir a 13,5 por cada 1.000 nacidos vivos la tasa de mortalidad perinatal"/>
    <s v="2-A 2031, reducir a 13,5 por cada 1.000 nacidos vivos la tasa de mortalidad perinatal"/>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
    <s v="Desarrollo institucional y sectorial para el ejercicio de la autoridad sanitaria "/>
    <s v="Desarrollo de capacidades teórico práctico al Talento Humano en Salud de las ESE e IPS de los 29 mumicipios del Departamento del Magdalena en Reanimación Neonatal Básica-Programa de Resucitación Neonatal (PRN)."/>
    <s v="Procesos transversales de la Gestion de la Salud Pública"/>
    <n v="1"/>
    <s v="Número"/>
    <n v="0"/>
    <n v="0"/>
    <e v="#DIV/0!"/>
    <n v="0"/>
    <m/>
    <e v="#DIV/0!"/>
    <n v="1"/>
    <m/>
    <n v="0"/>
    <n v="0"/>
    <m/>
    <e v="#DIV/0!"/>
    <n v="1"/>
    <n v="0"/>
    <e v="#DIV/0!"/>
  </r>
  <r>
    <n v="119"/>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Gestión territorial para el cuidado de la salud basado en la atención primaria en salud."/>
    <s v="A 2031 el 100% de las Entidades Territoriales del orden departamental, dlstrl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 No relación"/>
    <s v="Salud Pública"/>
    <s v="Me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Educacion en salud a familias en el uso adecuado de antimicrobianos y el correcto lavado de manos"/>
    <s v="PIC(Anexo técnico)"/>
    <n v="29"/>
    <s v="Número"/>
    <n v="0"/>
    <n v="0"/>
    <e v="#DIV/0!"/>
    <n v="10"/>
    <m/>
    <n v="0"/>
    <n v="10"/>
    <m/>
    <n v="0"/>
    <n v="9"/>
    <m/>
    <n v="0"/>
    <n v="29"/>
    <n v="0"/>
    <e v="#DIV/0!"/>
  </r>
  <r>
    <n v="120"/>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d"/>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e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Busqueda activa permanente mediante la Revisión Clinica de los convivientes de pacientes y expacientes de hansen, para la detecciön temprana, canalizacion a la IPS para diagnostico precoz, notificacion , registro y seguimiento, en el ambito urban"/>
    <s v="PIC(Anexo técnico)"/>
    <n v="29"/>
    <s v="Número"/>
    <n v="0"/>
    <n v="0"/>
    <e v="#DIV/0!"/>
    <n v="10"/>
    <m/>
    <n v="0"/>
    <n v="10"/>
    <m/>
    <n v="0"/>
    <n v="9"/>
    <m/>
    <n v="0"/>
    <n v="29"/>
    <n v="0"/>
    <e v="#DIV/0!"/>
  </r>
  <r>
    <n v="121"/>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d"/>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e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Apoyar el encuentro municipal de pacientes y expacientes de Enfermedad de Hansen para actividades eduactivas, de prevención y rehabilitacion basada en comunidad en los 29 municipios del departamento del Magdalena. (En los municipios donde no hay pacientes"/>
    <s v="PIC(Anexo técnico)"/>
    <n v="29"/>
    <s v="Número"/>
    <n v="0"/>
    <n v="0"/>
    <e v="#DIV/0!"/>
    <n v="0"/>
    <m/>
    <e v="#DIV/0!"/>
    <n v="0"/>
    <m/>
    <e v="#DIV/0!"/>
    <n v="29"/>
    <m/>
    <n v="0"/>
    <n v="29"/>
    <n v="0"/>
    <e v="#DIV/0!"/>
  </r>
  <r>
    <n v="122"/>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d"/>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e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Apoyar el encuentro municipal de pacientes y expacientes de Enfermedad de Hansen para actividades eduactivas, de prevención y rehabilitacion basada en comunidad en los 29 municipios del departamento del Magdalena. (En los municipios donde no hay pacientes"/>
    <s v="PIC(Anexo técnico)"/>
    <n v="29"/>
    <s v="Número"/>
    <n v="0"/>
    <n v="0"/>
    <e v="#DIV/0!"/>
    <n v="0"/>
    <m/>
    <e v="#DIV/0!"/>
    <n v="0"/>
    <m/>
    <e v="#DIV/0!"/>
    <n v="29"/>
    <m/>
    <n v="0"/>
    <n v="29"/>
    <n v="0"/>
    <e v="#DIV/0!"/>
  </r>
  <r>
    <n v="123"/>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con mecanismos fortalecidos para el ejercicio de la Rectoría en Salud."/>
    <s v="Análisis de la información que permita la comprensión de las situaciones de salud de la poblacion y sus determinantes sociales a nivel territorial"/>
    <s v="A 2031 el 100% de las entidades territoriales del orden departamental , distrital y municipal han desarrollado procesos de ajuste institucional para el fortalecimiento de las capacidades de las autoridades sanitarias y apropiacion territorial del modelo d"/>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è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
    <s v="Desarrollo institucional y sectorial para el ejercicio de la autoridad sanitaria"/>
    <s v="Desarrollar capacidades en el entorno institucional al talento humano de la DTS en temas como: gestión, Dx, sistema de información, analisis y seguimiento de indicadores en la prevencion y control de la enfermedad de hansen"/>
    <s v="Procesos transversales de la Gestion de la Salud Pública"/>
    <n v="1"/>
    <s v="Número"/>
    <n v="0"/>
    <n v="0"/>
    <e v="#DIV/0!"/>
    <n v="0"/>
    <m/>
    <e v="#DIV/0!"/>
    <n v="0"/>
    <m/>
    <e v="#DIV/0!"/>
    <n v="1"/>
    <m/>
    <n v="0"/>
    <n v="1"/>
    <n v="0"/>
    <e v="#DIV/0!"/>
  </r>
  <r>
    <n v="124"/>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con mecanismos fortalecidos para el ejercicio de la Rectoría en Salud."/>
    <s v="Análisis de la información que permita la comprensión de las situaciones de salud de la poblacion y sus determinantes sociales a nivel territorial"/>
    <s v="A 2031 el 100% de las entidades territoriales del orden departamental , distrital y municipal han desarrollado procesos de ajuste institucional para el fortalecimiento de las capacidades de las autoridades sanitarias y apropiacion territorial del modelo d"/>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è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
    <s v="Desarrollo institucional y sectorial para el ejercicio de la autoridad sanitaria"/>
    <s v="Desarrollar capacidades en el entorno institucional al talento humano de la DTS en temas como: gestión, Dx, sistema de información, analisis y seguimiento de indicadores en la prevencion y control de la enfermedad de hansen"/>
    <s v="Procesos transversales de la Gestion de la Salud Pública"/>
    <n v="1"/>
    <s v="Número"/>
    <n v="0"/>
    <n v="0"/>
    <e v="#DIV/0!"/>
    <n v="0"/>
    <m/>
    <e v="#DIV/0!"/>
    <n v="0"/>
    <m/>
    <e v="#DIV/0!"/>
    <n v="1"/>
    <m/>
    <n v="0"/>
    <n v="1"/>
    <n v="0"/>
    <e v="#DIV/0!"/>
  </r>
  <r>
    <n v="125"/>
    <s v="Inadecuada e insuficiente infraestructura hospitalaria y débil institucionalidad para la prestación del servicio de salud que se evidencian en el incumplimiento de la aplicación de las guías clínicas de atención, la inoportunidad del servicio y baja imple"/>
    <s v="Personal de salud"/>
    <s v="iii) Trabajo digno y decente para el talento humano en salud y otros trabajadores del sector"/>
    <s v="Entidades Territoriales Departamentales, Distritales y Municipales con mecanismos fortalecidos para el ejercicio de la Rectoría en Salud."/>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distrital y municipal desarrollan mecanismos para el fortalecimiento de la rectoría en salud en su territorio, conforme a las competencias establecidas.  "/>
    <s v="A 2027 el 100% de las Entidades Territoriales del orden municipal desarrollan mecanismos para el fortalecimiento de la rectoría en salud en su territorio, conforme a las competencias establecidas.  "/>
    <s v="82-A 2031, se logra disminuir en un 50% la tasa de discapacidad grado severo en las personas con diagnóstico nuevo de lepra."/>
    <s v="82-A 2031, se logra disminuir en un 50% la tasa de discapacidad grado severo en las personas con diagnóstico nuevo de lepra."/>
    <s v="Salud Pública"/>
    <s v="Médico en tu casa"/>
    <s v="Fortalecimiento de Estrategias para la Promoción de la Salud y Prevención de Enfermedades en Comunidades, mediante acciones Integrales, Participativas y Sostenibles en el Departamento del Magdalena."/>
    <s v="Evitar que la tasa de la de incidencia de la enfermedad de hansen este por encima del 1,39%."/>
    <s v="Desarrollo institucional y sectorial para el ejercicio de la autoridad sanitaria"/>
    <s v="Realizar un plan de  asistencia tecnica a los diferentes actores del entorno institucional de los 29 Municipios en el programa de lepra y Apoyar la formulacion del plan Magdalena libre de Hansen"/>
    <s v="Procesos transversales de la Gestion de la Salud Pública"/>
    <n v="100"/>
    <s v="Porcentaje"/>
    <n v="25"/>
    <n v="0"/>
    <n v="0"/>
    <n v="25"/>
    <n v="0"/>
    <n v="0"/>
    <n v="25"/>
    <m/>
    <n v="0"/>
    <n v="25"/>
    <m/>
    <n v="0"/>
    <n v="100"/>
    <n v="0"/>
    <n v="0"/>
  </r>
  <r>
    <n v="126"/>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Entidades Territoriales Departamentales, Distritales y Municipales fortalecidas como autoridad sanitaria local para la Gobernanza en Salud Pública.  "/>
    <s v="Gestio territorial para el cuidado de la salud basado en la atencion primaria en salud."/>
    <s v="Evitar que la tasa de incidencia de la enfermedad de hansen este por encima del 1,39%."/>
    <s v="Evitar que la tasa de incidencia de la enfermedad de hansen este por encima del 1,39%."/>
    <s v="Evitar que la tasa de incidencia de la enfermedad de hansen este por encima del 1,39%."/>
    <s v="Evitar que la tasa de incidencia de la enfermedad de hansen este por encima del 1,39%."/>
    <s v="Salud Pública"/>
    <s v="Médico en tu casa"/>
    <s v="Fortalecimiento de Estrategias para la Promoción de la Salud y Prevención de Enfermedades en Comunidades, mediante acciones Integrales, Participativas y Sostenibles en el Departamento del Magdalena."/>
    <s v="Evitar que la tasa de la de incidencia de la enfermedad de hansen este por encima del 1,39%."/>
    <s v="Cuidado de la salud en el territorio  "/>
    <s v="educacion en salud en el entorno educativo de los ambitos rural y urbano de los territorios priorizados dirigido a jovener de 9,10 y 11 en deteccion y prevencion de la enfermedad, prevencion del estigma y discriminacion de hansen de los 29 municipios del "/>
    <s v="PIC(Anexo técnico)"/>
    <n v="29"/>
    <s v="Número"/>
    <n v="0"/>
    <n v="0"/>
    <e v="#DIV/0!"/>
    <n v="10"/>
    <m/>
    <n v="0"/>
    <n v="10"/>
    <m/>
    <n v="0"/>
    <n v="9"/>
    <m/>
    <n v="0"/>
    <n v="29"/>
    <n v="0"/>
    <e v="#DIV/0!"/>
  </r>
  <r>
    <n v="127"/>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Garantizar los mecanismos para salvaguardar el conocimiento relacionado con las formas, experiencias, prácticas y acciones en salud de las personas y colectivos, con el fin de fortalecer la transmisión intergeneracion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82-A 2031, se logra disminuir en un 50% la tasa de discapacidad grado severo en las personas con diagnóstico nuevo de lepra."/>
    <s v="82-A 2031, se logra disminuir en un 50% la tasa de discapacidad grado severo en las personas con diagnóstico nuevo de lepr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
    <s v="Acuerdos sociales y comunitarios para la transformación de las inequidades en salud y la incidencia sobre los DSS en el territorio "/>
    <s v="realizar seguimiento del plan de acción de la RED de RBC para la implementación de la estrategia RBC (rehabilitación basada en comunidad), como un proceso de desarrollo local inclusivo de caracter intersectorial de las personas con discapacidad y sus cuid"/>
    <s v="Procesos transversales de la Gestion de la Salud Pública"/>
    <n v="29"/>
    <s v="Número"/>
    <n v="0"/>
    <n v="0"/>
    <e v="#DIV/0!"/>
    <n v="10"/>
    <m/>
    <n v="0"/>
    <n v="10"/>
    <m/>
    <n v="0"/>
    <n v="9"/>
    <m/>
    <n v="0"/>
    <n v="29"/>
    <n v="0"/>
    <e v="#DIV/0!"/>
  </r>
  <r>
    <n v="128"/>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fortalecidas como autoridad sanitaria local para la Gobernanza en Salud Pública.  "/>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ertificar a 4.600 personas con discapacidad en el departamento"/>
    <s v="Desarrollo institucional y sectorial para el ejercicio de la autoridad sanitaria  "/>
    <s v="Desarrollo de capacidades para preescripción de ayudas tecnicas para bancos municipales (SSM) de las personas con discapacidad en el departamento del Magdalena "/>
    <s v="Procesos transversales de la Gestion de la Salud Pública"/>
    <n v="1"/>
    <s v="Número"/>
    <n v="0"/>
    <n v="0"/>
    <e v="#DIV/0!"/>
    <n v="0"/>
    <m/>
    <e v="#DIV/0!"/>
    <n v="1"/>
    <m/>
    <n v="0"/>
    <n v="0"/>
    <m/>
    <e v="#DIV/0!"/>
    <n v="1"/>
    <n v="0"/>
    <e v="#DIV/0!"/>
  </r>
  <r>
    <n v="129"/>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Desarrollo y fortalecimiento de capacidades para la_x000a_planeación integral en salud y la gestión territorial en el marco_x000a_del Modelo de Salud preventivo, predictivo y resolutivo basado_x000a_en Atención Primaria en Salud - APS"/>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
    <s v="Desarrollo institucional y sectorial para el ejercicio de la autoridad sanitaria  "/>
    <s v="Mesa de articulación intersectorial para la prestación de servicios en salud de la población con discapacidad y trastornos mentales "/>
    <s v="Procesos transversales de la Gestion de la Salud Pública"/>
    <n v="1"/>
    <s v="Número"/>
    <n v="0"/>
    <n v="0"/>
    <n v="0"/>
    <n v="0"/>
    <m/>
    <e v="#DIV/0!"/>
    <n v="0"/>
    <m/>
    <e v="#DIV/0!"/>
    <n v="1"/>
    <m/>
    <n v="0"/>
    <n v="1"/>
    <n v="0"/>
    <e v="#DIV/0!"/>
  </r>
  <r>
    <n v="130"/>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fortalecidas como autoridad sanitaria local para la Gobernanza en Salud Pública.  "/>
    <s v="Establecimiento de mecanismos de participación basada en_x000a_atención primaria en salud — APS para la gobernanza propia_x000a_en salud de los pueblos y comunidades. "/>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ertificar a 2.200 personas con discapacidad en el departamento"/>
    <s v="Desarrollo institucional y sectorial para el ejercicio de la autoridad sanitaria  "/>
    <s v="Desarrollo de capacidad en valoraciones de apoyo -certificado (SSM, personeria, comesaria de familia) y fortalecimiento de la atención diferencial en salud ((SSM, personeria, comesaria de familia, IPS y EPS)para las personas con discapacidad "/>
    <s v="Procesos transversales de la Gestion de la Salud Pública"/>
    <n v="1"/>
    <s v="Número"/>
    <n v="0"/>
    <n v="0"/>
    <e v="#DIV/0!"/>
    <n v="1"/>
    <m/>
    <n v="0"/>
    <n v="0"/>
    <m/>
    <e v="#DIV/0!"/>
    <n v="0"/>
    <m/>
    <e v="#DIV/0!"/>
    <n v="1"/>
    <n v="0"/>
    <e v="#DIV/0!"/>
  </r>
  <r>
    <n v="131"/>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
    <s v="Promoción de capacidades y mecanismos para la gobernanza en salud pública y la incidencia sobre los determinantes sociales de la salud desde las diferentes instancias intersectoriales del orden nacional y territorial."/>
    <s v=" 2031 el 100% de las Entidades Territoriales del orden departamental, distrital y municipal desarrollan mecanismos para el fortalecimiento de la rectoría en salud en su territorio, conforme a las competencias establecidas&quot;"/>
    <s v="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ertificar a  2.200 personas con discapacidad en el departamento"/>
    <s v="Desarrollo institucional y sectorial para el ejercicio de la autoridad sanitaria "/>
    <s v="Asistencia tecnica y acompañamiento sobre el componente de discapacidad  (Rehabilitación basada en la comunidad (RBC) - certificación de discapacidad y RLCPD  "/>
    <s v="Procesos transversales de la Gestion de la Salud Pública"/>
    <n v="29"/>
    <s v="Número"/>
    <n v="0"/>
    <n v="0"/>
    <e v="#DIV/0!"/>
    <n v="10"/>
    <n v="10"/>
    <n v="100"/>
    <n v="10"/>
    <m/>
    <n v="0"/>
    <n v="9"/>
    <m/>
    <n v="0"/>
    <n v="29"/>
    <n v="10"/>
    <e v="#REF!"/>
  </r>
  <r>
    <n v="132"/>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A 2031, reducir a 15,3 por mil nacidos vivos la tasa de mortalidad infantil"/>
    <s v="5-A 2031, reducir a 15,3 por mil nacidos vivos la tasa de mortalidad infantil"/>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Asistencia tecnica para la implementación del modelo de infancia a los actores que hacen parte del sistema de salud en los 29 municipios del departamento"/>
    <s v="Procesos transversales de la Gestion de la Salud Pública"/>
    <n v="29"/>
    <s v="Número"/>
    <n v="0"/>
    <n v="4"/>
    <e v="#DIV/0!"/>
    <n v="10"/>
    <m/>
    <n v="0"/>
    <n v="10"/>
    <m/>
    <n v="0"/>
    <n v="9"/>
    <m/>
    <n v="0"/>
    <n v="29"/>
    <n v="4"/>
    <e v="#DIV/0!"/>
  </r>
  <r>
    <n v="133"/>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A 2031, reducir a 15,3 por mil nacidos vivos la tasa de mortalidad infantil"/>
    <s v="5-A 2031, reducir a 15,3 por mil nacidos vivos la tasa de mortalidad infantil"/>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Asistencia tecnica y articulación intersectorial con los diferentes actores para la prevención del trabajo infantil en los 29 municipios del departamento"/>
    <s v="Procesos transversales de la Gestion de la Salud Pública"/>
    <n v="29"/>
    <s v="Número"/>
    <n v="0"/>
    <n v="4"/>
    <e v="#DIV/0!"/>
    <n v="10"/>
    <n v="8"/>
    <n v="80"/>
    <n v="10"/>
    <m/>
    <n v="0"/>
    <n v="9"/>
    <m/>
    <n v="0"/>
    <n v="29"/>
    <n v="12"/>
    <n v="120"/>
  </r>
  <r>
    <n v="134"/>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Mesa  Departamental  de  Salud  y Nutricion para el desarrollo Integral de Niños, Niñas y Adolescentes"/>
    <s v="Procesos transversales de la Gestion de la Salud Pública"/>
    <n v="1"/>
    <s v="Número"/>
    <n v="1"/>
    <n v="0"/>
    <e v="#DIV/0!"/>
    <n v="0"/>
    <n v="1"/>
    <e v="#DIV/0!"/>
    <n v="1"/>
    <m/>
    <n v="0"/>
    <m/>
    <m/>
    <e v="#DIV/0!"/>
    <n v="1"/>
    <n v="1"/>
    <n v="100"/>
  </r>
  <r>
    <n v="135"/>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tención Primaria en Salud - APS"/>
    <s v="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Asistencia tecnica y seguimiento para la implementación del modelo de envejecimiento activo en los 29 municipios del departamento"/>
    <s v="Procesos transversales de la Gestion de la Salud Pública"/>
    <n v="29"/>
    <s v="Número"/>
    <n v="0"/>
    <n v="16"/>
    <e v="#DIV/0!"/>
    <n v="0"/>
    <n v="6"/>
    <e v="#DIV/0!"/>
    <n v="10"/>
    <m/>
    <n v="0"/>
    <n v="19"/>
    <m/>
    <n v="0"/>
    <n v="29"/>
    <n v="22"/>
    <e v="#DIV/0!"/>
  </r>
  <r>
    <n v="136"/>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Generación y adecuación de estrategias que promuevan capacidades institucionales para la garantía del derecho a la"/>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Visita de seguimiento semestral para verificación de condiciones mínimas que dignifiquen la estadía de los adultos mayores en los centros de protección, centros de día e instituciones"/>
    <s v="Procesos transversales de la Gestion de la Salud Pública"/>
    <n v="15"/>
    <s v="Número"/>
    <n v="0"/>
    <n v="1"/>
    <e v="#DIV/0!"/>
    <n v="0"/>
    <n v="4"/>
    <e v="#DIV/0!"/>
    <n v="7"/>
    <m/>
    <n v="0"/>
    <n v="8"/>
    <m/>
    <n v="0"/>
    <n v="15"/>
    <n v="5"/>
    <e v="#DIV/0!"/>
  </r>
  <r>
    <n v="13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Articular acciones con los diferentes ejes estratégicos para el seguimiento de casos de interes en salud publica de los adultos mayores"/>
    <s v="Procesos transversales de la Gestion de la Salud Pública"/>
    <n v="2"/>
    <s v="Número"/>
    <n v="0"/>
    <n v="0"/>
    <e v="#DIV/0!"/>
    <n v="0"/>
    <n v="0"/>
    <e v="#DIV/0!"/>
    <n v="1"/>
    <m/>
    <n v="0"/>
    <n v="1"/>
    <m/>
    <n v="0"/>
    <n v="2"/>
    <n v="0"/>
    <e v="#DIV/0!"/>
  </r>
  <r>
    <n v="138"/>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Asistencia tecnica sobre politica publica de envejecimiento y vejez 2022- 2031 en los 29 municipios del departamento"/>
    <s v="Procesos transversales de la Gestion de la Salud Pública"/>
    <n v="29"/>
    <s v="Número"/>
    <n v="0"/>
    <n v="16"/>
    <e v="#DIV/0!"/>
    <n v="0"/>
    <n v="6"/>
    <e v="#DIV/0!"/>
    <n v="12"/>
    <m/>
    <n v="0"/>
    <n v="17"/>
    <m/>
    <n v="0"/>
    <n v="29"/>
    <n v="22"/>
    <e v="#DIV/0!"/>
  </r>
  <r>
    <n v="139"/>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Desarrollo de capacidades cognitiva dirigida a los adultos mayores de los 4 centros de bienestar del adulto mayor, en los municipios de banco, guamal, santa barbara de pinto y Sabanas de san Angel"/>
    <s v="Procesos transversales de la Gestion de la Salud Pública"/>
    <n v="4"/>
    <s v="Número"/>
    <n v="0"/>
    <n v="0"/>
    <e v="#DIV/0!"/>
    <n v="0"/>
    <m/>
    <e v="#DIV/0!"/>
    <n v="2"/>
    <m/>
    <n v="0"/>
    <n v="2"/>
    <m/>
    <n v="0"/>
    <n v="4"/>
    <n v="0"/>
    <e v="#DIV/0!"/>
  </r>
  <r>
    <n v="140"/>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Desarrollo de capacidades para atención integral del adulto mayor con entidades territoriales, IPS, EAPB por subregiones"/>
    <s v="Procesos transversales de la Gestion de la Salud Pública"/>
    <n v="1"/>
    <s v="Número"/>
    <n v="0"/>
    <n v="0"/>
    <e v="#DIV/0!"/>
    <n v="0"/>
    <n v="0"/>
    <e v="#DIV/0!"/>
    <n v="1"/>
    <m/>
    <n v="0"/>
    <n v="0"/>
    <m/>
    <e v="#DIV/0!"/>
    <n v="1"/>
    <n v="0"/>
    <e v="#DIV/0!"/>
  </r>
  <r>
    <n v="141"/>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Reconocimiento y legitimación de los espacios e instancias de diálogo y concertación para para la construcción colectiva de sistemas propios, a través de saberes, prácticas y conocimientos de y con las personas y colectivos."/>
    <s v="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Actividad ludico - recreatico para adultos mayores, familiares y cuidadores para loa Promocion del Envejecimiento Activo y Saludable y Prevencion del Maltrato a los Adultos Mayores y habitancia en calle en el entorno comunitario , hogar centro de vida y c"/>
    <s v="PIC(Anexo técnico)"/>
    <n v="29"/>
    <s v="Número"/>
    <n v="0"/>
    <n v="0"/>
    <e v="#DIV/0!"/>
    <n v="9"/>
    <n v="0"/>
    <n v="0"/>
    <n v="10"/>
    <m/>
    <n v="0"/>
    <n v="10"/>
    <m/>
    <n v="0"/>
    <n v="29"/>
    <n v="0"/>
    <n v="0"/>
  </r>
  <r>
    <n v="142"/>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écnicas para el ejercicio de la rectorí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Asistencia técnica y seguimiento de las acciones de la política pública para habitantes de calle, fenómeno de habitanza en calle, las características y necesidades de la población habitante de la calle, en las entidades territoriales"/>
    <s v="Procesos transversales de la Gestion de la Salud Pública"/>
    <n v="29"/>
    <s v="Número"/>
    <n v="0"/>
    <n v="3"/>
    <e v="#DIV/0!"/>
    <n v="0"/>
    <n v="14"/>
    <e v="#DIV/0!"/>
    <n v="10"/>
    <m/>
    <n v="0"/>
    <n v="19"/>
    <m/>
    <n v="0"/>
    <n v="29"/>
    <n v="17"/>
    <e v="#DIV/0!"/>
  </r>
  <r>
    <n v="143"/>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Asistencia técnica con el fin de sensibilizar sobre prestación de servicios hacia la población habitante de calle para reducir el estigma y discriminación, dirigida a las entidades e instituciones a cargo de los servicios sociales y de salud"/>
    <s v="Procesos transversales de la Gestion de la Salud Pública"/>
    <n v="29"/>
    <s v="Número"/>
    <n v="0"/>
    <n v="3"/>
    <e v="#DIV/0!"/>
    <n v="0"/>
    <n v="14"/>
    <e v="#DIV/0!"/>
    <n v="10"/>
    <m/>
    <n v="0"/>
    <n v="19"/>
    <m/>
    <n v="0"/>
    <n v="29"/>
    <n v="17"/>
    <e v="#DIV/0!"/>
  </r>
  <r>
    <n v="144"/>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ñales definiendo temas transversales y objetivos comun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Realizar 2 mesa para el desarrollo de rutas sectoriales de atención integral para Personas Habitantes de la Calle"/>
    <s v="Procesos transversales de la Gestion de la Salud Pública"/>
    <n v="1"/>
    <s v="Número"/>
    <n v="0"/>
    <n v="0"/>
    <e v="#DIV/0!"/>
    <n v="0"/>
    <n v="1"/>
    <e v="#DIV/0!"/>
    <n v="1"/>
    <m/>
    <n v="0"/>
    <n v="1"/>
    <m/>
    <n v="0"/>
    <n v="1"/>
    <n v="1"/>
    <e v="#DIV/0!"/>
  </r>
  <r>
    <n v="145"/>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Posicionamiento de los procesos participativos de rendición de cuentas incluyendo la evaluación del reconocimiento y respeto por los sistemas de conocimiento propio y los saberes de los pueblos y comunidades étnicas y campesinas, mujeres, sectores LGBTIQ+"/>
    <s v="A 2031 el 100%de entidades territoriales, Deoparatamentales, Distritales y Municipales han implementado la estrategia de transversalización del enfoque de género en la planeacion integral en salud"/>
    <s v="A 2027 el 100% de entidades territoriales Municipales han implementado la estrategia de transversalización del enfoque de género en la planeacion integral en salud"/>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Taller educativo para generar sensibilización en el entorno comunitario sobre factores de riesgo asociados a la habitanza en calle, características de la población habitante de calle y su estilo de vida, así como la orientación hacia rutas y servicios soc"/>
    <s v="PIC(Anexo técnico)"/>
    <n v="29"/>
    <s v="Número"/>
    <n v="0"/>
    <n v="0"/>
    <e v="#DIV/0!"/>
    <n v="10"/>
    <n v="0"/>
    <n v="0"/>
    <n v="10"/>
    <m/>
    <n v="0"/>
    <n v="9"/>
    <m/>
    <n v="0"/>
    <n v="29"/>
    <n v="0"/>
    <n v="0"/>
  </r>
  <r>
    <n v="146"/>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Realizar asistencia tecnica sobre acciones para la prevencion de trata de personas violencias basadas en género y diversidad en los 29 Municipios del departamento"/>
    <s v="Procesos transversales de la Gestion de la Salud Pública"/>
    <n v="29"/>
    <s v="Número"/>
    <n v="0"/>
    <n v="4"/>
    <e v="#DIV/0!"/>
    <n v="10"/>
    <n v="11"/>
    <n v="110.00000000000001"/>
    <n v="10"/>
    <m/>
    <n v="0"/>
    <n v="9"/>
    <m/>
    <n v="0"/>
    <n v="29"/>
    <n v="15"/>
    <n v="150"/>
  </r>
  <r>
    <n v="14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Realizar asistencia tecnica sobre humanizacion para la atencion sin discriminación y trato digno en los servicios en salud a población OSIG diversa y/o LGBTIQ+"/>
    <s v="Procesos transversales de la Gestion de la Salud Pública"/>
    <n v="29"/>
    <s v="Número"/>
    <n v="0"/>
    <n v="4"/>
    <e v="#DIV/0!"/>
    <n v="10"/>
    <n v="12"/>
    <n v="120"/>
    <n v="10"/>
    <m/>
    <n v="0"/>
    <n v="9"/>
    <m/>
    <n v="0"/>
    <n v="29"/>
    <n v="16"/>
    <n v="160"/>
  </r>
  <r>
    <n v="148"/>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Posicionamiento de los procesos participativos de rendición de cuentas incluyendo la evaluación del reconocimiento y respeto por los sistemas de conocimiento propio y los saberes de los pueblos y comunidades étnicas y campesinas, mujeres, sectores LGBTIQ+"/>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Cuidado de la salud en el territorio"/>
    <s v="Implementacion de estatregia &quot;Ruta Segura&quot; simulacro de atencion en casos de trata de personas y violencias basadas en género. como actuar ante sospecha, situación y canalizacion de casos, con capacidad instalada en la creacion e implementacion de rutas d"/>
    <s v="PIC(Anexo técnico)"/>
    <n v="1"/>
    <s v="Número"/>
    <n v="0"/>
    <n v="0"/>
    <e v="#DIV/0!"/>
    <n v="0"/>
    <n v="0"/>
    <e v="#DIV/0!"/>
    <n v="1"/>
    <m/>
    <n v="0"/>
    <n v="0"/>
    <m/>
    <e v="#DIV/0!"/>
    <n v="1"/>
    <n v="0"/>
    <e v="#DIV/0!"/>
  </r>
  <r>
    <n v="149"/>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Posicionamiento de los procesos participativos de rendición de cuentas incluyendo la evaluación del reconocimiento y respeto por los sistemas de conocimiento propio y los saberes de los pueblos y comunidades étnicas y campesinas, mujeres, sectores LGBTIQ+"/>
    <s v="A 2031 el 100%de entidades territoriales, Deoparatamentales, Distritales y Municipales han implementado la estrategia de transversalización del enfoque de género en la planeacion integral en salud"/>
    <s v="A 2027 el 100%de entidades territoriales,  Municipales han implementado la estrategia de transversalización del enfoque de género en la planeacion integral en salud"/>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Desarrollar un programa radial sobre el ejercicio ciudadano de la participación social para cogestionar la garantía del derecho a la salud y desarrollar acciones para la prevención de no discriminación o estigmatización por causa o condición y  prevencion"/>
    <s v="Procesos transversales de la Gestion de la Salud Pública"/>
    <n v="29"/>
    <s v="Número"/>
    <n v="0"/>
    <n v="0"/>
    <e v="#DIV/0!"/>
    <n v="0"/>
    <n v="0"/>
    <e v="#DIV/0!"/>
    <n v="14"/>
    <n v="15"/>
    <n v="107.14285714285714"/>
    <n v="29"/>
    <m/>
    <n v="0"/>
    <n v="29"/>
    <n v="15"/>
    <n v="107.14285714285714"/>
  </r>
  <r>
    <n v="150"/>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Políticas, planes, programas y estrategias en salud con transversalización de los enfoques de pueblos y comunidades, género y diferencial e integración de los sistemas de conocimiento propio y saberes de los pueblos y comunidades étnicas y campesinas"/>
    <s v="Establecimiento de los mecanismos institucionales, sectoriales, intersectoriales y comunitarios que garanticen la participación de las diferentes formas y expresiones organizativas de los pueblos y comunidades en la planeación y la respuest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Construccion de protocolo de atencion diferencial a la poblacion negra-afrodesciente- raizal y palanquero"/>
    <s v="Procesos transversales de la Gestion de la Salud Pública"/>
    <n v="1"/>
    <s v="Número"/>
    <n v="0"/>
    <n v="0"/>
    <e v="#DIV/0!"/>
    <n v="0"/>
    <n v="0"/>
    <e v="#DIV/0!"/>
    <n v="0"/>
    <m/>
    <e v="#DIV/0!"/>
    <n v="1"/>
    <m/>
    <n v="0"/>
    <n v="1"/>
    <n v="0"/>
    <e v="#DIV/0!"/>
  </r>
  <r>
    <n v="151"/>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s v="A  2027 el 100% de entidades territoriales Municipales que tienen en su tenitorio pueblos y comunidades indígenas, comunidades negras, afrocolombianas, raizales y  palenqueras y pueblo Rrom han _x000a_establecido acuerdos para la garantía del derecho fundamenta"/>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Cuidado de la salud en el territorio"/>
    <s v="Realizar Busqueda activa comunitaria mensual de niños(as) menores de cinco años; en el  entorno hogar, en los territorios y microterritorios con su respectivo tamizaje, a cada familia se le debe educar en el código internacional de Sucedáneos"/>
    <s v="PIC(Anexo técnico)"/>
    <n v="12"/>
    <s v="Número"/>
    <n v="3"/>
    <n v="0"/>
    <n v="0"/>
    <n v="3"/>
    <n v="0"/>
    <n v="0"/>
    <n v="3"/>
    <m/>
    <n v="0"/>
    <n v="3"/>
    <m/>
    <n v="0"/>
    <n v="12"/>
    <n v="0"/>
    <n v="0"/>
  </r>
  <r>
    <n v="152"/>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Prácticas, saberes Y conocimientos para la salud pública reconocidos y fortalecidos para Pueblos y comunidades étnicas, mujeres, población campesina, LBGTIQ+ y otras poblaciones por condición y/o situación."/>
    <s v="Establecimiento de los mecanismos institucionales, sectoriales, intersectoriales y comunitarios que garanticen la participación de las diferentes formas y expresiones organizativas de los pueblos y comunidades en la planeación y la respuest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4 mesas para la implemetacion piloto de atencion entre la salud ancestral y salud occidental"/>
    <s v="PIC(Anexo técnico)"/>
    <n v="4"/>
    <s v="Número"/>
    <n v="0"/>
    <n v="0"/>
    <e v="#DIV/0!"/>
    <n v="0"/>
    <n v="4"/>
    <e v="#DIV/0!"/>
    <n v="2"/>
    <m/>
    <n v="0"/>
    <n v="2"/>
    <m/>
    <n v="0"/>
    <n v="4"/>
    <n v="4"/>
    <e v="#DIV/0!"/>
  </r>
  <r>
    <n v="153"/>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s v="A  2027 el 100% de entidades territoriales  Municipales que tienen en su tenitorio pueblos y comunidades indígenas, comunidades negras, afrocolombianas, raizales y  palenqueras y pueblo Rrom han _x000a_establecido acuerdos para la garantía del derecho fundamen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jornadas educativas de socialización para promover hábitos de alimentación saludable, destacando la variedad de alimentos y su aporte nutricional en cada microterritorio en el entorno hogar utulizando el plato saludable"/>
    <s v="PIC(Anexo técnico)"/>
    <n v="2"/>
    <s v="Número"/>
    <n v="0"/>
    <n v="0"/>
    <e v="#DIV/0!"/>
    <n v="0"/>
    <n v="0"/>
    <e v="#DIV/0!"/>
    <n v="1"/>
    <m/>
    <n v="0"/>
    <n v="1"/>
    <m/>
    <n v="0"/>
    <n v="2"/>
    <n v="0"/>
    <e v="#DIV/0!"/>
  </r>
  <r>
    <n v="154"/>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s v="A  2027 el 100% de entidades territoriales  Municipales que tienen en su tenitorio pueblos y comunidades indígenas, comunidades negras, afrocolombianas, raizales y  palenqueras y pueblo Rrom han _x000a_establecido acuerdos para la garantía del derecho fundamen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educación en salud materna y neonatal, a mujeres en edad fertil, parteras y jefes del hogar en las comunidades priorizadas, sobre factores de riesgo de la gestante, reporte oportuno y atención en salud para evitar complicaciones en la madre y en "/>
    <s v="PIC(Anexo técnico)"/>
    <n v="2"/>
    <s v="Número"/>
    <n v="0"/>
    <n v="0"/>
    <n v="0"/>
    <n v="0"/>
    <n v="0"/>
    <e v="#DIV/0!"/>
    <n v="0"/>
    <m/>
    <e v="#DIV/0!"/>
    <n v="1"/>
    <m/>
    <n v="0"/>
    <n v="2"/>
    <n v="0"/>
    <e v="#DIV/0!"/>
  </r>
  <r>
    <n v="155"/>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s v="A  2027 el 100% de entidades territoriales  Municipales que tienen en su tenitorio pueblos y comunidades indígenas, comunidades negras, afrocolombianas, raizales y  palenqueras y pueblo Rrom han _x000a_establecido acuerdos para la garantía del derecho fundamen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jornadas de desparasitación antihelmíntica, acompañado de Educacion en salud en la población en el entorno escolar a niños(as) y adolescentes de 1 a 14 años, sobre la importancia de la desparasitación antihelmíntica en los municipios  priorizados"/>
    <s v="PIC(Anexo técnico)"/>
    <n v="2"/>
    <s v="Número"/>
    <n v="0"/>
    <n v="0"/>
    <e v="#DIV/0!"/>
    <n v="0"/>
    <n v="0"/>
    <e v="#DIV/0!"/>
    <n v="1"/>
    <m/>
    <n v="0"/>
    <n v="1"/>
    <m/>
    <n v="0"/>
    <n v="2"/>
    <n v="0"/>
    <e v="#DIV/0!"/>
  </r>
  <r>
    <n v="156"/>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s v="A  2027 el 100% de entidades territoriales  Municipales que tienen en su tenitorio pueblos y comunidades indígenas, comunidades negras, afrocolombianas, raizales y  palenqueras y pueblo Rrom han _x000a_establecido acuerdos para la garantía del derecho fundamen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fortalecimiento en salud de las Unidades de atención integral comunitaria (UAIC) a población Negros- afrocolombianos-raizales-palenqueros para difundir los tres mensajes claves del programa de prevención, manejo y control de la IRA/EDA y la ident"/>
    <s v="PIC(Anexo técnico)"/>
    <n v="2"/>
    <s v="Número"/>
    <n v="1"/>
    <n v="0"/>
    <n v="0"/>
    <n v="1"/>
    <m/>
    <n v="0"/>
    <n v="0"/>
    <m/>
    <e v="#DIV/0!"/>
    <n v="1"/>
    <m/>
    <n v="0"/>
    <n v="2"/>
    <n v="0"/>
    <n v="0"/>
  </r>
  <r>
    <n v="157"/>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Coordinar sectorial e inetrsectorialmente acciones que incentiven la demanda  de las atenciones defenidas en la resolucion 3280 de 2018 del Ministerio de Salud y Proteccion Socialm relacionadascon la primera infancia o la norma que la modifique , adicdion"/>
    <s v="A 2031 el 100% de las Entidades Territoriales del orden departamental, distrital y municipal desarrollan mecanismos para el fortalecimiento de la rectoría en salud en su territorio, conforme a las competencias establecidas."/>
    <s v="A  2027 el 100% de entidades territoriales  Municipales que tienen en su tenitorio pueblos y comunidades indígenas, comunidades negras, afrocolombianas, raizales y  palenqueras y pueblo Rrom han _x000a_establecido acuerdos para la garantía del derecho fundamen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caracterizacion del territorio y poblacion negros, afrocolombianos, raizales y palenqueros asentada en el departamento con reconocimiento de la etnia en diferentes entornos en el area urbana y/o rural para la comunidad negros, afrocolombianos, ra"/>
    <s v="PIC(Anexo técnico)"/>
    <n v="1"/>
    <s v="Número"/>
    <n v="0"/>
    <n v="0"/>
    <e v="#DIV/0!"/>
    <n v="0"/>
    <n v="0"/>
    <e v="#DIV/0!"/>
    <n v="0"/>
    <n v="0"/>
    <e v="#DIV/0!"/>
    <n v="1"/>
    <m/>
    <n v="0"/>
    <n v="1"/>
    <n v="0"/>
    <e v="#DIV/0!"/>
  </r>
  <r>
    <n v="158"/>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Fortalecimiento de capacidades técnicas para el ejercicio de la rectorí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Fortalecer las capacidades en los actores del sector salud y sector social en las entidades territoriales de los 29 munipicipios  del Departamento del Magdalena para gestionar de manera adecuada la atención de la población migrante y favorecer la conviven"/>
    <s v="Procesos transversales de la Gestion de la Salud Pública"/>
    <n v="1"/>
    <s v="Número"/>
    <n v="0"/>
    <n v="1"/>
    <e v="#DIV/0!"/>
    <n v="0"/>
    <n v="1"/>
    <e v="#DIV/0!"/>
    <n v="1"/>
    <m/>
    <n v="0"/>
    <n v="0"/>
    <m/>
    <e v="#DIV/0!"/>
    <n v="1"/>
    <n v="2"/>
    <e v="#DIV/0!"/>
  </r>
  <r>
    <n v="159"/>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técnicas para el ejercicio de la rectorí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Mesas de trabajo con cooperantes para la atención en salud de la población migrante en el departamento"/>
    <s v="Procesos transversales de la Gestion de la Salud Pública"/>
    <n v="2"/>
    <s v="Número"/>
    <n v="0"/>
    <n v="0"/>
    <e v="#DIV/0!"/>
    <n v="1"/>
    <n v="0"/>
    <n v="0"/>
    <n v="1"/>
    <m/>
    <n v="0"/>
    <n v="0"/>
    <m/>
    <e v="#DIV/0!"/>
    <n v="2"/>
    <n v="0"/>
    <n v="0"/>
  </r>
  <r>
    <n v="160"/>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Fortalecimiento del desarrollo de capacidades en el talento humano en salud para la identificación, diagnóstico y prevención de los riesgos relacionados con la ocupación._x000a_"/>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_x000a_"/>
    <s v="Desarrollo institucional y sectorial para el ejercicio de la autoridad sanitaria"/>
    <s v="Primer foro de salud intercultural de los pueblos y comunidades indígenas del Magdalena: kogui, wiwa, arhuacos, chimila (SSM, IPS, EPS, Defensoría del Pueblo, promotores de salud, gremios en salud y académia)"/>
    <s v="Procesos transversales de la Gestion de la Salud Pública"/>
    <n v="1"/>
    <s v="Número"/>
    <n v="0"/>
    <n v="0"/>
    <n v="0"/>
    <n v="0"/>
    <n v="0"/>
    <e v="#DIV/0!"/>
    <n v="1"/>
    <m/>
    <n v="0"/>
    <n v="1"/>
    <m/>
    <n v="0"/>
    <n v="1"/>
    <n v="0"/>
    <e v="#DIV/0!"/>
  </r>
  <r>
    <n v="161"/>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Establecimiento de los mecanismos institucionales, sectoriales, intersectoriales y comunitarios que garanticen la participación de las diferentes formas y expresiones organizativas de los pueblos y comunidades en la planeación y la respuesta en salud."/>
    <s v="A 2031 el 100% de las Entidades_x000a_ Territoriales del orden departamental,_x000a_ distrital y municipal desarrollan_x000a_ mecanismos para el fortalecimiento de la_x000a_ rectoría en salud en su territorio, conforme_x000a_ a las competencias establecidas"/>
    <s v="A 2027 el 100% de las Entidades_x000a_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Relizar 4 mesas tematicas en territorio con la población etnica del departamento para fortalecer los procesos y practicas de salud de las comunidades y pueblos indigenas."/>
    <s v="Procesos transversales de la Gestion de la Salud Pública"/>
    <n v="4"/>
    <s v="Número"/>
    <n v="0"/>
    <n v="0"/>
    <n v="0"/>
    <n v="0"/>
    <n v="1"/>
    <e v="#DIV/0!"/>
    <n v="2"/>
    <m/>
    <n v="0"/>
    <n v="2"/>
    <m/>
    <n v="0"/>
    <n v="4"/>
    <n v="1"/>
    <e v="#DIV/0!"/>
  </r>
  <r>
    <n v="162"/>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Capacidades fortalecidas para la gestión del conocimiento en salud pública"/>
    <s v="Fortalecimiento de las capacidades del Talento Humano en la irnplementación de estrategias para la generación de conocimiento de las condiciones de salud de la población y sus determinantes tales como bservatorios, ASIS, unidades de análisis, seminarios, "/>
    <s v="A 2031 el 100% de las Entidades_x000a_ Territoriales del orden departamental,_x000a_ distrital y municipal desarrollan_x000a_ mecanismos para el fortalecimiento de la_x000a_ rectoría en salud en su territorio, conforme_x000a_ a las competencias establecidas"/>
    <s v="A 2027 el 100% de las Entidades_x000a_ Territoriales del orden municipal desarrollan  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onformar, priorizar y desarrollar actividades educativas en GOTIS y UTIS en los 29 municipios del departamento"/>
    <s v="Desarrollo institucional y sectorial para el ejercicio de la autoridad sanitaria"/>
    <s v="Taller con las entidades de salud, los trabajadores informales, UTI y GOTIS para promover prácticas para el mejoramiento de las condiciones de salud de esta población identificación y gestión de sus riesgos a la salud asociados a los determinantes ambient"/>
    <s v="Procesos transversales de la Gestion de la Salud Pública"/>
    <n v="4"/>
    <s v="Número"/>
    <n v="0"/>
    <n v="0"/>
    <e v="#DIV/0!"/>
    <n v="0"/>
    <n v="0"/>
    <e v="#DIV/0!"/>
    <n v="2"/>
    <m/>
    <n v="0"/>
    <n v="2"/>
    <m/>
    <n v="0"/>
    <n v="4"/>
    <n v="0"/>
    <e v="#DIV/0!"/>
  </r>
  <r>
    <n v="163"/>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Intevenidos determinantes sociales individuales que mitigan morbilidad y mortalidad  prematuras por enfermdades no trasmisibles"/>
    <s v="Fortalecimiento de las capacidades del Talento Humano en la irnplementación de estrategias para la generación de conocimiento de las condiciones de salud de la población y sus determinantes tales como bservatorios, ASIS, unidades de análisis, seminarios, "/>
    <s v="A 2031 el 100% de las Entidades_x000a_ Territoriales del orden departamental,_x000a_ distrital y municipal desarrollan_x000a_ mecanismos para el fortalecimiento de la_x000a_ rectoría en salud en su territorio, conforme_x000a_ a las competencias establecidas"/>
    <s v="A 2027 el 100% de las Entidades_x000a_ Territoriales del orden municipal desarrollan  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izar Pruebas SRQ para la detección temprana de trastornos mentales en adultos en la poblacion infomal de los 29 munipios _x000a_"/>
    <s v="PIC(Anexo técnico)"/>
    <n v="29"/>
    <s v="Número"/>
    <n v="0"/>
    <n v="0"/>
    <e v="#DIV/0!"/>
    <n v="1"/>
    <n v="0"/>
    <n v="0"/>
    <n v="14"/>
    <m/>
    <n v="0"/>
    <n v="1"/>
    <m/>
    <n v="0"/>
    <n v="29"/>
    <n v="0"/>
    <n v="0"/>
  </r>
  <r>
    <n v="164"/>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
    <s v="A 2027 el 100% de las entidades territoriales del orden municipal han desarrollado procesos de ajuste institucional para el fortalecimiento de las capacidades de la autoridad sanitaria y la apropiación territorial del modelo de salud basado en la atención"/>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fortalecimiento en salud de las unidades de atención integral comunitaria (UAIC) a población etnica indígena en los 4 municipios (Aracataca, Ciénaga, Fundación y Sabanas de San Angel) para difudinr los tres mensajes claves del programa de prevenc"/>
    <s v="PIC(Anexo técnico)"/>
    <n v="4"/>
    <s v="Número"/>
    <n v="0"/>
    <n v="0"/>
    <n v="0"/>
    <n v="0"/>
    <m/>
    <e v="#DIV/0!"/>
    <n v="1"/>
    <m/>
    <n v="0"/>
    <n v="0"/>
    <m/>
    <e v="#DIV/0!"/>
    <n v="4"/>
    <n v="0"/>
    <e v="#DIV/0!"/>
  </r>
  <r>
    <n v="165"/>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
    <s v="A 2027 el 100% de las entidades territoriales del orden municipal han desarrollado procesos de ajuste institucional para el fortalecimiento de las capacidades de la autoridad sanitaria y la apropiación territorial del modelo de salud basado en la atención"/>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Actividades de Promoción, Prevención, Educación y Saneamiento tradicional (salud tradicional - salud intercultural - salud occidental)"/>
    <s v="PIC(Anexo técnico)"/>
    <n v="4"/>
    <s v="Número"/>
    <n v="0"/>
    <n v="0"/>
    <n v="0"/>
    <n v="0"/>
    <n v="0"/>
    <e v="#DIV/0!"/>
    <n v="2"/>
    <m/>
    <n v="0"/>
    <n v="2"/>
    <m/>
    <n v="0"/>
    <n v="4"/>
    <n v="0"/>
    <e v="#DIV/0!"/>
  </r>
  <r>
    <n v="166"/>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
    <s v="A 2027 el 100% de las entidades territoriales del orden municipal han desarrollado procesos de ajuste institucional para el fortalecimiento de las capacidades de la autoridad sanitaria y la apropiación territorial del modelo de salud basado en la atención"/>
    <s v="12-A 2031, el 40% de los niños menores de 6 meses tienen lactancia materna exclusiva"/>
    <s v="12-A 2031, el 40% de los niños menores de 6 meses tienen lactancia materna exclusiv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educación integral en salud materna y neonatal a Mujeres en edad fertil, gestantes en periodo de lactancia, sus familias, parteras, jefes del hogar, promotores de salud sobre la  lactancia materna y la adecuada alimentación complementaria en los "/>
    <s v="PIC(Anexo técnico)"/>
    <n v="4"/>
    <s v="Número"/>
    <n v="0"/>
    <n v="0"/>
    <n v="0"/>
    <n v="0"/>
    <n v="0"/>
    <e v="#DIV/0!"/>
    <n v="2"/>
    <m/>
    <n v="0"/>
    <n v="2"/>
    <m/>
    <n v="0"/>
    <n v="4"/>
    <n v="0"/>
    <e v="#DIV/0!"/>
  </r>
  <r>
    <n v="167"/>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
    <s v="A 2027 el 100% de las entidades territoriales del orden municipal han desarrollado procesos de ajuste institucional para el fortalecimiento de las capacidades de la autoridad sanitaria y la apropiación territorial del modelo de salud basado en la atención"/>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 Garantizar una atención integral, intercultural y continua a la población, a través de un equipo multidisciplinario que intervenga de manera articulada en la promoción, prevención, diagnóstico y tratamiento en salud, desde la implementación del Plan de C"/>
    <s v="PIC(Anexo técnico)"/>
    <n v="4"/>
    <s v="Número"/>
    <n v="0"/>
    <n v="0"/>
    <n v="0"/>
    <n v="0"/>
    <n v="0"/>
    <e v="#DIV/0!"/>
    <n v="14"/>
    <m/>
    <n v="0"/>
    <n v="15"/>
    <m/>
    <n v="0"/>
    <n v="4"/>
    <n v="0"/>
    <e v="#DIV/0!"/>
  </r>
  <r>
    <n v="168"/>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
    <s v="A 2027 el 100% de las entidades territoriales del orden municipal han desarrollado procesos de ajuste institucional para el fortalecimiento de las capacidades de la autoridad sanitaria y la apropiación territorial del modelo de salud basado en la atención"/>
    <s v="93-A 2031, se logra el 90% de tratamiento exitoso en pacientes con tuberculosis"/>
    <s v="93-A 2031, se logra el 90% de tratamiento exitoso en pacientes con tuberculosi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Educación en salud a los pacientes, familias, comunidades y organizaciones indígenas sobre identificación de signos de alarma y síntomas de tuberculosis, realizar busquedas activas de sintomáticos respiratorios en comunidades indígenas de los municipios d"/>
    <s v="PIC(Anexo técnico)"/>
    <n v="4"/>
    <s v="Número"/>
    <n v="0"/>
    <n v="0"/>
    <n v="0"/>
    <n v="0"/>
    <n v="0"/>
    <e v="#DIV/0!"/>
    <n v="2"/>
    <m/>
    <n v="0"/>
    <n v="2"/>
    <m/>
    <n v="0"/>
    <n v="4"/>
    <n v="0"/>
    <e v="#DIV/0!"/>
  </r>
  <r>
    <n v="169"/>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
    <s v="A 2027 el 100% de las entidades territoriales del orden municipal han desarrollado procesos de ajuste institucional para el fortalecimiento de las capacidades de la autoridad sanitaria y la apropiación territorial del modelo de salud basado en la atención"/>
    <s v="94-A 2031, se logra reducir el 50% la tasa de mortalidad por 100mil habitantes, causada por la tuberculosis en Colombia."/>
    <s v="94-A 2031, se logra reducir el 50% la tasa de mortalidad por 100mil habitantes, causada por la tuberculosis en Colombi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Educación en salud a los pacientes, familias, comunidades y organizaciones indígenas sobre identificación de signos de alarma y síntomas de tuberculosis, realizar busquedas activas de sintomáticos respiratorios en comunidades indígenas de los municipios d"/>
    <s v="PIC(Anexo técnico)"/>
    <n v="4"/>
    <s v="Número"/>
    <n v="0"/>
    <n v="0"/>
    <n v="0"/>
    <n v="0"/>
    <n v="0"/>
    <e v="#DIV/0!"/>
    <n v="2"/>
    <m/>
    <n v="0"/>
    <n v="2"/>
    <m/>
    <n v="0"/>
    <n v="4"/>
    <n v="0"/>
    <e v="#DIV/0!"/>
  </r>
  <r>
    <n v="170"/>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Fortalecimiento del desarrollo de capacidades en el talento humano en salud para la identificación, diagnóstico y prevención de los riesgos relacionados con la ocupación._x000a_"/>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_x000a_"/>
    <s v="Desarrollo institucional y sectorial para el ejercicio de la autoridad sanitaria"/>
    <s v="Desarrollo de capacidades al TH Indigena manejo de la DNT aguda "/>
    <s v="Procesos transversales de la Gestion de la Salud Pública"/>
    <n v="6"/>
    <s v="Número"/>
    <n v="0"/>
    <n v="0"/>
    <n v="0"/>
    <n v="0"/>
    <n v="0"/>
    <e v="#DIV/0!"/>
    <n v="2"/>
    <m/>
    <n v="0"/>
    <n v="2"/>
    <m/>
    <n v="0"/>
    <n v="6"/>
    <n v="0"/>
    <e v="#DIV/0!"/>
  </r>
  <r>
    <n v="171"/>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Capacidades fortalecidas para la gestión del conocimiento en salud pública"/>
    <s v="Fortalecimiento de las capacidades del Talento Humano en_x000a_ la irnplementación de estrategias para la generación de_x000a_ conocimiento de las condiciones de salud de la población_x000a_ y sus determinantes tales como observatorios, ASIS,_x000a_ unidades de análisis, seminar"/>
    <s v="A 2031, mantener la tasa de mortalidad de suicidio por debajo de 5"/>
    <s v="A 2027, mantener la tasa de mortalidad de suicidio por debajo de 5"/>
    <s v="A 2031, mantener la tasa de mortalidad de suicidio por debajo de 5"/>
    <s v="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Garantizar la atención a 1.992 personas victimas de vilencia de género intrafamiliar, intentos de suicidio, entre otros trastornos relacionados con la salud mental, a traves de la línea telefónica de atención de emergencias en salud mental"/>
    <s v="Desarrollo institucional y sectorial para el ejercicio de la autoridad sanitaria"/>
    <s v="Desarrollo de capacidades a través de un taller para los actores del sistema de salud en atención integral en salud y psicosocial, para las victimas del conflicto armado (SSM, IPS, EAPB) - Normatividad - protocolo/ implementación - retos y avances."/>
    <s v="Procesos transversales de la Gestion de la Salud Pública"/>
    <n v="1"/>
    <s v="Número"/>
    <n v="0"/>
    <m/>
    <e v="#DIV/0!"/>
    <n v="0"/>
    <m/>
    <e v="#DIV/0!"/>
    <n v="2"/>
    <m/>
    <n v="0"/>
    <n v="2"/>
    <m/>
    <n v="0"/>
    <n v="1"/>
    <n v="0"/>
    <n v="0"/>
  </r>
  <r>
    <n v="172"/>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desarrollar capacidades en la vigilancia sobre el uso, conservacion y aplicacion de los medicamentos dentro de los servicios farmaceuticos dependientes e independientes para minimizar errores en recpcion y dispensacion, a traves de 4 talleres"/>
    <s v="Procesos transversales de la Gestion de la Salud Pública"/>
    <n v="4"/>
    <s v="Número"/>
    <n v="0"/>
    <n v="0"/>
    <e v="#DIV/0!"/>
    <n v="0"/>
    <m/>
    <e v="#DIV/0!"/>
    <n v="2"/>
    <m/>
    <n v="0"/>
    <n v="2"/>
    <m/>
    <n v="0"/>
    <n v="4"/>
    <n v="0"/>
    <e v="#DIV/0!"/>
  </r>
  <r>
    <n v="173"/>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Articulacion Intersectorial para debatir politicas sobre el uso y conservacion de los medicamentos dentro de los servicios farmaceuticos dependientes e independientes para minimizar errores en recpcion y dispensacion, a traves de 5 reuniones "/>
    <s v="Procesos transversales de la Gestion de la Salud Pública"/>
    <n v="5"/>
    <s v="Número"/>
    <n v="0"/>
    <n v="0"/>
    <e v="#DIV/0!"/>
    <n v="0"/>
    <m/>
    <e v="#DIV/0!"/>
    <n v="2"/>
    <m/>
    <n v="0"/>
    <n v="2"/>
    <m/>
    <n v="0"/>
    <n v="5"/>
    <n v="0"/>
    <e v="#DIV/0!"/>
  </r>
  <r>
    <n v="174"/>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una compra al Fondo Nacional de Estupefacientes ,para adquirir los medicamentos monopolio del estado, para garantizar la disponibilidad a la póblación, de conforidad con el plan de adquisiciones "/>
    <s v="Procesos transversales de la Gestion de la Salud Pública"/>
    <n v="1"/>
    <s v="Número"/>
    <n v="1"/>
    <n v="1"/>
    <n v="100"/>
    <m/>
    <m/>
    <e v="#DIV/0!"/>
    <n v="3"/>
    <m/>
    <n v="0"/>
    <n v="3"/>
    <m/>
    <n v="0"/>
    <n v="1"/>
    <n v="1"/>
    <n v="100"/>
  </r>
  <r>
    <n v="175"/>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Adquirir 1000 recetarios oficiales para la prescripcion de medicamentos monopolio del Fondo Rotatorio de Estupefacientes"/>
    <s v="Procesos transversales de la Gestion de la Salud Pública"/>
    <n v="1000"/>
    <s v="Número"/>
    <n v="0"/>
    <n v="0"/>
    <e v="#DIV/0!"/>
    <m/>
    <m/>
    <e v="#DIV/0!"/>
    <n v="1"/>
    <m/>
    <n v="0"/>
    <m/>
    <m/>
    <e v="#DIV/0!"/>
    <n v="1000"/>
    <n v="0"/>
    <e v="#DIV/0!"/>
  </r>
  <r>
    <n v="176"/>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Fortalecer el sistema de informacion institucional, para garantizar respuestas oportunas, completas y trazables a los requerimientos de los entes de control atraves de la actualizacion del Sistema Integrado de Vigilancia Sanitaria. Que permitan cantraliza"/>
    <s v="Procesos transversales de la Gestion de la Salud Pública"/>
    <n v="100"/>
    <s v="Número"/>
    <n v="0"/>
    <n v="0"/>
    <e v="#DIV/0!"/>
    <n v="0"/>
    <n v="0"/>
    <e v="#DIV/0!"/>
    <n v="50"/>
    <m/>
    <n v="0"/>
    <n v="50"/>
    <m/>
    <n v="0"/>
    <n v="100"/>
    <n v="0"/>
    <e v="#DIV/0!"/>
  </r>
  <r>
    <n v="17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os Departamentos, Distritos y Municipios del País integran en su Planes de Desarrollo Territoriales estrategias para afectar de manera positiva los determinantes sociales de la salud en sus territorios.    "/>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Generar espacios de encuentro y coordinación intersectorial con actores del sistema de vigilancia en salud pública una vez por mes (cove), reuniones de estadisticas vitales y reuniones bimensuales para fortalecer la respuesta, control y seguimiento a los "/>
    <s v="Procesos transversales de la Gestion de la Salud Pública"/>
    <n v="22"/>
    <s v="Número"/>
    <n v="4"/>
    <n v="4"/>
    <n v="100"/>
    <n v="6"/>
    <n v="6"/>
    <n v="100"/>
    <n v="6"/>
    <m/>
    <n v="0"/>
    <n v="6"/>
    <m/>
    <n v="0"/>
    <n v="22"/>
    <n v="10"/>
    <n v="100"/>
  </r>
  <r>
    <n v="178"/>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Realizar la gestión de los insumos necesarios para dar respuesta de manera oportuna y eficiente a los EISP y EISPII del departamento"/>
    <s v="Procesos transversales de la Gestion de la Salud Pública"/>
    <n v="5"/>
    <s v="Número"/>
    <n v="0"/>
    <n v="0"/>
    <e v="#DIV/0!"/>
    <n v="1"/>
    <n v="4"/>
    <n v="400"/>
    <n v="4"/>
    <m/>
    <n v="0"/>
    <n v="0"/>
    <m/>
    <e v="#DIV/0!"/>
    <n v="5"/>
    <n v="4"/>
    <n v="400"/>
  </r>
  <r>
    <n v="179"/>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Gestión territorial para el cuidado de la salud basado en la atención prima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Realizar encuesta de evaluación de coberturas de vacunación en zona urbana y rural de los 29 Municipios de Departamento"/>
    <s v="Procesos transversales de la Gestion de la Salud Pública"/>
    <n v="1"/>
    <s v="Documento"/>
    <n v="0"/>
    <n v="0"/>
    <e v="#DIV/0!"/>
    <n v="0"/>
    <n v="0"/>
    <e v="#DIV/0!"/>
    <n v="1"/>
    <m/>
    <n v="0"/>
    <n v="0"/>
    <m/>
    <e v="#DIV/0!"/>
    <n v="1"/>
    <n v="0"/>
    <e v="#DIV/0!"/>
  </r>
  <r>
    <n v="180"/>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Brindar asistencia técnica a las 29 direcciones territoriales de salud para verificar y fortalecer el funcionamiento del Sistema de Vigilancia en Salud Pública, con énfasis en la calidad de la notificación de los Eventos de Interés en Salud Pública (EISP)"/>
    <s v="Procesos transversales de la Gestion de la Salud Pública"/>
    <n v="100"/>
    <s v="Porcentaje"/>
    <n v="10"/>
    <n v="92"/>
    <n v="919.99999999999989"/>
    <n v="30"/>
    <n v="84"/>
    <n v="280"/>
    <n v="30"/>
    <m/>
    <n v="0"/>
    <n v="30"/>
    <m/>
    <n v="0"/>
    <n v="100"/>
    <n v="176"/>
    <n v="440.00000000000006"/>
  </r>
  <r>
    <n v="181"/>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Actualizar y divulgar una vez al año el analisis de situacion en salud del departamento incluyendo la poblacion pertenecinete a grupos Etnicos, para conocer y comprender la complejidad en que se desarrollan los procesos de salud, enfermedad y calidad de v"/>
    <s v="Procesos transversales de la Gestion de la Salud Pública"/>
    <n v="1"/>
    <s v="Documento"/>
    <n v="0"/>
    <n v="0"/>
    <e v="#DIV/0!"/>
    <n v="0"/>
    <n v="0"/>
    <e v="#DIV/0!"/>
    <n v="0"/>
    <m/>
    <e v="#DIV/0!"/>
    <n v="1"/>
    <m/>
    <n v="0"/>
    <n v="1"/>
    <n v="0"/>
    <e v="#DIV/0!"/>
  </r>
  <r>
    <n v="182"/>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Realizar el 100% de unidades de análisis de las mortalidades por EISP y de casos de morbilidad por EISP según lineamientos del INS"/>
    <s v="Procesos transversales de la Gestion de la Salud Pública"/>
    <n v="70"/>
    <s v="Porcentaje"/>
    <n v="8"/>
    <n v="15"/>
    <n v="187.5"/>
    <n v="21"/>
    <n v="26"/>
    <n v="123.80952380952381"/>
    <n v="21"/>
    <m/>
    <n v="0"/>
    <n v="20"/>
    <m/>
    <n v="0"/>
    <n v="70"/>
    <n v="41"/>
    <n v="141.37931034482759"/>
  </r>
  <r>
    <n v="183"/>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Capacidades fortalecidas para la gestión del conocimiento en salud pública  "/>
    <s v="Fortalecimiento de las capacidades del Talento Humano en el acceso y uso de la oferta actual de información pública de salud y de otros sector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Desarrollar procesos de capacitación dirigidos al talento humano operativo de la Secretaría de Salud, orientados al fortalecimiento de competencias técnicas en vigilancia en salud pública, con el fin de mejorar la calidad del análisis, la notificación y l"/>
    <s v="Procesos transversales de la Gestion de la Salud Pública"/>
    <n v="5"/>
    <s v="Número"/>
    <n v="0"/>
    <n v="0"/>
    <e v="#DIV/0!"/>
    <n v="1"/>
    <n v="4"/>
    <n v="400"/>
    <n v="2"/>
    <m/>
    <n v="0"/>
    <n v="2"/>
    <m/>
    <n v="0"/>
    <n v="5"/>
    <n v="4"/>
    <n v="400"/>
  </r>
  <r>
    <n v="184"/>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Nivel Nacional y entes territoriales preparados y fortalecidos para la gestión del conocimiento, prevención, y atención sectorial e intersectorial de emergencias, desastres y pandemias."/>
    <s v="Fortalecimiento de capacidades comunitarias en la gestión del riesgo de emergencias y desastres que afecten la salud de la población."/>
    <s v="A 2031 se establecerán en el 100% de los Departamentos y Distritos, sistemas de alerta temprana para la identificación del riesgo por el cambio climático y la posible vulnerabilidad de la población desde un enfoque territorial."/>
    <s v="A 2027 se establecerán en el 100% sistemas de alerta temprana para la identificación del riesgo por el cambio climático y la posible vulnerabilidad de la población desde un enfoque territorial."/>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Realizar talleres de REVCOM para fortalecer la participación social y comunitaria en la identificación oportuna de EISP o situaciones de riesgo en salud de la población general y poblacion migrante."/>
    <s v="Procesos transversales de la Gestion de la Salud Pública"/>
    <n v="2"/>
    <s v="Número"/>
    <n v="0"/>
    <n v="0"/>
    <e v="#DIV/0!"/>
    <n v="2"/>
    <n v="2"/>
    <n v="100"/>
    <n v="0"/>
    <m/>
    <e v="#DIV/0!"/>
    <n v="0"/>
    <m/>
    <e v="#DIV/0!"/>
    <n v="2"/>
    <n v="2"/>
    <n v="100"/>
  </r>
  <r>
    <n v="185"/>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Producción, organización, depuración y reporte de la información en salud pública"/>
    <s v="A 2031 se establecerán en el 100% de los Departamentos y Distritos, sistemas de alerta temprana para la identificación del riesgo por el cambio climático y la posible vulnerabilidad de la población desde un enfoque territorial."/>
    <s v="A 2027 se establecerán en el 100% sistemas de alerta temprana para la identificación del riesgo por el cambio climático y la posible vulnerabilidad de la población desde un enfoque territorial."/>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Elaborar, analisar y divulgar boletines epidemiológicos quincenales con información actualizada sobre la dinámica de los Eventos de Interés en Salud Pública (EISP) notificados a la Unidad Notificadora Departamental (UND), incorporando el análisis diferenc"/>
    <s v="Procesos transversales de la Gestion de la Salud Pública"/>
    <n v="24"/>
    <s v="Documento"/>
    <n v="6"/>
    <n v="6"/>
    <n v="100"/>
    <n v="6"/>
    <n v="6"/>
    <n v="100"/>
    <n v="6"/>
    <m/>
    <n v="0"/>
    <n v="6"/>
    <m/>
    <n v="0"/>
    <n v="24"/>
    <n v="12"/>
    <n v="100"/>
  </r>
  <r>
    <n v="186"/>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
    <s v="Fortalecimiento de las capacidades del Talento Humano en la implementación de estrategias para la generación de conocimiento de las condiciones de salud de la población y sus determinantes tales como observatorios, ASIS, unidades de análisis, seminarios, "/>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Socializar periódicamente con cada área de la Secretaría de Salud los datos específicos relacionados con los Eventos de Interés en Salud Pública (EISP) y los principales fenómenos epidemiológicos de los municipios, con el fin de fortalecer la planificació"/>
    <s v="Procesos transversales de la Gestion de la Salud Pública"/>
    <n v="55"/>
    <s v="Documento"/>
    <n v="10"/>
    <n v="21"/>
    <n v="210"/>
    <n v="15"/>
    <n v="45"/>
    <n v="300"/>
    <n v="15"/>
    <m/>
    <n v="0"/>
    <n v="15"/>
    <m/>
    <n v="0"/>
    <n v="55"/>
    <n v="66"/>
    <n v="264"/>
  </r>
  <r>
    <n v="18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7-A 2031, el 100% de las entidades territoriales habrán implementado la Política Integral de Salud Ambiental (PISA)"/>
    <s v="67-A 2031, el 100% de las entidades territoriales habrán implementado la Política Integral de Salud Ambiental (PISA)"/>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la recoleccion mensual de los residuos peligrosos y químicos en el laboratorio de salud publica del Magdalena"/>
    <s v="Procesos transversales de la Gestion de la Salud Pública"/>
    <n v="100"/>
    <s v="Porcentaje"/>
    <n v="0"/>
    <m/>
    <e v="#DIV/0!"/>
    <n v="1"/>
    <m/>
    <n v="0"/>
    <n v="2"/>
    <m/>
    <n v="0"/>
    <n v="2"/>
    <m/>
    <n v="0"/>
    <n v="100"/>
    <n v="0"/>
    <n v="0"/>
  </r>
  <r>
    <n v="188"/>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el transporte aéreo y terrestre de sustancias infecciosas, aguas , alimentos y material entomologico al Instituto Nacional de Salud, INVIMA y otros laboratorios del País."/>
    <s v="Procesos transversales de la Gestion de la Salud Pública"/>
    <n v="100"/>
    <s v="Porcentaje"/>
    <n v="0"/>
    <m/>
    <e v="#DIV/0!"/>
    <n v="1"/>
    <m/>
    <n v="0"/>
    <n v="2"/>
    <m/>
    <n v="0"/>
    <n v="1"/>
    <m/>
    <n v="0"/>
    <n v="100"/>
    <n v="0"/>
    <n v="0"/>
  </r>
  <r>
    <n v="189"/>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cursos de entrenamiento para profesionales de la salud, en montaje y lectura de pruebas rapidas de VIH, Hepatitis y sifilis en el marco del cumplimiento de la Resolución 1314/2020"/>
    <s v="Procesos transversales de la Gestion de la Salud Pública"/>
    <n v="5"/>
    <s v="Número"/>
    <n v="6"/>
    <m/>
    <n v="0"/>
    <n v="6"/>
    <m/>
    <n v="0"/>
    <n v="6"/>
    <m/>
    <n v="0"/>
    <n v="6"/>
    <m/>
    <n v="0"/>
    <n v="5"/>
    <n v="0"/>
    <n v="0"/>
  </r>
  <r>
    <n v="190"/>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Curso teórico Práctico de herramientas diagnósticas de eventos de interés de Salud Pública a toda la red departamental"/>
    <s v="Procesos transversales de la Gestion de la Salud Pública"/>
    <n v="4"/>
    <s v="Número"/>
    <n v="10"/>
    <m/>
    <n v="0"/>
    <n v="15"/>
    <m/>
    <n v="0"/>
    <n v="15"/>
    <m/>
    <n v="0"/>
    <n v="15"/>
    <m/>
    <n v="0"/>
    <n v="4"/>
    <n v="0"/>
    <n v="0"/>
  </r>
  <r>
    <n v="191"/>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plan de mantenimiento preventivo, correctivo, calibración y calificación de los equipos del Laboratorio de Salud Publica, asegurando el cumplimiento de los requisitos del Organismo Nacional de Acreditación de Colombia ONAC y su documento norma"/>
    <s v="Procesos transversales de la Gestion de la Salud Pública"/>
    <n v="100"/>
    <s v="Porcentaje"/>
    <n v="25"/>
    <m/>
    <n v="0"/>
    <n v="25"/>
    <m/>
    <n v="0"/>
    <n v="25"/>
    <m/>
    <n v="0"/>
    <n v="25"/>
    <m/>
    <n v="0"/>
    <n v="100"/>
    <n v="0"/>
    <n v="0"/>
  </r>
  <r>
    <n v="192"/>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Plan de Mantenimiento Preventivo y Correctivo de la Planta Electrica del Laboratorio de Salud Publica Departamental del Magdalena; el cual debe llevarlo a cabo una empresa cuyo domicilio principal y razon social este en la ciudad de Santa Mart"/>
    <s v="Procesos transversales de la Gestion de la Salud Pública"/>
    <n v="100"/>
    <s v="Porcentaje"/>
    <n v="25"/>
    <m/>
    <n v="0"/>
    <n v="25"/>
    <m/>
    <n v="0"/>
    <n v="25"/>
    <m/>
    <n v="0"/>
    <n v="25"/>
    <m/>
    <n v="0"/>
    <n v="100"/>
    <n v="0"/>
    <n v="0"/>
  </r>
  <r>
    <n v="193"/>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compra de equipos biomedicos, de sistema de informacion, para cumplir con los procesos misionales y para la bioseguridad en el LSP que garantice las acciones de vigilancia de salud Pública por el LSP ."/>
    <s v="Procesos transversales de la Gestion de la Salud Pública"/>
    <n v="100"/>
    <s v="Porcentaje"/>
    <n v="1"/>
    <m/>
    <n v="0"/>
    <n v="2"/>
    <m/>
    <n v="0"/>
    <n v="1"/>
    <m/>
    <n v="0"/>
    <n v="1"/>
    <m/>
    <n v="0"/>
    <n v="100"/>
    <n v="0"/>
    <n v="0"/>
  </r>
  <r>
    <n v="194"/>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compra de insumos y reactivos para cumplir con los procesos misionales y para la bioseguridad en el LSP que garantice las acciones de vigilancia de salud Pública por el LSP ."/>
    <s v="Procesos transversales de la Gestion de la Salud Pública"/>
    <n v="100"/>
    <s v="Porcentaje"/>
    <n v="1"/>
    <m/>
    <n v="0"/>
    <n v="1"/>
    <m/>
    <n v="0"/>
    <n v="1"/>
    <m/>
    <n v="0"/>
    <n v="1"/>
    <m/>
    <n v="0"/>
    <n v="100"/>
    <n v="0"/>
    <n v="0"/>
  </r>
  <r>
    <n v="195"/>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Mantenimiento y actualizacion de software para el Laboratorio de Salud Publica para el manejo del sistema de gestion de la calidad"/>
    <s v="Procesos transversales de la Gestion de la Salud Pública"/>
    <n v="100"/>
    <s v="Porcentaje"/>
    <n v="25"/>
    <m/>
    <n v="0"/>
    <n v="25"/>
    <m/>
    <n v="0"/>
    <n v="25"/>
    <m/>
    <n v="0"/>
    <n v="25"/>
    <m/>
    <n v="0"/>
    <n v="100"/>
    <n v="0"/>
    <n v="0"/>
  </r>
  <r>
    <n v="196"/>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Adquisicion de software para gestionar las muestras en el area Microbiologia de Alimentos para laboratorio de salud publica"/>
    <s v="Procesos transversales de la Gestion de la Salud Pública"/>
    <n v="1"/>
    <s v="Número"/>
    <n v="25"/>
    <m/>
    <n v="0"/>
    <n v="25"/>
    <m/>
    <n v="0"/>
    <n v="25"/>
    <m/>
    <n v="0"/>
    <n v="25"/>
    <m/>
    <n v="0"/>
    <n v="1"/>
    <n v="0"/>
    <n v="0"/>
  </r>
  <r>
    <n v="19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Plan de control de plagas del Laboratorio de Salud Publica Departamental del Magdalena; el cual debe llevarlo a cabo una empresa cuyo domicilio principal y razon social este en la ciudad de Santa Marta ( Magdalena)."/>
    <s v="Procesos transversales de la Gestion de la Salud Pública"/>
    <n v="100"/>
    <s v="Porcentaje"/>
    <n v="25"/>
    <m/>
    <n v="0"/>
    <n v="25"/>
    <m/>
    <n v="0"/>
    <n v="25"/>
    <m/>
    <n v="0"/>
    <n v="25"/>
    <m/>
    <n v="0"/>
    <n v="100"/>
    <n v="0"/>
    <n v="0"/>
  </r>
  <r>
    <n v="198"/>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el analisis de vertimientos de acuerdo a la resolucion Resolución 0631 de 2015 el cual debe llevarlo a cabo una laboratorio acreditado."/>
    <s v="Procesos transversales de la Gestion de la Salud Pública"/>
    <n v="100"/>
    <s v="Porcentaje"/>
    <n v="25"/>
    <m/>
    <n v="0"/>
    <n v="25"/>
    <m/>
    <n v="0"/>
    <n v="25"/>
    <m/>
    <n v="0"/>
    <n v="25"/>
    <m/>
    <n v="0"/>
    <n v="100"/>
    <n v="0"/>
    <n v="0"/>
  </r>
  <r>
    <n v="199"/>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68-A 2031,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el mantenimiento de motobombas y limpieza y desinfeccion del sistema de suministro de agua del laboratorio de salud Publica el cual debe llevarlo a cabo 2 veces al año una empresa cuyo domicilio principal y razon social este en la ciudad de San"/>
    <s v="Procesos transversales de la Gestion de la Salud Pública"/>
    <n v="100"/>
    <s v="Porcentaje"/>
    <n v="25"/>
    <m/>
    <n v="0"/>
    <n v="25"/>
    <m/>
    <n v="0"/>
    <n v="25"/>
    <m/>
    <n v="0"/>
    <n v="25"/>
    <m/>
    <n v="0"/>
    <n v="100"/>
    <n v="0"/>
    <n v="0"/>
  </r>
  <r>
    <n v="200"/>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la migracion de la Norma ISO/IEC 17025 2005 a Norma ISO/IEC 17025 2017 para dar cumplimiento a los halazgos del INS e INVIMA y actualizar el sistema de Gestion de la Calidad del laboratorio de Salud Publica"/>
    <s v="Procesos transversales de la Gestion de la Salud Pública"/>
    <n v="100"/>
    <s v="Porcentaje"/>
    <m/>
    <m/>
    <e v="#DIV/0!"/>
    <m/>
    <m/>
    <e v="#DIV/0!"/>
    <m/>
    <m/>
    <e v="#DIV/0!"/>
    <n v="1"/>
    <m/>
    <n v="0"/>
    <n v="100"/>
    <n v="0"/>
    <n v="0"/>
  </r>
  <r>
    <n v="201"/>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encuentro de laboratorios de Banco Sangre departamental para la concertar estrategias para la concientizacion de la donacion de sangre"/>
    <s v="Procesos transversales de la Gestion de la Salud Pública"/>
    <n v="1"/>
    <s v="Número"/>
    <n v="25"/>
    <m/>
    <n v="0"/>
    <n v="25"/>
    <m/>
    <n v="0"/>
    <n v="25"/>
    <m/>
    <n v="0"/>
    <n v="25"/>
    <m/>
    <n v="0"/>
    <n v="1"/>
    <n v="0"/>
    <n v="0"/>
  </r>
  <r>
    <n v="202"/>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85-A 2031, 15% de municipios endémicos para malaria pasan de categoría de riesgo 4 a 3"/>
    <s v="85-A 2031, 15% de municipios endémicos para malaria pasan de categoría de riesgo 4 a 3"/>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Hacer captura de material entomologico para malaria, chagas y leishmaniasis en municipios priorizados según programacion definida"/>
    <s v="Procesos transversales de la Gestion de la Salud Pública"/>
    <n v="100"/>
    <s v="Porcentaje"/>
    <n v="25"/>
    <m/>
    <n v="0"/>
    <n v="25"/>
    <m/>
    <n v="0"/>
    <n v="25"/>
    <m/>
    <n v="0"/>
    <n v="25"/>
    <m/>
    <n v="0"/>
    <n v="100"/>
    <n v="0"/>
    <n v="0"/>
  </r>
  <r>
    <n v="203"/>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68-A 2031,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vigilancia por laboratorio de la calidad de agua para consumo humano (IRCA ) de los municipios del departamento del Magdalena con reporte a SIVICAP"/>
    <s v="Procesos transversales de la Gestion de la Salud Pública"/>
    <n v="120"/>
    <s v="Número"/>
    <n v="25"/>
    <m/>
    <n v="0"/>
    <n v="25"/>
    <m/>
    <n v="0"/>
    <n v="25"/>
    <m/>
    <n v="0"/>
    <n v="25"/>
    <m/>
    <n v="0"/>
    <n v="120"/>
    <n v="0"/>
    <n v="0"/>
  </r>
  <r>
    <n v="204"/>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A 2031, reducir en 50% la tasa de mortalidad por EDA en menores de 5 años"/>
    <s v="9-A 2031, reducir en 50% la tasa de mortalidad por EDA en menores de 5 añ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Vigilancia por laboratorio de los alimentos y ETAS en los municipios del Departamento del Magdalena y su reporte al Epiinfo."/>
    <s v="Procesos transversales de la Gestion de la Salud Pública"/>
    <n v="12"/>
    <s v="Número"/>
    <n v="25"/>
    <m/>
    <n v="0"/>
    <n v="25"/>
    <m/>
    <n v="0"/>
    <n v="25"/>
    <m/>
    <n v="0"/>
    <n v="25"/>
    <m/>
    <n v="0"/>
    <n v="12"/>
    <n v="0"/>
    <n v="0"/>
  </r>
  <r>
    <n v="205"/>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7-A 2031, el 100% de las entidades territoriales habrán implementado la Política Integral de Salud Ambiental (PISA)"/>
    <s v="67-A 2031, el 100% de las entidades territoriales habrán implementado la Política Integral de Salud Ambiental (PISA)"/>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Vigilancia por laboratorio de las Intoxicación ocasionadas por plaguicidas, organofosforados y carbamatos en Municipios priorizados del Departamento del Magdalena."/>
    <s v="Procesos transversales de la Gestion de la Salud Pública"/>
    <n v="4"/>
    <s v="Número"/>
    <m/>
    <m/>
    <e v="#DIV/0!"/>
    <m/>
    <m/>
    <e v="#DIV/0!"/>
    <n v="1"/>
    <m/>
    <n v="0"/>
    <m/>
    <m/>
    <e v="#DIV/0!"/>
    <n v="4"/>
    <n v="0"/>
    <n v="0"/>
  </r>
  <r>
    <n v="206"/>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control de Calidad por laboratorio de los eventos de interes en salud publica de las muestras enviadas por la red de laboratorios del Distrito y del Departamento"/>
    <s v="Procesos transversales de la Gestion de la Salud Pública"/>
    <n v="400"/>
    <s v="Porcentaje"/>
    <n v="25"/>
    <m/>
    <n v="0"/>
    <n v="25"/>
    <m/>
    <n v="0"/>
    <n v="25"/>
    <m/>
    <n v="0"/>
    <n v="25"/>
    <m/>
    <n v="0"/>
    <n v="400"/>
    <n v="0"/>
    <n v="0"/>
  </r>
  <r>
    <n v="20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9-A 2031, 50% de las personas que son confirmadas por banco de sangre para HTLV, VIH, Hepatitis B y C, enfermedad de Chagas y sífilis acceden a la atención integral en salud."/>
    <s v="79-A 2031, 50% de las personas que son confirmadas por banco de sangre para HTLV, VIH, Hepatitis B y C, enfermedad de Chagas y sífilis acceden a la atención integral en salud."/>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visitas e inspeccion y asistencia tecnicas a los Bancos de sangre del Departamento del Magdalena"/>
    <s v="Procesos transversales de la Gestion de la Salud Pública"/>
    <n v="9"/>
    <s v="Número"/>
    <n v="30"/>
    <m/>
    <n v="0"/>
    <n v="30"/>
    <m/>
    <n v="0"/>
    <n v="30"/>
    <m/>
    <n v="0"/>
    <n v="30"/>
    <m/>
    <n v="0"/>
    <n v="9"/>
    <n v="0"/>
    <n v="0"/>
  </r>
  <r>
    <n v="208"/>
    <s v="Inadecuada e insuficiente infraestructura hospitalaria y débil institucionalidad para la prestación del servicio de salud que se evidencian en el incumplimiento de la aplicación de las guías clínicas de atención, la inoportunidad del servicio y baja imple"/>
    <s v="Personal de salud"/>
    <s v="iii) Trabajo digno y decente para el talento humano en salud y otros trabajadores del sector"/>
    <s v="Entidades Territoriales Departamentales, Distritales y Municipales con mecanismos fortalecidos para el ejercicio de la Rectoría en Salud."/>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
    <s v="Desarrollo institucional y sectorial para el ejercicio de la autoridad sanitaria"/>
    <s v="Gestionar la contratación del talento humano operativo para el desarrollo de los procesos a cargo de la Entidad territorial como autoridad sanitaria, orientados a que las estrategias, procedimientos e intervenciones de Salud Pública se realicen de manera "/>
    <s v="Procesos transversales de la Gestion de la Salud Pública"/>
    <n v="100"/>
    <s v="Porcentaje"/>
    <n v="3"/>
    <m/>
    <n v="0"/>
    <n v="3"/>
    <m/>
    <n v="0"/>
    <n v="3"/>
    <m/>
    <n v="0"/>
    <n v="3"/>
    <m/>
    <n v="0"/>
    <n v="100"/>
    <n v="0"/>
    <n v="0"/>
  </r>
  <r>
    <n v="209"/>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
    <s v="Desarrollo institucional y sectorial para el ejercicio de la autoridad sanitaria"/>
    <s v="Desarrollo de capacidades frente a la planeacion integral en salud, la Formulacion coherente, pertinente y oportuna de las intervenciones del PIC/GSP Resolucion 1597/25"/>
    <s v="Procesos transversales de la Gestion de la Salud Pública"/>
    <n v="2"/>
    <s v="Número"/>
    <n v="0"/>
    <m/>
    <e v="#DIV/0!"/>
    <n v="1"/>
    <m/>
    <n v="0"/>
    <n v="2"/>
    <m/>
    <n v="0"/>
    <n v="1"/>
    <m/>
    <n v="0"/>
    <n v="2"/>
    <n v="0"/>
    <n v="0"/>
  </r>
  <r>
    <n v="210"/>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
    <s v="Desarrollo institucional y sectorial para el ejercicio de la autoridad sanitaria"/>
    <s v="Desarrollo de capacidades los EBS para la optima ejecucion de las acciones en campo"/>
    <s v="Procesos transversales de la Gestion de la Salud Pública"/>
    <n v="2"/>
    <s v="Número"/>
    <n v="100"/>
    <m/>
    <n v="0"/>
    <n v="100"/>
    <m/>
    <n v="0"/>
    <n v="100"/>
    <m/>
    <n v="0"/>
    <n v="100"/>
    <m/>
    <n v="0"/>
    <n v="2"/>
    <n v="0"/>
    <n v="0"/>
  </r>
  <r>
    <n v="211"/>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
    <s v="Desarrollo institucional y sectorial para el ejercicio de la autoridad sanitaria"/>
    <s v="Desarrollo de capacidades en Plan Terrirotial de Salud"/>
    <s v="Procesos transversales de la Gestion de la Salud Pública"/>
    <n v="4"/>
    <s v="Número"/>
    <n v="0"/>
    <m/>
    <e v="#DIV/0!"/>
    <n v="3"/>
    <m/>
    <n v="0"/>
    <n v="3"/>
    <m/>
    <n v="0"/>
    <n v="3"/>
    <m/>
    <n v="0"/>
    <n v="4"/>
    <n v="0"/>
    <n v="0"/>
  </r>
  <r>
    <n v="212"/>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Mejorar la dotacion del Fondo Rotatorio de Estupefacientes con la adquisicion de 4 aires acondicionados ( 2 de 24000 BTU, 2 12000 BTU), desmonte de aires viejos e instalación de los nuevos."/>
    <s v="Procesos transversales de la Gestion de la Salud Pública"/>
    <n v="100"/>
    <s v="Número"/>
    <m/>
    <m/>
    <e v="#DIV/0!"/>
    <n v="60"/>
    <m/>
    <n v="0"/>
    <n v="20"/>
    <m/>
    <n v="0"/>
    <n v="20"/>
    <m/>
    <n v="0"/>
    <n v="100"/>
    <n v="0"/>
    <n v="0"/>
  </r>
  <r>
    <n v="213"/>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95-A 2031, mantener la tasa de mortalidad de suicidio por debajo de 5"/>
    <s v="Mantener por debajo de 5 por 100.000 habitantes la tasa de suicidio"/>
    <s v="Salud Pública"/>
    <s v="Médico en tu casa"/>
    <s v="Fortalecimiento de Estrategias para la Promoción de la Salud y Prevención de Enfermedades en Comunidades, mediante acciones Integrales, Participativas y Sostenibles en el Departamento del Magdalena."/>
    <s v="Implementar la línea telefonica de atencion en salud mental en el departamento del Magdalena"/>
    <s v="DESARROLLO INSTITUCIONAL Y SECTORIAL PARA EL EJERCICIO DE LA AUTORIDAD SANITARIA."/>
    <s v="Diseñar y formalizar el protocolo técnico-operativo de la línea telefónica departamental de atención en salud mental por parte de la Secretaría Seccional de Salud del Magdalena mediante acto administrativo que defina ruta de atención, perfiles del talento"/>
    <s v="Procesos transversales de la Gestion de la Salud Pública"/>
    <n v="1"/>
    <s v="Documento"/>
    <m/>
    <m/>
    <e v="#DIV/0!"/>
    <m/>
    <m/>
    <e v="#DIV/0!"/>
    <n v="2"/>
    <m/>
    <n v="0"/>
    <m/>
    <m/>
    <e v="#DIV/0!"/>
    <n v="1"/>
    <n v="0"/>
    <n v="0"/>
  </r>
  <r>
    <n v="214"/>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95-A 2031, mantener la tasa de mortalidad de suicidio por debajo de 5"/>
    <s v="Mantener por debajo de 5 por 100.000 habitantes la tasa de suicidio"/>
    <s v="Salud Pública"/>
    <s v="Médico en tu casa"/>
    <s v="Fortalecimiento de Estrategias para la Promoción de la Salud y Prevención de Enfermedades en Comunidades, mediante acciones Integrales, Participativas y Sostenibles en el Departamento del Magdalena."/>
    <s v="Implementar la línea telefonica de atencion en salud mental en el departamento del Magdalena"/>
    <s v="ACUERDOS SOCIALES Y COMUNITARIOS PARA LA TRANSFORMACIÓN DE LAS INEQUIDADES EN SALUD  Y LA INCIDENCIA SOBRE LOS DETERMINANTES SOCIALES DE LA SALUD EN EL TERRITORIO."/>
    <s v="Concertar acuerdos territoriales de promoción y uso de la línea telefónica de salud mental con actores comunitarios, educativos y sociales del departamento del Magdalena mediante mesas de trabajo que definan estrategias de difusión, enfoque diferencial y "/>
    <s v="Procesos transversales de la Gestion de la Salud Pública"/>
    <n v="100"/>
    <s v="Porcentaaje de gestión"/>
    <m/>
    <m/>
    <e v="#DIV/0!"/>
    <n v="2"/>
    <m/>
    <n v="0"/>
    <n v="2"/>
    <m/>
    <n v="0"/>
    <m/>
    <m/>
    <e v="#DIV/0!"/>
    <n v="100"/>
    <n v="0"/>
    <n v="0"/>
  </r>
  <r>
    <n v="215"/>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95-A 2031, mantener la tasa de mortalidad de suicidio por debajo de 5"/>
    <s v="Mantener por debajo de 5 por 100.000 habitantes la tasa de suicidio"/>
    <s v="Salud Pública"/>
    <s v="Médico en tu casa"/>
    <s v="Fortalecimiento de Estrategias para la Promoción de la Salud y Prevención de Enfermedades en Comunidades, mediante acciones Integrales, Participativas y Sostenibles en el Departamento del Magdalena."/>
    <s v="Implementar la línea telefonica de atencion en salud mental en el departamento del Magdalena"/>
    <s v="Cuidado de la Salud en el Territorio."/>
    <s v="Implementar la operación continua de la línea telefónica departamental de atención en salud mental por el equipo interdisciplinario contratado mediante prestación de servicio 24/7 que garantice orientación, intervención en crisis y activación oportuna de "/>
    <s v="Procesos transversales de la Gestion de la Salud Pública"/>
    <n v="360"/>
    <s v="dias"/>
    <m/>
    <m/>
    <e v="#DIV/0!"/>
    <m/>
    <m/>
    <e v="#DIV/0!"/>
    <n v="2"/>
    <m/>
    <n v="0"/>
    <n v="2"/>
    <m/>
    <n v="0"/>
    <n v="360"/>
    <n v="0"/>
    <n v="0"/>
  </r>
  <r>
    <n v="216"/>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9-A 2031, reducir en 50% la tasa de mortalidad por EDA en menores de 5 años"/>
    <s v="Disminuir la Tasa de mortalidad por EDA a 4,3 por 100.000 menores de 5 años"/>
    <s v="Salud Pública"/>
    <s v="Médico en tu casa"/>
    <s v="Fortalecimiento de Estrategias para la Promoción de la Salud y Prevención de Enfermedades en Comunidades, mediante acciones Integrales, Participativas y Sostenibles en el Departamento del Magdalena."/>
    <s v="Realizar estrategias de educomunicacion en salud sexual y reproductiva en IED priorizadas en el departamento"/>
    <s v="DESARROLLO INSTITUCIONAL Y SECTORIAL PARA EL EJERCICIO DE LA AUTORIDAD SANITARIA."/>
    <s v="Diseñar y adoptar el plan técnico departamental de comunicación en salud sexual y reproductiva para IED priorizadas por la Secretaría Seccional de Salud del Magdalena mediante acto administrativo que defina lineamientos pedagógicos, enfoque diferencial, a"/>
    <s v="Procesos transversales de la Gestion de la Salud Pública"/>
    <n v="1"/>
    <s v="Documento( Plan )"/>
    <n v="0"/>
    <n v="0"/>
    <e v="#DIV/0!"/>
    <n v="0"/>
    <n v="0"/>
    <e v="#DIV/0!"/>
    <n v="1"/>
    <m/>
    <n v="0"/>
    <n v="0"/>
    <m/>
    <e v="#DIV/0!"/>
    <n v="1"/>
    <n v="0"/>
    <e v="#DIV/0!"/>
  </r>
  <r>
    <n v="217"/>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9-A 2031, reducir en 50% la tasa de mortalidad por EDA en menores de 5 años"/>
    <s v="Disminuir la Tasa de mortalidad por EDA a 4,3 por 100.000 menores de 5 años"/>
    <s v="Salud Pública"/>
    <s v="Médico en tu casa"/>
    <s v="Fortalecimiento de Estrategias para la Promoción de la Salud y Prevención de Enfermedades en Comunidades, mediante acciones Integrales, Participativas y Sostenibles en el Departamento del Magdalena."/>
    <s v="Realizar estrategias de educomunicacion en salud sexual y reproductiva en IED priorizadas en el departamento"/>
    <s v="ACUERDOS SOCIALES Y COMUNITARIOS PARA LA TRANSFORMACIÓN DE LAS INEQUIDADES EN SALUD  Y LA INCIDENCIA SOBRE LOS DETERMINANTES SOCIALES DE LA SALUD EN EL TERRITORIO."/>
    <s v="Concertar acuerdos intersectoriales de implementación de estrategias de educomunicación en salud sexual y reproductiva con directivos docentes, asociaciones de padres y líderes juveniles en los municipios del departamento mediante mesas territoriales que "/>
    <s v="Procesos transversales de la Gestion de la Salud Pública"/>
    <n v="29"/>
    <s v="municipios"/>
    <m/>
    <m/>
    <e v="#DIV/0!"/>
    <m/>
    <m/>
    <e v="#DIV/0!"/>
    <n v="1"/>
    <m/>
    <n v="0"/>
    <m/>
    <m/>
    <e v="#DIV/0!"/>
    <n v="29"/>
    <n v="0"/>
    <n v="0"/>
  </r>
  <r>
    <n v="218"/>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9-A 2031, reducir en 50% la tasa de mortalidad por EDA en menores de 5 años"/>
    <s v="Disminuir la Tasa de mortalidad por EDA a 4,3 por 100.000 menores de 5 años"/>
    <s v="Salud Pública"/>
    <s v="Médico en tu casa"/>
    <s v="Fortalecimiento de Estrategias para la Promoción de la Salud y Prevención de Enfermedades en Comunidades, mediante acciones Integrales, Participativas y Sostenibles en el Departamento del Magdalena."/>
    <s v="Realizar estrategias de educomunicacion en salud sexual y reproductiva en IED priorizadas en el departamento"/>
    <s v="Cuidado de la Salud en el Territorio."/>
    <s v="Implementar jornadas pedagógicas y campañas educomunicativas en salud sexual y reproductiva en IED priorizadas por el equipo técnico de salud pública en cada municipio  del Deparatemento para la activación de rutas de orientación y acceso a servicios amig"/>
    <s v="Procesos transversales de la Gestion de la Salud Pública"/>
    <n v="29"/>
    <s v="municipios"/>
    <m/>
    <m/>
    <e v="#DIV/0!"/>
    <m/>
    <m/>
    <e v="#DIV/0!"/>
    <n v="50"/>
    <m/>
    <n v="0"/>
    <n v="50"/>
    <m/>
    <n v="0"/>
    <n v="29"/>
    <n v="0"/>
    <n v="0"/>
  </r>
  <r>
    <n v="219"/>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1-A 2031, reducir a 32 por 100.000 nacidos vivos la razón de mortalidad materna"/>
    <s v="A 2031 Disminuir a 32 x 100.000 NVla razón de mortalidad materna a "/>
    <s v="Salud Pública"/>
    <s v="Médico en tu casa"/>
    <s v="Fortalecimiento de Estrategias para la Promoción de la Salud y Prevención de Enfermedades en Comunidades, mediante acciones Integrales, Participativas y Sostenibles en el Departamento del Magdalena."/>
    <s v="Implementación de la estrategia nacional para la prevencion de la conducta suicida en las IPS publicas del departamento"/>
    <s v="DESARROLLO INSTITUCIONAL Y SECTORIAL PARA EL EJERCICIO DE LA AUTORIDAD SANITARIA."/>
    <s v="Adoptar y reglamentar la estrategia nacional de prevención de la conducta suicida en las IPS públicas del departamento por la Secretaría Seccional de Salud del Magdalena mediante acto administrativo que defina lineamientos técnicos, responsabilidades inst"/>
    <s v="Procesos transversales de la Gestion de la Salud Pública"/>
    <n v="1"/>
    <s v="Estrategia"/>
    <n v="0"/>
    <n v="0"/>
    <e v="#DIV/0!"/>
    <n v="0"/>
    <n v="0"/>
    <e v="#DIV/0!"/>
    <n v="1"/>
    <m/>
    <n v="0"/>
    <n v="0"/>
    <m/>
    <e v="#DIV/0!"/>
    <n v="1"/>
    <n v="0"/>
    <e v="#DIV/0!"/>
  </r>
  <r>
    <n v="220"/>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1-A 2031, reducir a 32 por 100.000 nacidos vivos la razón de mortalidad materna"/>
    <s v="A 2031 Disminuir a 32 x 100.000 NVla razón de mortalidad materna a "/>
    <s v="Salud Pública"/>
    <s v="Médico en tu casa"/>
    <s v="Fortalecimiento de Estrategias para la Promoción de la Salud y Prevención de Enfermedades en Comunidades, mediante acciones Integrales, Participativas y Sostenibles en el Departamento del Magdalena."/>
    <s v="Implementación de la estrategia nacional para la prevencion de la conducta suicida en las IPS publicas del departamento"/>
    <s v="ACUERDOS SOCIALES Y COMUNITARIOS PARA LA TRANSFORMACIÓN DE LAS INEQUIDADES EN SALUD  Y LA INCIDENCIA SOBRE LOS DETERMINANTES SOCIALES DE LA SALUD EN EL TERRITORIO."/>
    <s v="Articular compromisos intersectoriales de prevención de la conducta suicida con sector educativo, comisarías de familia y organizaciones comunitarias del departamento mediante mesas territoriales que establezcan rutas de detección temprana, referencia y a"/>
    <s v="Procesos transversales de la Gestion de la Salud Pública"/>
    <n v="100"/>
    <s v="Porcentaaje de gestión"/>
    <n v="100"/>
    <n v="0"/>
    <n v="0"/>
    <n v="100"/>
    <n v="46"/>
    <n v="46"/>
    <n v="100"/>
    <m/>
    <n v="0"/>
    <n v="100"/>
    <m/>
    <n v="0"/>
    <n v="100"/>
    <n v="46"/>
    <n v="23"/>
  </r>
  <r>
    <n v="221"/>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1-A 2031, reducir a 32 por 100.000 nacidos vivos la razón de mortalidad materna"/>
    <s v="A 2031 Disminuir a 32 x 100.000 NVla razón de mortalidad materna a "/>
    <s v="Salud Pública"/>
    <s v="Médico en tu casa"/>
    <s v="Fortalecimiento de Estrategias para la Promoción de la Salud y Prevención de Enfermedades en Comunidades, mediante acciones Integrales, Participativas y Sostenibles en el Departamento del Magdalena."/>
    <s v="Implementación de la estrategia nacional para la prevencion de la conducta suicida en las IPS publicas del departamento"/>
    <s v="Cuidado de la Salud en el Territorio."/>
    <s v="mplementar la estrategia nacional de prevención de la conducta suicida en las IPS públicas del departamento por los equipos interdisciplinarios de salud mental mediante capacitación al talento humano, tamizaje sistemático de riesgo y activación oportuna d"/>
    <s v="Procesos transversales de la Gestion de la Salud Pública"/>
    <n v="1"/>
    <s v="Estrategia"/>
    <n v="0"/>
    <n v="0"/>
    <e v="#DIV/0!"/>
    <n v="0"/>
    <n v="0"/>
    <e v="#DIV/0!"/>
    <n v="1"/>
    <m/>
    <n v="0"/>
    <m/>
    <m/>
    <e v="#DIV/0!"/>
    <n v="1"/>
    <n v="0"/>
    <e v="#DIV/0!"/>
  </r>
  <r>
    <n v="222"/>
    <s v="Aumento de la Tasa de Incidencia de las enfermedades transmitidas por vectores como el dengue"/>
    <s v="Cambio climático, emergencias, desastres y pandemias"/>
    <s v="Nivel Nacional y entes territoriales preparados y fortalecidos para la gestión del conocimiento, prevención, y atención sectorial e intersectorial de emergencias, desastres y pandemias."/>
    <s v="A 2031 se establecerán en el 100% de los Departamentos y Distritos, sistemas de alerta temprana para la identificación del riesgo por el cambio climático y la posible vulnerabilidad de la población desde un enfoque territorial.  "/>
    <s v="Fortalecimiento de capacidades comunitarias en la gestión del riesgo de emergencias y desastres que afecten la salud de la población.  "/>
    <s v="A 2031 se incorporará en el 100% de los Departamentos y Distritos, el Plan de gestión integral de riesgos de emergencias y desastres en salud (PGIRED)  "/>
    <s v="A 2031 se incorporará en el 100% de los Departamentos y Distritos, el Plan de gestión integral de riesgos de emergencias y desastres en salud (PGIRED)  "/>
    <s v="Reducir a 10% las muertes por dengue grave en el departamento"/>
    <s v="A 2027 Garantizar la vigilancia epidemiologica al los eventos de Interes en Salud Publica, en los 29 municipios del departamento "/>
    <s v="ACUERDOS SOCIALES Y COMUNITARIOS PARA LA TRANSFORMACIÓN DE LAS INEQUIDADES EN SALUD  Y LA INCIDENCIA SOBRE LOS DETERMINANTES SOCIALES DE LA SALUD EN EL TERRITORIO."/>
    <s v="Mé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
    <s v="ACUERDOS SOCIALES Y COMUNITARIOS PARA LA TRANSFORMACIÓN DE LAS INEQUIDADES EN SALUD  Y LA INCIDENCIA SOBRE LOS DETERMINANTES SOCIALES DE LA SALUD EN EL TERRITORIO."/>
    <s v="Articular compromisos comunitarios de apoyo a la vigilancia epidemiológica con actores sociales y educativos de los 29 municipios mediante jornadas participativas que promuevan la identificación temprana de eventos y la activación de rutas institucionales"/>
    <s v="Procesos transversales de la Gestion de la Salud Pública"/>
    <n v="29"/>
    <s v="municipios"/>
    <n v="0"/>
    <n v="0"/>
    <e v="#DIV/0!"/>
    <n v="5"/>
    <n v="0"/>
    <n v="0"/>
    <n v="13"/>
    <m/>
    <n v="0"/>
    <n v="11"/>
    <m/>
    <n v="0"/>
    <n v="29"/>
    <n v="0"/>
    <n v="0"/>
  </r>
  <r>
    <n v="223"/>
    <s v="Deficiencias en la infraestructura sanitaria que se ve reflejada en bajas coberturas de alcantarillado y prestación del servicio de aseo, así como la mala calidad del agua, que condiciona la incidencia de enfermedades transmitidas por el agua y los alimen"/>
    <s v="Cambio climático, emergencias, desastres y pandemias"/>
    <s v="Nivel Nacional y entes territoriales preparados y fortalecidos para la gestión del conocimiento, prevención, y atención sectorial e intersectorial de emergencias, desastres y pandemias."/>
    <s v="a 2031 se incorporará en el 100% de los departamentos y distritos, el plan de gestion en sistemas de alerta temprana para la identificación del riesgo por el cambio climático y la posible vulnerabilidad de la población desde un enfoque territorial"/>
    <s v="fortalecimiento de las capacidades del personal de la salud en todo lo relacionado con los posibles efectos de la variabilidad del cambio climático"/>
    <s v="A 2031 se incorporará en el 100% de los Departamentos y Distritos, el Plan de gestión integral de riesgos de emergencias y desastres en salud (PGIRED)  "/>
    <s v="A 2031 se incorporará en el 100% de los Departamentos y Distritos, el Plan de gestión integral de riesgos de emergencias y desastres en salud (PGIRED)  "/>
    <s v="Reducir a 10% las muertes por dengue grave en el departamento"/>
    <s v="A 2027 Lograr la formulación  y socialización de Planes municipales de Gestion integrl de riesgos de desastres en los 29 municipios"/>
    <s v="CUIDADO DE LA SALUD EN EL TERRITORIO."/>
    <s v="Médico en tu casa"/>
    <s v="Fortalecimiento de Estrategias para la Promoción de la Salud y Prevención de Enfermedades en Comunidades, mediante acciones Integrales, Participativas y Sostenibles en el Departamento del Magdalena."/>
    <s v="Lograr la formulación  y socialización de Planes municipales de Gestion integrl de riesgos de desastres en los 29 municipios"/>
    <s v="Cuidado de la Salud en el Territorio."/>
    <s v="Implementar procesos territoriales de acompañamiento técnico para la formulación y socialización de los Planes Municipales de Gestión Integral del Riesgo de Desastres en los 29 municipios por el equipo departamental de salud pública mediante asistencia té"/>
    <s v="Procesos transversales de la Gestion de la Salud Pública"/>
    <n v="29"/>
    <s v="municipios"/>
    <n v="0"/>
    <n v="0"/>
    <e v="#DIV/0!"/>
    <n v="5"/>
    <n v="0"/>
    <n v="0"/>
    <n v="13"/>
    <m/>
    <n v="0"/>
    <n v="11"/>
    <m/>
    <n v="0"/>
    <n v="29"/>
    <n v="0"/>
    <n v="0"/>
  </r>
  <r>
    <n v="224"/>
    <s v="Inadecuada e insuficiente infraestructura hospitalaria y débil institucionalidad para la prestación del servicio de salud que se evidencian en el incumplimiento de la aplicación de las guías clínicas de atención, la inoportunidad del servicio y baja imple"/>
    <s v="Cambio climático, emergencias, desastres y pandemias"/>
    <s v="Nivel Nacional y entes territoriales preparados y fortalecidos para la gestión del conocimiento, prevención, y atención sectorial e intersectorial de emergencias, desastres y pandemias."/>
    <s v="a 2031 se incorporará en el 100% de los departamentos y distritos, el plan de gestion en sistemas de alerta temprana para la identificación del riesgo por el cambio climático y la posible vulnerabilidad de la población desde un enfoque territorial"/>
    <s v="fortalecimiento de las capacidades del personal de la salud en todo lo relacionado con los posibles efectos de la variabilidad del cambio climático"/>
    <s v="A 2031 se incorporará en el 100% de los Departamentos y Distritos, el Plan de gestión integral de riesgos de emergencias y desastres en salud (PGIRED)  "/>
    <s v="A 2027 Fortalecer 100% de los departamentos y Distritos los sistemas de alerta temprana y la infraestructura sanitaria en zonas rurales para garantizar una respuesta rápida y efectiva ante emergencias climáticas"/>
    <s v="a 2031 Contener la tasa de Mortalidad en menores de 5 años"/>
    <s v="Lograr que los 29 municipios conozcan y apliquen el reglamento sanitario internacional 2005"/>
    <s v="CUIDADO DE LA SALUD EN EL TERRITORIO."/>
    <s v="Médico en tu casa"/>
    <s v="Fortalecimiento de Estrategias para la Promoción de la Salud y Prevención de Enfermedades en Comunidades, mediante acciones Integrales, Participativas y Sostenibles en el Departamento del Magdalena."/>
    <s v="Lograr que los 29 municipios conozcan y apliquen el reglamento sanitario internacional 2005"/>
    <s v="Cuidado de la Salud en el Territorio."/>
    <s v="Implementar procesos de capacitación y acompañamiento técnico para la aplicación del Reglamento Sanitario Internacional 2005 en los 29 municipios por el equipo departamental de vigilancia en salud pública mediante talleres prácticos, simulacros de eventos"/>
    <s v="Procesos transversales de la Gestion de la Salud Pública"/>
    <n v="29"/>
    <s v="municipios"/>
    <n v="0"/>
    <n v="0"/>
    <e v="#DIV/0!"/>
    <n v="5"/>
    <n v="0"/>
    <n v="0"/>
    <n v="13"/>
    <m/>
    <n v="0"/>
    <n v="11"/>
    <m/>
    <n v="0"/>
    <n v="29"/>
    <n v="0"/>
    <n v="0"/>
  </r>
  <r>
    <n v="225"/>
    <s v="Aumento de la Tasa de Incidencia de las enfermedades transmitidas por vectores como el dengue"/>
    <s v="Cambio climático, emergencias, desastres y pandemias"/>
    <s v="Nivel Nacional y entes territoriales preparados y fortalecidos para la gestión del conocimiento, prevención, y atención sectorial e intersectorial de emergencias, desastres y pandemias."/>
    <s v="a 2031 se incorporará en el 100% de los departamentos y distritos, el plan de gestion en sistemas de alerta temprana para la identificación del riesgo por el cambio climático y la posible vulnerabilidad de la población desde un enfoque territorial"/>
    <s v="fortalecimiento de las capacidades del personal de la salud en todo lo relacionado con los posibles efectos de la variabilidad del cambio climático"/>
    <s v="A 2031 se incorporará en el 100% de los Departamentos y Distritos, el Plan de gestión integral de riesgos de emergencias y desastres en salud (PGIRED)  "/>
    <s v="A 2027 Fortalecer 100% de los departamentos y Distritos los sistemas de alerta temprana y la infraestructura sanitaria en zonas rurales para garantizar una respuesta rápida y efectiva ante emergencias climáticas"/>
    <s v="socialización RSI 2006"/>
    <s v="A 2027 Lograr promover el conocimiento de riesgos de desastres en los 29 municipios con el fin de que respondan con eficacia ante las emergencias y desastres que enfrenten"/>
    <s v="CUIDADO DE LA SALUD EN EL TERRITORIO."/>
    <s v="Médico en tu casa"/>
    <s v="Fortalecimiento de Estrategias para la Promoción de la Salud y Prevención de Enfermedades en Comunidades, mediante acciones Integrales, Participativas y Sostenibles en el Departamento del Magdalena."/>
    <s v="Lograr promover el conocimiento de riesgos de desastres en los 29 municipios con el fin de que respondan con eficacia ante las emergencias y desastres que enfrenten"/>
    <s v="Cuidado de la Salud en el Territorio."/>
    <s v="Implementar programas municipales de preparación y respuesta en gestión del riesgo de desastres en los 29 municipios por el equipo departamental de emergencias en salud mediante realización de mínimo un simulacro anual por municipio, capacitación certific"/>
    <s v="Procesos transversales de la Gestion de la Salud Pública"/>
    <n v="29"/>
    <s v="municipios"/>
    <n v="0"/>
    <n v="0"/>
    <e v="#DIV/0!"/>
    <n v="5"/>
    <n v="0"/>
    <n v="0"/>
    <n v="13"/>
    <m/>
    <n v="0"/>
    <n v="11"/>
    <m/>
    <n v="0"/>
    <n v="29"/>
    <n v="0"/>
    <n v="0"/>
  </r>
  <r>
    <n v="226"/>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n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Realizar 4 Mesas de Saneamiento de Cartera trimestral (Circular conjunta 030 de 2013) con su respectivo seguimiento a la red prestadora de salud del Departamento del Magdalena."/>
    <s v="Procesos transversales de la Gestion de la Salud Pública"/>
    <n v="4"/>
    <s v="Número"/>
    <m/>
    <m/>
    <e v="#DIV/0!"/>
    <n v="5"/>
    <m/>
    <n v="0"/>
    <n v="13"/>
    <m/>
    <n v="0"/>
    <n v="11"/>
    <m/>
    <n v="0"/>
    <n v="4"/>
    <n v="0"/>
    <n v="0"/>
  </r>
  <r>
    <n v="227"/>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s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Realizar 60 asistencias tecnicas  presenciales y/o virtuales en materia de aseguramiento a los entes territoriales municipales del Departamento del Magdalena. Realizar 4 Mesas de Saneamiento de Cartera trimestral (Circular conjunta 030 de 2013) con su res"/>
    <s v="Procesos transversales de la Gestion de la Salud Pública"/>
    <n v="60"/>
    <s v="Número"/>
    <m/>
    <m/>
    <e v="#DIV/0!"/>
    <n v="5"/>
    <m/>
    <n v="0"/>
    <n v="13"/>
    <m/>
    <n v="0"/>
    <n v="11"/>
    <m/>
    <n v="0"/>
    <n v="60"/>
    <n v="0"/>
    <n v="0"/>
  </r>
  <r>
    <n v="228"/>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s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Realizar  60 acciones de Inspección, Vigilancia y Control - IVC en materia de Aseguramiento (Base de Datos, Flujo de Recursos, Contratación Red, Auditorias, Régimen Subsidiado, Regimen Contributivo y Especial), del Departamento del Magdalena"/>
    <s v="Procesos transversales de la Gestion de la Salud Pública"/>
    <n v="60"/>
    <s v="Número"/>
    <m/>
    <m/>
    <e v="#DIV/0!"/>
    <n v="5"/>
    <m/>
    <n v="0"/>
    <n v="13"/>
    <m/>
    <n v="0"/>
    <n v="11"/>
    <m/>
    <n v="0"/>
    <n v="60"/>
    <n v="0"/>
    <n v="0"/>
  </r>
  <r>
    <n v="229"/>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s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Realizar verificación a los informes de Inspección y Vigilancias a las Entidades Promotoras de Salud - EPS realizados por los 29 Entes Territoriales Municipales. D emanera semestral."/>
    <s v="Procesos transversales de la Gestion de la Salud Pública"/>
    <n v="58"/>
    <s v="Número"/>
    <m/>
    <m/>
    <e v="#DIV/0!"/>
    <n v="5"/>
    <m/>
    <n v="0"/>
    <n v="13"/>
    <m/>
    <n v="0"/>
    <n v="11"/>
    <m/>
    <n v="0"/>
    <n v="58"/>
    <n v="0"/>
    <n v="0"/>
  </r>
  <r>
    <n v="230"/>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s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Lograr afiliación de 68986 personas en e departamento al año 2026"/>
    <s v="Procesos transversales de la Gestion de la Salud Pública"/>
    <n v="68986"/>
    <s v="Número"/>
    <n v="1"/>
    <m/>
    <n v="0"/>
    <n v="1"/>
    <m/>
    <n v="0"/>
    <n v="1"/>
    <m/>
    <n v="0"/>
    <n v="1"/>
    <m/>
    <n v="0"/>
    <n v="68986"/>
    <n v="0"/>
    <n v="0"/>
  </r>
  <r>
    <n v="231"/>
    <s v="Transversal a todos los núcleos"/>
    <s v="Gobernabilidad y gobernanza de la salud pública"/>
    <s v="i). Gobernabilidad, Gobernanza y Territorialización"/>
    <s v="Territorios saludables articulados y trabajando por la paz, la convivencia pacífica y la_x000a_resiliencia."/>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 actvidad transversal a resultados"/>
    <s v="CAMBIO EN LOS SERVICIOS DE SALUD"/>
    <s v="Na"/>
    <s v="Seguimiento y vigilancia a las Ese, EAPB,  SAC y SIAU municipales"/>
    <s v="Realizar acciones de seguimiento y asistencias técnicas a los 29 munipios para garantizar la adecuada operatividad y cumplimiento de funciones en la atención al usuario y la gestión de servicios de salud."/>
    <s v="DESARROLLO INSTITUCIONAL Y SECTORIAL PARA EL EJERCICIO DE LA AUTORIDAD SANITARIA."/>
    <s v="Realizar 14 asistencias técnicas, control , vigilancia y Seguimiento  a las Secretarias de Salud , ESES y EPS  en los 29 municipios del Departamento del Magdalena en el componente del SAC y SIAU en relacion a la operatividad en el marco de sus funciones."/>
    <s v="Procesos transversales de la Gestion de la Salud Pública"/>
    <n v="14"/>
    <s v="NUMERO"/>
    <m/>
    <m/>
    <e v="#DIV/0!"/>
    <n v="20"/>
    <m/>
    <n v="0"/>
    <n v="20"/>
    <m/>
    <n v="0"/>
    <n v="20"/>
    <m/>
    <n v="0"/>
    <n v="14"/>
    <n v="0"/>
    <n v="0"/>
  </r>
  <r>
    <n v="232"/>
    <s v="Transversal a todos los núcleos"/>
    <s v="Gobernabilidad y gobernanza de la salud pública"/>
    <s v="i). Gobernabilidad, Gobernanza y Territorialización"/>
    <s v="Territorios saludables articulados y trabajando por la paz, la convivencia pacífica y la_x000a_resiliencia."/>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Actividad trasversal a Resultados"/>
    <s v="CAMBIO EN LOS SERVICIOS DE SALUD"/>
    <s v="Na"/>
    <s v="Seguimiento  a la implementación de la Política de Participación Social en Salud ( PPSS"/>
    <s v="Apoyo a la ejecución de las acciones colectivas y gestión de la salud pública para el cumplimento y fortalecimiento de Participación Social en Salud al 100% de los SIAU Y SAC municipales "/>
    <s v="DESARROLLO INSTITUCIONAL Y SECTORIAL PARA EL EJERCICIO DE LA AUTORIDAD SANITARIA."/>
    <s v="Creación y seguiiento de la PPSS vigente según decreto 2063 del 2017 con los actores involucrados en el proceso enfatizando los SAC y SIAU en los 29 municipios del departamento del Magdalena."/>
    <s v="Procesos transversales de la Gestion de la Salud Pública"/>
    <n v="62"/>
    <s v="Número"/>
    <m/>
    <m/>
    <e v="#DIV/0!"/>
    <n v="20"/>
    <m/>
    <n v="0"/>
    <n v="20"/>
    <m/>
    <n v="0"/>
    <n v="20"/>
    <m/>
    <n v="0"/>
    <n v="62"/>
    <n v="0"/>
    <n v="0"/>
  </r>
  <r>
    <n v="233"/>
    <s v="Transversal a todos los núcleos"/>
    <s v="Gobernabilidad y gobernanza de la salud pública"/>
    <s v="i). Gobernabilidad, Gobernanza y Territorialización"/>
    <s v="Territorios saludables articulados y trabajando por la paz, la convivencia pacífica y la_x000a_resiliencia."/>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Actividad trasversal a Resultados"/>
    <s v="CAMBIO EN LOS SERVICIOS DE SALUD"/>
    <s v="Na"/>
    <s v="Aplicación y análisis de ecuentras de satisfacción"/>
    <s v="Apoyo a la ejecución de las acciones colectivas y gestión de la salud pública para el cumplimento y fortalecimiento de Participación Social en Salud al 100% de los SIAU Y SAC municipales "/>
    <s v="DESARROLLO INSTITUCIONAL Y SECTORIAL PARA EL EJERCICIO DE LA AUTORIDAD SANITARIA."/>
    <s v="Seguimiento de la PPSS vigente según decreto 2063 del 2017 con 100% de  los actores involucrados en el proceso enfatizando los SAC y SIAU en los 29 municipios del departamento del Magdalena."/>
    <s v="Procesos transversales de la Gestion de la Salud Pública"/>
    <n v="100"/>
    <s v="Porcentaje"/>
    <m/>
    <m/>
    <e v="#DIV/0!"/>
    <n v="29"/>
    <m/>
    <n v="0"/>
    <m/>
    <m/>
    <e v="#DIV/0!"/>
    <n v="29"/>
    <m/>
    <n v="0"/>
    <n v="100"/>
    <n v="0"/>
    <n v="0"/>
  </r>
  <r>
    <n v="234"/>
    <s v="Transversal a todos los núcleos"/>
    <s v="Gobernabilidad y gobernanza de la salud pública"/>
    <s v="i). Gobernabilidad, Gobernanza y Territorialización"/>
    <s v="Transformación cultural, movilización y organización social y popular por la vida, salud y la_x000a_equidad en salud. "/>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Actividad trasversal a Resultados"/>
    <s v="CAMBIO EN LOS SERVICIOS DE SALUD"/>
    <s v="Na"/>
    <s v="Aplicación y análisis de ecuentras de satisfacción"/>
    <s v="Apoyo a la ejecución de las acciones colectivas y gestión de la salud pública para el cumplimento y fortalecimiento de Participación Social en Salud al 100% de los SIAU Y SAC municipales "/>
    <s v="DESARROLLO INSTITUCIONAL Y SECTORIAL PARA EL EJERCICIO DE LA AUTORIDAD SANITARIA."/>
    <s v="Ejercer seguimiento y control  en el 100%, a la conformación  y activación de los mecanismos de participación social en salud (COPACOS, veedurías, comités de ética hospitalaria y consejo territoriales) en los 29 municipios del departamento del Magdalena."/>
    <s v="Procesos transversales de la Gestion de la Salud Pública"/>
    <n v="100"/>
    <s v="Porcentaje"/>
    <m/>
    <m/>
    <e v="#DIV/0!"/>
    <m/>
    <m/>
    <e v="#DIV/0!"/>
    <m/>
    <m/>
    <e v="#DIV/0!"/>
    <m/>
    <m/>
    <e v="#DIV/0!"/>
    <n v="100"/>
    <n v="0"/>
    <n v="0"/>
  </r>
  <r>
    <n v="235"/>
    <s v="Transversal a todos los núcleos"/>
    <s v="Gobernabilidad y gobernanza de la salud pública"/>
    <s v="i). Gobernabilidad, Gobernanza y Territorialización"/>
    <s v="Transformación cultural, movilización y organización social y popular por la vida, salud y la_x000a_equidad en salud. "/>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Actividad trasversal a Resultados"/>
    <s v="CAMBIO EN LOS SERVICIOS DE SALUD"/>
    <s v="Na"/>
    <s v="Aplicación y análisis de ecuentras de satisfacción"/>
    <s v="Evaluar la calidad de la atención en salud y servicio prestado por 100% de las Instituciones Prestadoras de Servicios de Salud y Entidades Administradoras de Planes de Beneficio _x000a_"/>
    <s v="DESARROLLO INSTITUCIONAL Y SECTORIAL PARA EL EJERCICIO DE LA AUTORIDAD SANITARIA."/>
    <s v="Aplicar, consolidar y hacer análisis de las 400 encuestas de satisfacción aplicada  al usuarios del Departamento del Magdalena y mujeres en estado de embarazo para conocer la calidad en la atención en salud  brindada por las ESE, EPS e IPS,  asimismo, eje"/>
    <s v="Procesos transversales de la Gestion de la Salud Pública"/>
    <n v="400"/>
    <s v="Número"/>
    <n v="1"/>
    <m/>
    <n v="0"/>
    <n v="4"/>
    <m/>
    <n v="0"/>
    <n v="4"/>
    <m/>
    <n v="0"/>
    <n v="5"/>
    <m/>
    <n v="0"/>
    <n v="400"/>
    <n v="0"/>
    <n v="0"/>
  </r>
  <r>
    <n v="236"/>
    <s v="Transversal a todos los núcleos"/>
    <s v="Gobernabilidad y gobernanza de la salud pública"/>
    <s v="i). Gobernabilidad, Gobernanza y Territorialización"/>
    <s v="Transformación cultural, movilización y organización social y popular por la vida, salud y la_x000a_equidad en salud. "/>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10-A 2031, reducir a 5 por cada 100.000 menores de 5 años la tasa de mortalidad asociada a desnutrición aguda."/>
    <s v="98-Actividad trasversal a Resultados"/>
    <s v="CAMBIO EN LOS SERVICIOS DE SALUD"/>
    <s v="Na"/>
    <s v="Aplicación y análisis de ecuentras de satisfacción"/>
    <s v="Evaluar la calidad de la atención en salud y servicio prestado por 100% de las Instituciones Prestadoras de Servicios de Salud y Entidades Administradoras de Planes de Beneficio _x000a_"/>
    <s v="DESARROLLO INSTITUCIONAL Y SECTORIAL PARA EL EJERCICIO DE LA AUTORIDAD SANITARIA."/>
    <s v="Ejercer el seguimiento y dar respuesta a 100 de las PQRD radicadas ante la secretaría seccional de salud, asimismo, realizar acciones de control al cumplimiento del mismo las oficinas SAC y SIAU de los  29 Municipios del Departamento del Magdalena, con ba"/>
    <s v="Procesos transversales de la Gestion de la Salud Pública"/>
    <n v="100"/>
    <s v="Porcentaje"/>
    <n v="62"/>
    <m/>
    <n v="0"/>
    <n v="0"/>
    <m/>
    <e v="#DIV/0!"/>
    <n v="0"/>
    <m/>
    <e v="#DIV/0!"/>
    <n v="0"/>
    <m/>
    <e v="#DIV/0!"/>
    <n v="100"/>
    <n v="0"/>
    <n v="0"/>
  </r>
  <r>
    <n v="237"/>
    <s v="Inseguridad alimentaria y Desnutrición"/>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10-A 2031, reducir a 5 por cada 100.000 menores de 5 años la tasa de mortalidad asociada a desnutrición aguda."/>
    <s v="10-A 2031, reducir a 5 por cada 100.000 menores de 5 años la tasa de mortalidad asociada a desnutrición aguda."/>
    <s v="CAMBIO POR LA SALUD"/>
    <s v="CAMBIO EN LA RED PÚBLICA HOSPITALARIA "/>
    <m/>
    <s v="Ejecutar el 80% las actividades contempladas en el Plan de reducción de la mortalidad en menores de 5 años por Desnutrición, de competencia del área de prestación de servicios"/>
    <s v="Cuidado de la Salud en el Territorio."/>
    <s v="Realizar una  asistencia técnica por subregión, en lo relacionado con las acciones contempladas en la Resolución 2350 de 2020 y 2465 de 2016, en las E.S.E / IPS y EPS                                                                                         "/>
    <s v="Procesos transversales de la Gestion de la Salud Pública"/>
    <n v="4"/>
    <s v="Número"/>
    <n v="25"/>
    <m/>
    <n v="0"/>
    <n v="25"/>
    <m/>
    <n v="0"/>
    <n v="25"/>
    <m/>
    <n v="0"/>
    <n v="25"/>
    <m/>
    <n v="0"/>
    <n v="4"/>
    <n v="0"/>
    <n v="0"/>
  </r>
  <r>
    <n v="238"/>
    <s v="Inseguridad alimentaria y Desnutrición"/>
    <s v="Gobernabilidad y gobernanza de la salud pública"/>
    <s v="i). Gobernabilidad, Gobernanza y Territorialización"/>
    <s v="Transformación cultural, movilización y organización social y popular por la vida, salud y la_x000a_equidad en salud. "/>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10-A 2031, reducir a 5 por cada 100.000 menores de 5 años la tasa de mortalidad asociada a desnutrición aguda."/>
    <s v="10-A 2031, reducir a 5 por cada 100.000 menores de 5 años la tasa de mortalidad asociada a desnutrición aguda."/>
    <s v="CAMBIO POR LA SALUD"/>
    <s v="CAMBIO EN LA RED PÚBLICA HOSPITALARIA "/>
    <m/>
    <s v="Ejecutar el 80% las actividades contempladas en el Plan de reducción de la mortalidad en menores de 5 años por Desnutrición, de competencia del área de prestación de servicios"/>
    <s v="Cuidado de la Salud en el Territorio."/>
    <s v="Realizar visitas de I.V.C , en lo relacionado con las acciones contempladas en la Resolución 2350 de 2020 y 2465 de 2016, en las E.S.E / IPS, Secretarías municipales de salud y EPS, y a las instituciones que presenten mortalidad por DNT en menores de 5 añ"/>
    <s v="Procesos transversales de la Gestion de la Salud Pública"/>
    <n v="29"/>
    <s v="Número"/>
    <n v="25"/>
    <m/>
    <n v="0"/>
    <n v="25"/>
    <m/>
    <n v="0"/>
    <n v="25"/>
    <m/>
    <n v="0"/>
    <n v="25"/>
    <m/>
    <n v="0"/>
    <n v="29"/>
    <n v="0"/>
    <n v="0"/>
  </r>
  <r>
    <n v="239"/>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10-A 2031, reducir a 5 por cada 100.000 menores de 5 años la tasa de mortalidad asociada a desnutrición aguda."/>
    <s v="A 2027, reducir a 52 por 100.000 nacidos vivos la_x000a_razón de mortalidad materna "/>
    <s v="CAMBIO POR LA SALUD"/>
    <s v="CAMBIO EN LA RED PÚBLICA HOSPITALARIA "/>
    <m/>
    <s v="Operativizar el Plan de Desaceleración de la Mortalidad Materna -PARE MM, en las E.S.Es de los 29 Municipios del Departamento del Magdalena"/>
    <s v="Cuidado de la Salud en el Territorio."/>
    <s v="Ejecutar el 80% de las actividades contempladas en las 6 líneas del PARE-MM 2026, aprobado por el MSPS"/>
    <s v="Procesos transversales de la Gestion de la Salud Pública"/>
    <n v="80"/>
    <s v="Porcentaje"/>
    <n v="50"/>
    <m/>
    <n v="0"/>
    <n v="120"/>
    <m/>
    <n v="0"/>
    <n v="260"/>
    <m/>
    <n v="0"/>
    <n v="70"/>
    <m/>
    <n v="0"/>
    <n v="80"/>
    <n v="0"/>
    <n v="0"/>
  </r>
  <r>
    <n v="240"/>
    <s v="Condiciones de vida, estilos de vida saludables y enfermedades crónicas"/>
    <s v="Atención Primaria en Salud"/>
    <s v="i). Gobernabilidad, Gobernanza y Territorialización"/>
    <s v="Implementación de mecanismos para la coordinación y gestión de la operación de las redes integrales e integradas territoriales de salud en el marco de un modelo preventivo, predictivo y resolutivo basado en la APS.  "/>
    <s v="Entidades Territoriales Departamentales, Distritales que organizan la prestación de servicios de salud en redes integrales e integradas territoriales bajo un modelo de salud predictivo, preventivo y resolutivo fundamentado en la Atención Primaria en Salud"/>
    <s v="A 2031 el 100% de los Departamentos y Distritos tendrán en operación una red integral e integrada territorial de salud – RIITS conforme al modelo de salud preventivo, predictivo y resolutivo basado en la Atención Primaria en Salud – APS  "/>
    <s v="A 2027 el 100 % de las Entidades Territoriales del orden departamental, distrital y municipal han desarrollado procesos de ajuste institucional para el fortalecimiento de las capacidades de la autoridad sanitaria y la apropiación territorial del modelo de"/>
    <s v="23-A 2031, el 70% de las mujeres entre 25 y 29 años son tamizadas para cáncer de cuello uterino con citología cervicouterina."/>
    <s v="A 2031 el 80% de las necesidades en salud de la población Colombiana se resuelven en el nivel primario de atención en salud"/>
    <s v="CAMBIO POR LA SALUD"/>
    <s v="CAMBIO EN LA RED PÚBLICA HOSPITALARIA "/>
    <m/>
    <s v="Realizar seguimiento a los indicadores de oportunidad de los procesos de detección temprana de cancer de cancer de cuello uterino en las EAPB e IPS, teniendo en cuenta la Ruta de Promoción y Mantenimiento de la Salud."/>
    <s v="Cuidado de la Salud en el Territorio."/>
    <s v="Realizar seguimiento trimestral a los indicadores de oportunidad de los procesos de detección temprana de cancer de cancer de cuello uterino en las EAPB e IPS, teniendo en cuenta la Ruta de Promoción y Mantenimiento de la Salud."/>
    <s v="Procesos transversales de la Gestion de la Salud Pública"/>
    <n v="4"/>
    <s v="Número"/>
    <n v="25"/>
    <m/>
    <n v="0"/>
    <n v="25"/>
    <m/>
    <n v="0"/>
    <n v="25"/>
    <m/>
    <n v="0"/>
    <n v="25"/>
    <m/>
    <n v="0"/>
    <n v="4"/>
    <n v="0"/>
    <n v="0"/>
  </r>
  <r>
    <n v="241"/>
    <s v="Enfermedades transmisibles por vectores y cambio climático"/>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el 100% de los Departamentos y Distritos tendrán en operación una red integral e integrada territorial de salud – RIITS conforme al modelo de salud preventivo, predictivo y resolutivo basado en la Atención Primaria en Salud – APS  "/>
    <s v="A 2027 el 100% de los Departamentos y Distritos tendrán en operación una red integral e integrada territorial de salud – RIITS conforme al modelo de salud preventivo, predictivo y resolutivo basado en la Atención Primaria en Salud – APS  "/>
    <s v="74-A 2031, se reducirá la letalidad acumulada (2022-2031) por dengue a menos del 0,1%."/>
    <s v="A 2027, en el Departamento del Magdalena se reducirá la letalidad por dengue grave al 10%. "/>
    <s v="CAMBIO POR LA SALUD"/>
    <s v="CAMBIO EN LA RED PÚBLICA HOSPITALARIA "/>
    <m/>
    <s v="Realizar  acciones de I.V para la evaluación de la adherencia a los lineamientos y GPC, para la atención de los eventos de Enfermedades Transmitidas por Vectores -E.T.V, priorizando la red pública"/>
    <s v="Cuidado de la Salud en el Territorio."/>
    <s v="Realizar visitas de I.V a los prestadores de servicios de salud de los 29 municipios del departamento, para la evaluación de la adherencia a los lineamientos y GPC, para la atención de los eventos de Enfermedades Transmitidas por Vectores -E.T.V, prioriza"/>
    <s v="Procesos transversales de la Gestion de la Salud Pública"/>
    <n v="29"/>
    <s v="Número"/>
    <n v="1"/>
    <m/>
    <n v="0"/>
    <n v="1"/>
    <m/>
    <n v="0"/>
    <n v="1"/>
    <m/>
    <n v="0"/>
    <n v="1"/>
    <m/>
    <n v="0"/>
    <n v="29"/>
    <n v="0"/>
    <n v="0"/>
  </r>
  <r>
    <n v="242"/>
    <s v="Enfermedades transmisibles por vectores y cambio climático"/>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74-A 2031, se reducirá la letalidad acumulada (2022-2031) por dengue a menos del 0,1%."/>
    <s v="A 2027, en el Departamento del Magdalena se reducirá la letalidad por dengue grave al 10%. "/>
    <s v="CAMBIO POR LA SALUD"/>
    <s v="CAMBIO EN LA RED PÚBLICA HOSPITALARIA "/>
    <m/>
    <s v="Realizar  visitas para la verificación de disposición de insumos necesarios para la atención de los eventos de Enfermedades Transmitidas por Vectores -E.T.V, priorizando la red pública"/>
    <s v="Cuidado de la Salud en el Territorio."/>
    <s v="Realizar visitas de I.V a los prestadores de servicios de salud de los 29 municipios del departamento, para  la verificación de disposición de insumos necesarios para la atención de los eventos de Enfermedades Transmitidas por Vectores -E.T.V, priorizando"/>
    <s v="Procesos transversales de la Gestion de la Salud Pública"/>
    <n v="29"/>
    <s v="Número"/>
    <n v="7"/>
    <m/>
    <n v="0"/>
    <n v="7"/>
    <m/>
    <n v="0"/>
    <n v="7"/>
    <m/>
    <n v="0"/>
    <n v="8"/>
    <m/>
    <n v="0"/>
    <n v="29"/>
    <n v="0"/>
    <n v="0"/>
  </r>
  <r>
    <n v="243"/>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74-A 2031, se reducirá la letalidad acumulada (2022-2031) por dengue a menos del 0,1%."/>
    <s v="A 2027, en el Departamento del Magdalena se reducirá la letalidad por dengue grave al 10%. "/>
    <s v="CAMBIO POR LA SALUD"/>
    <s v="CAMBIO EN LA RED PÚBLICA HOSPITALARIA "/>
    <m/>
    <s v="Realizar, mínimo el 70% de las visitas de verificación de condiciones de habilitación, contempladas en el Plan anual,  a los prestadores de servicios de salud que operen en el Departamento del Magdalena"/>
    <s v="DESARROLLO INSTITUCIONAL Y SECTORIAL PARA EL EJERCICIO DE LA AUTORIDAD SANITARIA."/>
    <s v="Realizar visitas de verificación de condiciones de habilitación al 70% de entidades contempladas en el Plan anual,  de los prestadores de servicios de salud que operen en el Departamento del Magdalena."/>
    <s v="Procesos transversales de la Gestion de la Salud Pública"/>
    <n v="70"/>
    <s v="Porcentaje"/>
    <n v="20"/>
    <m/>
    <n v="0"/>
    <n v="20"/>
    <m/>
    <n v="0"/>
    <n v="20"/>
    <m/>
    <n v="0"/>
    <n v="20"/>
    <m/>
    <n v="0"/>
    <n v="70"/>
    <n v="0"/>
    <n v="0"/>
  </r>
  <r>
    <n v="244"/>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el 100% de las  visitas de IVC , de acuerdo a las solicitudes recibidas y/o de oficio "/>
    <s v="DESARROLLO INSTITUCIONAL Y SECTORIAL PARA EL EJERCICIO DE LA AUTORIDAD SANITARIA."/>
    <s v="Realizar visitas de IVC , de acuerdo a 100 % de las solicitudes recibidas por entes competentes y/o de oficio, PQR, y demas situaciones que impliquen la vigilancia y control del ente territorial"/>
    <s v="Procesos transversales de la Gestion de la Salud Pública"/>
    <n v="100"/>
    <s v="Porcentaje"/>
    <n v="1"/>
    <m/>
    <n v="0"/>
    <n v="1"/>
    <m/>
    <n v="0"/>
    <n v="1"/>
    <m/>
    <n v="0"/>
    <n v="1"/>
    <m/>
    <n v="0"/>
    <n v="100"/>
    <n v="0"/>
    <n v="0"/>
  </r>
  <r>
    <n v="245"/>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Asistencias Técnica a los Prestadores de Servicios de Salud del Departamente en el Sistema Obligatorio de Garantía de Calidad "/>
    <s v="DESARROLLO INSTITUCIONAL Y SECTORIAL PARA EL EJERCICIO DE LA AUTORIDAD SANITARIA."/>
    <s v="Realizar cuatro (4) Asistencias Técnica a los Prestadores de Servicios de Salud del Departamente en el Sistema Obligatorio de Garantía de Calidad "/>
    <s v="Procesos transversales de la Gestion de la Salud Pública"/>
    <n v="4"/>
    <s v="Número"/>
    <n v="7"/>
    <m/>
    <n v="0"/>
    <n v="7"/>
    <m/>
    <n v="0"/>
    <n v="7"/>
    <m/>
    <n v="0"/>
    <n v="8"/>
    <m/>
    <n v="0"/>
    <n v="4"/>
    <n v="0"/>
    <n v="0"/>
  </r>
  <r>
    <n v="246"/>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seguimiento períodico al reporte y resultados de los indicadores de calidad establecidos en la Resolución 256 de 2016,   al 100% de las  Instituciones Prestadoras de Servicios de Salud y los servicios de transporte especial de pacientes del Depar"/>
    <s v="DESARROLLO INSTITUCIONAL Y SECTORIAL PARA EL EJERCICIO DE LA AUTORIDAD SANITARIA."/>
    <s v="Consolidar y analizar la información de 100% de los Prestadores de Servicios de Salud-IPS y Transporte Asistencial de Pacientes; en lo relacionado con  el reporte y resultados de los indicadores de calidad establecidos en la Resolución 256 de 2016."/>
    <s v="Procesos transversales de la Gestion de la Salud Pública"/>
    <n v="100"/>
    <s v="Porcentaje"/>
    <n v="7"/>
    <m/>
    <n v="0"/>
    <n v="7"/>
    <m/>
    <n v="0"/>
    <n v="7"/>
    <m/>
    <n v="0"/>
    <n v="8"/>
    <m/>
    <n v="0"/>
    <n v="100"/>
    <n v="0"/>
    <n v="0"/>
  </r>
  <r>
    <n v="247"/>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asistencia técnica por subregión para la implementación del Programa de Auditoria para el Mejoramiento de la Calidad en la Atención en Salud -PAMEC, a las Instituciones Prestadoras de Servicios de Salud del Departamento"/>
    <s v="DESARROLLO INSTITUCIONAL Y SECTORIAL PARA EL EJERCICIO DE LA AUTORIDAD SANITARIA."/>
    <s v="Realizar  asistencia técnica por subregión para la implementación del Programa de Auditoria para el Mejoramiento de la Calidad en la Atención en Salud -PAMEC, a las 100% de Instituciones Prestadoras de Servicios de Salud del Departamento"/>
    <s v="Procesos transversales de la Gestion de la Salud Pública"/>
    <n v="100"/>
    <s v="Porcentaje"/>
    <n v="17"/>
    <m/>
    <n v="0"/>
    <n v="17"/>
    <m/>
    <n v="0"/>
    <n v="17"/>
    <m/>
    <n v="0"/>
    <n v="18"/>
    <m/>
    <n v="0"/>
    <n v="100"/>
    <n v="0"/>
    <n v="0"/>
  </r>
  <r>
    <n v="248"/>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seguimiento a la implementación del Programa de Auditoria para el Mejoramiento de la Calidad en la Atención en Salud PAMEC, mínimo al 80% de los prestadores de servicios de salud de los 29 Municipios del Departamento"/>
    <s v="DESARROLLO INSTITUCIONAL Y SECTORIAL PARA EL EJERCICIO DE LA AUTORIDAD SANITARIA."/>
    <s v="Realizar  seguimiento a la implementación del Programa de Auditoria para el Mejoramiento de la Calidad en la Atención en Salud PAMEC del 80% o más de los prestadores de los 29 Municipios del Departamento"/>
    <s v="Procesos transversales de la Gestion de la Salud Pública"/>
    <n v="80"/>
    <s v="Porcentaje"/>
    <n v="25"/>
    <m/>
    <n v="0"/>
    <n v="25"/>
    <m/>
    <n v="0"/>
    <n v="25"/>
    <m/>
    <n v="0"/>
    <n v="25"/>
    <m/>
    <n v="0"/>
    <n v="80"/>
    <n v="0"/>
    <n v="0"/>
  </r>
  <r>
    <n v="249"/>
    <s v="Prestación y Calidad de servicios"/>
    <s v="Personal de salud"/>
    <s v="Talento Humano en Salud formado para la gestión integral de la salud pública  "/>
    <s v="Transformación cultural, movilización y organización social y popular por la vida, salud y la_x000a_equidad en salud. "/>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la identificación y caracterización del Talento Humano en salud, de la red hospitalaria del Departamento del Magdalena"/>
    <s v="DESARROLLO INSTITUCIONAL Y SECTORIAL PARA EL EJERCICIO DE LA AUTORIDAD SANITARIA."/>
    <s v="Realizar y consolidar el censo del Talento Humano en salud, de cada una de las E.S.Es de la red hospitalaria del departamento del Magdalena"/>
    <s v="Procesos transversales de la Gestion de la Salud Pública"/>
    <n v="100"/>
    <s v="Porcentaje"/>
    <n v="1"/>
    <m/>
    <n v="0"/>
    <n v="1"/>
    <m/>
    <n v="0"/>
    <n v="1"/>
    <m/>
    <n v="0"/>
    <n v="1"/>
    <m/>
    <n v="0"/>
    <n v="100"/>
    <n v="0"/>
    <n v="0"/>
  </r>
  <r>
    <n v="250"/>
    <s v="Prestación y Calidad de servicios"/>
    <s v="Atención Primaria en Salud"/>
    <s v="ii) Redes Integrales e Integradas Territoriales de Salud - RIITS"/>
    <s v="Implementación de mecanismos para la coordinación y gestión de la operación de las redes integrales e integradas territoriales de salud en el marco de un modelo preventivo, predictivo y resolutivo basado en la APS.  "/>
    <s v="Entidades Territoriales Departamentales, Distritales que organizan la prestación de servicios de salud en redes integrales e integradas territoriales bajo un modelo de salud predictivo, preventivo y resolutivo fundamentado en la Atención Primaria en Salud"/>
    <s v="A 2031 el 100% de los Departamentos y Distritos tendrán en operación una red integral e integrada territorial de salud – RIITS conforme al modelo de salud preventivo, predictivo y resolutivo basado en la Atención Primaria en Salud – APS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Lograr el fortalecimiento de la autoridad sanitaria en los 29 municipios del departamento del Magdalena"/>
    <s v="Cuidado de la Salud en el Territorio."/>
    <s v="Seguimiento al sistema de transporte asistencial de la red publica y privada del Departamento del Magdalena"/>
    <s v="No aplica"/>
    <n v="100"/>
    <s v="Porcentaje"/>
    <n v="25"/>
    <n v="25"/>
    <n v="100"/>
    <n v="25"/>
    <n v="25"/>
    <n v="100"/>
    <n v="25"/>
    <m/>
    <n v="0"/>
    <n v="25"/>
    <m/>
    <n v="0"/>
    <n v="100"/>
    <n v="50"/>
    <n v="100"/>
  </r>
  <r>
    <n v="251"/>
    <s v="tranversal a todos los nucleos"/>
    <s v="Gobernabilidad y gobernanza de la salud pública"/>
    <s v="ii) Redes Integrales e Integradas Territoriales de Salud - RIITS"/>
    <s v="Implementación de mecanismos para la coordinación y gestión de la operación de las redes integrales e integradas territoriales de salud en el marco de un modelo preventivo, predictivo y resolutivo basado en la APS.  "/>
    <s v="Entidades Territoriales Departamentales, Distritales que organizan la prestación de servicios de salud en redes integrales e integradas territoriales bajo un modelo de salud predictivo, preventivo y resolutivo fundamentado en la Atención Primaria en Salud"/>
    <s v="A 2031 el 100% de los Departamentos y Distritos tendrán en operación una red integral e integrada territorial de salud – RIITS conforme al modelo de salud preventivo, predictivo y resolutivo basado en la Atención Primaria en Salud – APS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Na"/>
    <m/>
    <s v="Lograr el fortalecimiento de la autoridad sanitaria en los 29 municipios del departamento del Magdalena"/>
    <s v="Cuidado de la Salud en el Territorio."/>
    <s v="Dotar y activar equipos de radiocomunicaciones al CRUE y a las 5 IPS de la red pública y activación de la antena repetidora"/>
    <s v="No aplica"/>
    <n v="5"/>
    <s v="Número"/>
    <n v="25"/>
    <n v="25"/>
    <n v="100"/>
    <n v="25"/>
    <n v="12"/>
    <n v="48"/>
    <n v="25"/>
    <m/>
    <n v="0"/>
    <n v="25"/>
    <m/>
    <n v="0"/>
    <n v="5"/>
    <n v="37"/>
    <n v="74"/>
  </r>
  <r>
    <n v="252"/>
    <s v="Transversal a todos los núcleos"/>
    <s v="Gobernabilidad y gobernanza de la salud pública"/>
    <s v="ii) Redes Integrales e Integradas Territoriales de Salud - RIITS"/>
    <s v="Implementación de mecanismos para la coordinación y gestión de la operación de las redes integrales e integradas territoriales de salud en el marco de un modelo preventivo, predictivo y resolutivo basado en la APS.  "/>
    <s v="Entidades Territoriales Departamentales, Distritales que organizan la prestación de servicios de salud en redes integrales e integradas territoriales bajo un modelo de salud predictivo, preventivo y resolutivo fundamentado en la Atención Primaria en Salud"/>
    <s v="A 2031 el 100% de los Departamentos y Distritos tendrán en operación una red integral e integrada territorial de salud – RIITS conforme al modelo de salud preventivo, predictivo y resolutivo basado en la Atención Primaria en Salud – APS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Na"/>
    <m/>
    <s v="Lograr el fortalecimiento de la autoridad sanitaria en los 29 municipios del departamento del Magdalena"/>
    <s v="Cuidado de la Salud en el Territorio."/>
    <s v="Brindar asistencia tecnica, y seguimiento a la implementación de equipos de radio comunicación"/>
    <s v="No aplica"/>
    <n v="5"/>
    <s v="Número"/>
    <n v="20"/>
    <n v="20"/>
    <n v="100"/>
    <n v="20"/>
    <n v="20"/>
    <n v="100"/>
    <n v="20"/>
    <m/>
    <n v="0"/>
    <n v="20"/>
    <m/>
    <n v="0"/>
    <n v="5"/>
    <n v="40"/>
    <n v="100"/>
  </r>
  <r>
    <n v="253"/>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s v="Gestionar la adecuación y/o construcción de (12) puestos y centros de salud."/>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Desarrollar una estretegia para que los hospitales y puestos y centro  de salud priorizados en el departamento del Magdalena cumplan con los estándares de infraestructura y dotación de 17 ambulancias del cambio para entornos seguros, funcionales y dignos."/>
    <s v="No aplica"/>
    <n v="17"/>
    <s v="Número"/>
    <n v="25"/>
    <m/>
    <n v="0"/>
    <n v="25"/>
    <m/>
    <n v="0"/>
    <n v="25"/>
    <m/>
    <n v="0"/>
    <n v="25"/>
    <m/>
    <n v="0"/>
    <n v="17"/>
    <n v="0"/>
    <n v="0"/>
  </r>
  <r>
    <n v="254"/>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s v="Gestionar la adecuación y/o construcción de (12) puestos y centros de salud."/>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Desarrollar una estretegia para que los prestadores públicos de salud priorizados en el departamento del Magdalena, cumplan con los estándares de infraestructura y dotación de hospitales para entornos seguros, funcionales y dignos, adecuaciones menores a "/>
    <s v="No aplica"/>
    <n v="5"/>
    <s v="Número"/>
    <n v="25"/>
    <m/>
    <n v="0"/>
    <n v="25"/>
    <m/>
    <n v="0"/>
    <n v="25"/>
    <m/>
    <n v="0"/>
    <n v="25"/>
    <m/>
    <n v="0"/>
    <n v="5"/>
    <n v="0"/>
    <n v="0"/>
  </r>
  <r>
    <n v="255"/>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Desarrollar una estretegia de adecuaiones menores a 32  puestos y centro  de salud y seguimiento a 3 puestos de salud priorizados de zona rural, dispersa y urbana en el departamento del Magdalena cumplan con los estándares de infraestructura y dotación de"/>
    <s v="No aplica"/>
    <n v="35"/>
    <s v="Número"/>
    <m/>
    <m/>
    <e v="#DIV/0!"/>
    <m/>
    <m/>
    <e v="#DIV/0!"/>
    <m/>
    <m/>
    <e v="#DIV/0!"/>
    <n v="5"/>
    <m/>
    <n v="0"/>
    <n v="35"/>
    <n v="0"/>
    <n v="0"/>
  </r>
  <r>
    <n v="256"/>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Formular, Coordinar y desarrollar el COAI y PAS de la vigencia 2026 del departamento, relizar monitoreo, seguimiento, control y cargue al portal web del MSPS de manera trimestral, con el equipo integral de la Secretaria de Salud por cada una de las dimens"/>
    <s v="No aplica"/>
    <n v="1"/>
    <s v="Número"/>
    <m/>
    <m/>
    <e v="#DIV/0!"/>
    <m/>
    <m/>
    <e v="#DIV/0!"/>
    <m/>
    <m/>
    <e v="#DIV/0!"/>
    <n v="5"/>
    <m/>
    <n v="0"/>
    <n v="1"/>
    <n v="0"/>
    <n v="0"/>
  </r>
  <r>
    <n v="258"/>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Someter a la aprobaciòn por  el Consejo de Gobierno y la sensibilizacion del CTSS  del COAI y PAS de la vigencia 2026 del departamento,  ejercer los reportes y entrega de la informaciòn del desarrollo y ejecuciòn de los mismos a la Oficina Asesora de Plan"/>
    <s v="No aplica"/>
    <n v="1"/>
    <s v="NUMERO"/>
    <m/>
    <m/>
    <e v="#DIV/0!"/>
    <m/>
    <m/>
    <e v="#DIV/0!"/>
    <m/>
    <m/>
    <e v="#DIV/0!"/>
    <n v="17"/>
    <m/>
    <n v="0"/>
    <n v="1"/>
    <n v="0"/>
    <n v="0"/>
  </r>
  <r>
    <n v="259"/>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Brindar Asistencia Tecnica, desarrollo de capacidades, monitoreo y seguimiento, a los planes de accion Municipales de la vigencia 2026 al 100% de los 29 municpios del departamento por subregiones, por demanda individual y vigilancia y control por municipi"/>
    <s v="No aplica"/>
    <n v="100"/>
    <s v="Porcentaje"/>
    <m/>
    <m/>
    <e v="#DIV/0!"/>
    <m/>
    <m/>
    <e v="#DIV/0!"/>
    <m/>
    <m/>
    <e v="#DIV/0!"/>
    <n v="5"/>
    <m/>
    <n v="0"/>
    <n v="100"/>
    <n v="0"/>
    <n v="0"/>
  </r>
  <r>
    <n v="260"/>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Apoyar el proceso de rendicion de cuentas del sector Salud   Departamental  mediante la operativizacion del 100%  los mecanismos de transparencia en la evaluacion y el control social, por lo menos una vez al año."/>
    <s v="No aplica"/>
    <n v="1"/>
    <s v="Número"/>
    <m/>
    <m/>
    <e v="#DIV/0!"/>
    <m/>
    <m/>
    <e v="#DIV/0!"/>
    <m/>
    <m/>
    <e v="#DIV/0!"/>
    <n v="35"/>
    <m/>
    <n v="0"/>
    <n v="1"/>
    <n v="0"/>
    <n v="0"/>
  </r>
  <r>
    <n v="261"/>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Desarrollar capacidades al talento humano al 100% de las 29 entidades territoriales  responsables de la planificacion en salud; para la construcciòn, formulación, implementación, seguimiento, monitoreo y evaluación de políticas, planes, programas, estrate"/>
    <s v="No aplica"/>
    <n v="100"/>
    <s v="Porcentaje"/>
    <n v="1"/>
    <m/>
    <n v="0"/>
    <m/>
    <m/>
    <e v="#DIV/0!"/>
    <m/>
    <m/>
    <e v="#DIV/0!"/>
    <m/>
    <m/>
    <e v="#DIV/0!"/>
    <n v="100"/>
    <n v="0"/>
    <n v="0"/>
  </r>
  <r>
    <n v="262"/>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el monitoreo, seguimiento, control y evaluacion trimestral a los planes de accion Municipales de la vigencia 2026, incluido al cargue en el portal Web del MSPS al 100% de los 29 municipios del departamento por subregiones, por demanda individual y"/>
    <s v="No aplica"/>
    <n v="4"/>
    <s v="Número"/>
    <n v="1"/>
    <m/>
    <n v="0"/>
    <m/>
    <m/>
    <e v="#DIV/0!"/>
    <m/>
    <m/>
    <e v="#DIV/0!"/>
    <m/>
    <m/>
    <e v="#DIV/0!"/>
    <n v="4"/>
    <n v="0"/>
    <n v="0"/>
  </r>
  <r>
    <n v="263"/>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la vigilancia y el control de la capacidad de gestion de los 5 municpios certificados en salud decreto 780 DE 2016 ART. 5 Y SIGUEIENTES, con base en los lineamientos y la herramienta implementada para su evaluaciòn en la prestacion de los servicio"/>
    <s v="No aplica"/>
    <n v="5"/>
    <s v="Número"/>
    <n v="25"/>
    <m/>
    <n v="0"/>
    <n v="25"/>
    <m/>
    <n v="0"/>
    <n v="25"/>
    <m/>
    <n v="0"/>
    <n v="25"/>
    <m/>
    <n v="0"/>
    <n v="5"/>
    <n v="0"/>
    <n v="0"/>
  </r>
  <r>
    <n v="264"/>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mantener actulalizada las repuestas y de manera oportuna a los procesos juridicos, respuestas de las acciones de tutela y los procesos administartativos sansionatorios y de cumplimineto a las visitas de verifcacioón de la red de prestadores dell departame"/>
    <s v="No aplica"/>
    <n v="100"/>
    <s v="Porcentaje"/>
    <m/>
    <m/>
    <e v="#DIV/0!"/>
    <m/>
    <m/>
    <e v="#DIV/0!"/>
    <m/>
    <m/>
    <e v="#DIV/0!"/>
    <n v="1"/>
    <m/>
    <n v="0"/>
    <n v="100"/>
    <n v="0"/>
    <n v="0"/>
  </r>
  <r>
    <n v="265"/>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Mantener actualizado el flujo, analisis y cargue de los sistemas de informacion para la salud, los RIPS  del 100% de las empresas prestadoras y los informes de  en la prestacion de los servicios de salud a la PPNA del departamento de manera eficiente y op"/>
    <s v="No aplica"/>
    <n v="100"/>
    <s v="Porcentaje"/>
    <n v="25"/>
    <m/>
    <n v="0"/>
    <n v="25"/>
    <m/>
    <n v="0"/>
    <n v="25"/>
    <m/>
    <n v="0"/>
    <n v="25"/>
    <m/>
    <n v="0"/>
    <n v="100"/>
    <n v="0"/>
    <n v="0"/>
  </r>
  <r>
    <n v="266"/>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Brindar Asistencia Tecnica y Capacitación  del flujo, analisis y cargue de los sistemas de información para la salud, los RIPS  de las empresas prestadoras y los informes de la resolución  202 en la prestación de los servicios de salud a la PPNA del depar"/>
    <s v="No aplica"/>
    <n v="100"/>
    <s v="Porcentaje"/>
    <n v="1"/>
    <m/>
    <n v="0"/>
    <n v="1"/>
    <m/>
    <n v="0"/>
    <n v="1"/>
    <m/>
    <n v="0"/>
    <n v="1"/>
    <m/>
    <n v="0"/>
    <n v="100"/>
    <n v="0"/>
    <n v="0"/>
  </r>
  <r>
    <n v="267"/>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monitoreo, seguimiento y control al flujo ,analisis y cargue de los sistemas de informacion para la salud de la circular única, círcular 030 y 2193 en los proceos de inversion de infraestrutura, el plan bienal, Plan de Mantenimienrto, proyectos de"/>
    <s v="No aplica"/>
    <n v="100"/>
    <s v="Porcentaje"/>
    <m/>
    <m/>
    <e v="#DIV/0!"/>
    <m/>
    <m/>
    <e v="#DIV/0!"/>
    <n v="5"/>
    <m/>
    <n v="0"/>
    <m/>
    <m/>
    <e v="#DIV/0!"/>
    <n v="100"/>
    <n v="0"/>
    <n v="0"/>
  </r>
  <r>
    <n v="268"/>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monitoreo, seguimiento y control al flujo, análisis  plan de mantenimiento del departamento de manera eficiente y oportuna a todos los prestadores de los municipios Control dos veces al año."/>
    <s v="No aplica"/>
    <n v="58"/>
    <s v="Número"/>
    <n v="25"/>
    <m/>
    <n v="0"/>
    <n v="25"/>
    <m/>
    <n v="0"/>
    <n v="25"/>
    <m/>
    <n v="0"/>
    <n v="25"/>
    <m/>
    <n v="0"/>
    <n v="58"/>
    <n v="0"/>
    <n v="0"/>
  </r>
  <r>
    <n v="269"/>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al catastro fisico de los municpios y ESE; AT e IVC y formulaciòn, viabiidad y evaluaciòn de proyectos  de infraestructura y dotacion de los 29 municpios semestralmente "/>
    <s v="No aplica"/>
    <n v="58"/>
    <s v="númeo"/>
    <n v="25"/>
    <m/>
    <n v="0"/>
    <n v="25"/>
    <m/>
    <n v="0"/>
    <n v="25"/>
    <m/>
    <n v="0"/>
    <n v="25"/>
    <m/>
    <n v="0"/>
    <n v="58"/>
    <n v="0"/>
    <n v="0"/>
  </r>
  <r>
    <n v="270"/>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revisar y viabilizar 100 % de los proyectos presentados por las ESE hospitales de infraestructura y dotacion. Con base en la normatividad vigente"/>
    <s v="No aplica"/>
    <n v="100"/>
    <s v="Porcentaje"/>
    <n v="25"/>
    <m/>
    <n v="0"/>
    <n v="25"/>
    <m/>
    <n v="0"/>
    <n v="25"/>
    <m/>
    <n v="0"/>
    <n v="25"/>
    <m/>
    <n v="0"/>
    <n v="100"/>
    <n v="0"/>
    <n v="0"/>
  </r>
  <r>
    <n v="271"/>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revisar y viabilizar  los proyectos presentados por las ESE hospitales de infraestructura y dotacion de 22 Ese con dotación de ambulancias. Con base en la normatividad vigente"/>
    <s v="No aplica"/>
    <n v="22"/>
    <s v="Número"/>
    <n v="25"/>
    <m/>
    <n v="0"/>
    <n v="25"/>
    <m/>
    <n v="0"/>
    <n v="25"/>
    <m/>
    <n v="0"/>
    <n v="25"/>
    <m/>
    <n v="0"/>
    <n v="22"/>
    <n v="0"/>
    <n v="0"/>
  </r>
  <r>
    <n v="272"/>
    <s v="Deficiencias en la infraestructura sanitaria que se ve reflejada en bajas coberturas de alcantarillado y prestación del servicio de aseo así como la mala calidad del agua que condiciona la incidencia d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ublica, el fortaleciiento de los laboratorios de salud publica, la inspección, vigilancia y control sanitarios, la garantía de insumos de interes en salud publica r"/>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A 2027 el 100% de las entidades territoriales del orden departamental y municipal desarrollan mecanismos para el fortalecimiento de la rectorí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Apoyar la ejecucion del plan de IVC con servicio de transporte disponiendo de 1 vehiculos 24x7"/>
    <s v="Procesos transversales de la Gestion de la Salud Pública"/>
    <n v="100"/>
    <s v="Porcentaje"/>
    <n v="0"/>
    <n v="25"/>
    <e v="#DIV/0!"/>
    <n v="30"/>
    <n v="30"/>
    <n v="100"/>
    <n v="40"/>
    <m/>
    <n v="0"/>
    <n v="30"/>
    <m/>
    <n v="0"/>
    <n v="100"/>
    <n v="55"/>
    <n v="183.33333333333331"/>
  </r>
  <r>
    <n v="273"/>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ñales definiendo temas transversales y objetivos_x000a_  comun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9-No relación"/>
    <s v="A 2027 el 100% de las entidades terriitoriales de orden departamental, distrital y municipal desarrollaran mecanismos para el fortalecimiento de la rectori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inducción y reinducción para todo funcionario que ingrese al equipo PAI, dirigidos al talento humano y demás actores según su competencia, abarcando todos los módulos del PAI."/>
    <s v="Procesos transversales de la Gestion de la Salud Pública"/>
    <n v="1"/>
    <s v="Número"/>
    <n v="1"/>
    <n v="1"/>
    <n v="100"/>
    <n v="1"/>
    <n v="0"/>
    <n v="0"/>
    <n v="29"/>
    <m/>
    <n v="0"/>
    <m/>
    <m/>
    <e v="#DIV/0!"/>
    <n v="1"/>
    <n v="1"/>
    <n v="50"/>
  </r>
  <r>
    <n v="274"/>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ñales definiendo temas transversales y objetivos_x000a_  comun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9-No relación"/>
    <s v="A 2027 el 100% de las entidades terriitoriales de orden departamental, distrital y municipal desarrollaran mecanismos para el fortalecimiento de la rectori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Socializar los lineamientos para las jornadas nacionales de_x000a_ vacunación y planes de intensificación emitidos por el nivel nacional"/>
    <s v="Procesos transversales de la Gestion de la Salud Pública"/>
    <n v="4"/>
    <s v="Número"/>
    <n v="1"/>
    <n v="1"/>
    <n v="100"/>
    <n v="1"/>
    <n v="0"/>
    <n v="0"/>
    <n v="1"/>
    <m/>
    <n v="0"/>
    <n v="1"/>
    <m/>
    <n v="0"/>
    <n v="4"/>
    <n v="1"/>
    <n v="50"/>
  </r>
  <r>
    <n v="275"/>
    <s v="La falta de talento humano de planta, la alta rotación de personal contratista, la falta de vehículos, la falta de adherencia a lineamientos programáticos y misionales por parte del talento humano para brindar asistencia técnica a los actores, la compleji"/>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A 2027 el 100% de las entidades territoriales del orden departamental y municipal desarrollan mecanismos para el fortalecimiento de la rectorí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una auditoria externa para verificar el cumoplimiento de los requisitos de la norma NTC-ISO/IEC 17025 version vigente y/o criterios ONC"/>
    <s v="Procesos transversales de la Gestion de la Salud Pública"/>
    <n v="1"/>
    <s v="NUMERO"/>
    <n v="0"/>
    <m/>
    <e v="#DIV/0!"/>
    <n v="1"/>
    <m/>
    <n v="0"/>
    <m/>
    <m/>
    <e v="#DIV/0!"/>
    <n v="22"/>
    <m/>
    <n v="0"/>
    <n v="1"/>
    <n v="0"/>
    <n v="0"/>
  </r>
  <r>
    <n v="276"/>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Entidades Territoriales Departamentales, Distritales y Municipales fortalecidas como autoridad sanitaria local para la Gobernanza en Salud Pública."/>
    <s v="A 2031 el 100% de las Entidades_x000a_ Territoriales del orden departamental,_x000a_ distrital y municipal desarrollan_x000a_ mecanismos para el fortalecimiento de la_x000a_ rectoría en salud en su territorio, conforme_x000a_ a las competencias establecidas"/>
    <s v="Desarrollo y fortalecimiento de capacidades para la implmentación integral en salud y la gestion territorial en el marco del modelo de salud preventivo y predictivo y resolución basado en AP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onformar, priorizar y desarrollar actividades educativas en GOTIS y UTIS en los 29 municipios del departamento"/>
    <s v="DESARROLLO INSTITUCIONAL Y SECTORIAL PARA EL EJERCICIO DE LA AUTORIDAD SANITARIA."/>
    <s v="Realizar asistencias técnicas en las subregiones del Departamento sobre abordaje a trabajadores de la economia popular y cominitaria Magdalena UTIS Y GOTIS en: Riesgos – peligros, actos y condiciones seguras Incentivar la afiliación al sistema de riesgos "/>
    <s v="Procesos transversales de la Gestion de la Salud Pública"/>
    <n v="29"/>
    <s v="Número"/>
    <n v="3"/>
    <n v="3"/>
    <n v="100"/>
    <n v="4"/>
    <n v="18"/>
    <n v="450"/>
    <n v="11"/>
    <m/>
    <n v="0"/>
    <n v="11"/>
    <m/>
    <n v="0"/>
    <n v="29"/>
    <n v="21"/>
    <n v="300"/>
  </r>
  <r>
    <n v="27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Entidades Territoriales Departamentales, Distritales y Municipales fortalecidas como autoridad sanitaria local para la Gobernanza en Salud Pública."/>
    <s v="A 2031 el 100% de las Entidades_x000a_ Territoriales del orden departamental,_x000a_ distrital y municipal desarrollan_x000a_ mecanismos para el fortalecimiento de la_x000a_ rectoría en salud en su territorio, conforme_x000a_ a las competencias establecidas"/>
    <s v="Desarrollo y fortalecimiento de capacidades para la implmentación integral en salud y la gestion territorial en el marco del modelo de salud preventivo y predictivo y resolución basado en AP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onformar, priorizar y desarrollar actividades educativas en GOTIS y UTIS en los 29 municipios del departamento"/>
    <s v="DESARROLLO INSTITUCIONAL Y SECTORIAL PARA EL EJERCICIO DE LA AUTORIDAD SANITARIA."/>
    <s v="Realizar asistencia tecnica y mesas de trabajo con las EAPB, IPS, SSM y ESE de los 29 municipios del departamento en el desarrollo de jornadas de salud y seguimiento a los reportes de accidentes laborales en trabajadores informales"/>
    <s v="Procesos transversales de la Gestion de la Salud Pública"/>
    <n v="29"/>
    <s v="Número"/>
    <n v="3"/>
    <n v="3"/>
    <n v="100"/>
    <n v="4"/>
    <n v="18"/>
    <n v="450"/>
    <n v="11"/>
    <m/>
    <n v="0"/>
    <n v="11"/>
    <m/>
    <n v="0"/>
    <n v="29"/>
    <n v="21"/>
    <n v="300"/>
  </r>
  <r>
    <m/>
    <m/>
    <m/>
    <m/>
    <m/>
    <m/>
    <m/>
    <m/>
    <m/>
    <m/>
    <m/>
    <m/>
    <m/>
    <m/>
    <m/>
    <m/>
    <m/>
    <m/>
    <m/>
    <m/>
    <m/>
    <e v="#DIV/0!"/>
    <m/>
    <m/>
    <e v="#DIV/0!"/>
    <m/>
    <m/>
    <e v="#DIV/0!"/>
    <m/>
    <m/>
    <e v="#DIV/0!"/>
    <n v="0"/>
    <n v="0"/>
    <e v="#DI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85BCEE0-8A3A-48FA-8C1E-35D59AEC5C2B}" name="TablaDinámica1"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A4" firstHeaderRow="1" firstDataRow="1" firstDataCol="0" rowPageCount="1" colPageCount="1"/>
  <pivotFields count="47">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9">
        <item x="9"/>
        <item x="24"/>
        <item x="37"/>
        <item x="28"/>
        <item x="2"/>
        <item x="8"/>
        <item x="23"/>
        <item x="13"/>
        <item x="16"/>
        <item x="17"/>
        <item x="14"/>
        <item x="22"/>
        <item x="12"/>
        <item x="25"/>
        <item x="35"/>
        <item x="36"/>
        <item x="0"/>
        <item x="21"/>
        <item x="30"/>
        <item x="31"/>
        <item x="5"/>
        <item x="34"/>
        <item x="32"/>
        <item x="10"/>
        <item x="27"/>
        <item x="26"/>
        <item x="15"/>
        <item x="4"/>
        <item x="3"/>
        <item x="6"/>
        <item x="7"/>
        <item x="33"/>
        <item x="1"/>
        <item x="29"/>
        <item x="11"/>
        <item x="19"/>
        <item x="18"/>
        <item x="20"/>
        <item t="default"/>
      </items>
    </pivotField>
    <pivotField showAll="0"/>
  </pivotFields>
  <rowItems count="1">
    <i/>
  </rowItems>
  <colItems count="1">
    <i/>
  </colItems>
  <pageFields count="1">
    <pageField fld="45" hier="-1"/>
  </pageFields>
  <dataFields count="1">
    <dataField name="Promedio de % Cumplimiento" fld="33"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Graficos 5" cacheId="4" applyNumberFormats="0" applyBorderFormats="0" applyFontFormats="0" applyPatternFormats="0" applyAlignmentFormats="0" applyWidthHeightFormats="0" dataCaption="" updatedVersion="8" compact="0" compactData="0">
  <location ref="M3:O20" firstHeaderRow="1" firstDataRow="1" firstDataCol="0"/>
  <pivotFields count="43">
    <pivotField name="0.Id Actividad" compact="0" outline="0" multipleItemSelectionAllowed="1" showAll="0"/>
    <pivotField name="1. Núcleo de Inequidad Socio-Sanitaria" compact="0" outline="0" multipleItemSelectionAllowed="1" showAll="0"/>
    <pivotField name="2. Eje estrátegico PDSP 2022-2031" compact="0" outline="0" multipleItemSelectionAllowed="1" showAll="0"/>
    <pivotField name="3. Pilares del Modelo de salud preventivo, predictivo y resolutivo" compact="0" outline="0" multipleItemSelectionAllowed="1" showAll="0"/>
    <pivotField name="4. Resultado esperado por Eje PDSP 2022-2031" compact="0" outline="0" multipleItemSelectionAllowed="1" showAll="0"/>
    <pivotField name="5. Estrategia del Plan Territorial de Salud" compact="0" outline="0" multipleItemSelectionAllowed="1" showAll="0"/>
    <pivotField name="6. Meta estratégica del PDSP 2022-2031" compact="0" outline="0" multipleItemSelectionAllowed="1" showAll="0"/>
    <pivotField name="6.1 Meta estratégica del PTS adaptada al territorio" compact="0" outline="0" multipleItemSelectionAllowed="1" showAll="0"/>
    <pivotField name="7. Meta de resultado en salud del PDSP 2022-2031" compact="0" outline="0" multipleItemSelectionAllowed="1" showAll="0"/>
    <pivotField name="7.1 Meta de resultado en salud del PTS adaptada al territorio" compact="0" outline="0" multipleItemSelectionAllowed="1" showAll="0"/>
    <pivotField name="8. Programa " compact="0" outline="0" multipleItemSelectionAllowed="1" showAll="0"/>
    <pivotField name="9. Subprograma" compact="0" outline="0" multipleItemSelectionAllowed="1" showAll="0"/>
    <pivotField name="10. Proyecto BPI" compact="0" outline="0" multipleItemSelectionAllowed="1" showAll="0"/>
    <pivotField name="11. Meta de Producto" compact="0" outline="0" multipleItemSelectionAllowed="1" showAll="0"/>
    <pivotField name="12. Línea Operativa PDSP 2022-2031" compact="0" outline="0" multipleItemSelectionAllowed="1" showAll="0"/>
    <pivotField name="13. Gestion territorial integral para la salud pública" compact="0" outline="0" multipleItemSelectionAllowed="1" showAll="0"/>
    <pivotField name="14. Actividad" compact="0" outline="0" multipleItemSelectionAllowed="1" showAll="0"/>
    <pivotField name="15. Cantidad" compact="0" outline="0" multipleItemSelectionAllowed="1" showAll="0"/>
    <pivotField name="16. Unidad de medida" compact="0" outline="0" multipleItemSelectionAllowed="1" showAll="0"/>
    <pivotField name="Programado I" compact="0" outline="0" multipleItemSelectionAllowed="1" showAll="0"/>
    <pivotField name="Ejecutado I" compact="0" outline="0" multipleItemSelectionAllowed="1" showAll="0"/>
    <pivotField name="% Cumplimiento _x000a_I Trimestre" compact="0" outline="0" multipleItemSelectionAllowed="1" showAll="0"/>
    <pivotField name="Programado II" compact="0" outline="0" multipleItemSelectionAllowed="1" showAll="0"/>
    <pivotField name="Ejecutado II" compact="0" outline="0" multipleItemSelectionAllowed="1" showAll="0"/>
    <pivotField name="% cumplimiento _x000a_II Trimestre" compact="0" outline="0" multipleItemSelectionAllowed="1" showAll="0"/>
    <pivotField name="Programado III" compact="0" outline="0" multipleItemSelectionAllowed="1" showAll="0"/>
    <pivotField name="Ejecutado III" compact="0" outline="0" multipleItemSelectionAllowed="1" showAll="0"/>
    <pivotField name="% Cumplimiento _x000a_III Trimestre" compact="0" outline="0" multipleItemSelectionAllowed="1" showAll="0"/>
    <pivotField name="Programado IV" compact="0" outline="0" multipleItemSelectionAllowed="1" showAll="0"/>
    <pivotField name="Ejecutado IV" compact="0" outline="0" multipleItemSelectionAllowed="1" showAll="0"/>
    <pivotField name="% Cumplimiento _x000a_IV Trimestre" compact="0" outline="0" multipleItemSelectionAllowed="1" showAll="0"/>
    <pivotField name="Programado TOTAL" compact="0" outline="0" multipleItemSelectionAllowed="1" showAll="0"/>
    <pivotField name="Ejecutado TOTAL" compact="0" outline="0" multipleItemSelectionAllowed="1" showAll="0"/>
    <pivotField name="% Cumplimiento_x000a_Acumulado" compact="0" outline="0" multipleItemSelectionAllowed="1" showAl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6000000}" name="Graficos" cacheId="4" applyNumberFormats="0" applyBorderFormats="0" applyFontFormats="0" applyPatternFormats="0" applyAlignmentFormats="0" applyWidthHeightFormats="0" dataCaption="" updatedVersion="8" compact="0" compactData="0">
  <location ref="A3:C20" firstHeaderRow="1" firstDataRow="1" firstDataCol="0"/>
  <pivotFields count="43">
    <pivotField name="0.Id Actividad" compact="0" outline="0" multipleItemSelectionAllowed="1" showAll="0"/>
    <pivotField name="1. Núcleo de Inequidad Socio-Sanitaria" compact="0" outline="0" multipleItemSelectionAllowed="1" showAll="0"/>
    <pivotField name="2. Eje estrátegico PDSP 2022-2031" compact="0" outline="0" multipleItemSelectionAllowed="1" showAll="0"/>
    <pivotField name="3. Pilares del Modelo de salud preventivo, predictivo y resolutivo" compact="0" outline="0" multipleItemSelectionAllowed="1" showAll="0"/>
    <pivotField name="4. Resultado esperado por Eje PDSP 2022-2031" compact="0" outline="0" multipleItemSelectionAllowed="1" showAll="0"/>
    <pivotField name="5. Estrategia del Plan Territorial de Salud" compact="0" outline="0" multipleItemSelectionAllowed="1" showAll="0"/>
    <pivotField name="6. Meta estratégica del PDSP 2022-2031" compact="0" outline="0" multipleItemSelectionAllowed="1" showAll="0"/>
    <pivotField name="6.1 Meta estratégica del PTS adaptada al territorio" compact="0" outline="0" multipleItemSelectionAllowed="1" showAll="0"/>
    <pivotField name="7. Meta de resultado en salud del PDSP 2022-2031" compact="0" outline="0" multipleItemSelectionAllowed="1" showAll="0"/>
    <pivotField name="7.1 Meta de resultado en salud del PTS adaptada al territorio" compact="0" outline="0" multipleItemSelectionAllowed="1" showAll="0"/>
    <pivotField name="8. Programa " compact="0" outline="0" multipleItemSelectionAllowed="1" showAll="0"/>
    <pivotField name="9. Subprograma" compact="0" outline="0" multipleItemSelectionAllowed="1" showAll="0"/>
    <pivotField name="10. Proyecto BPI" compact="0" outline="0" multipleItemSelectionAllowed="1" showAll="0"/>
    <pivotField name="11. Meta de Producto" compact="0" outline="0" multipleItemSelectionAllowed="1" showAll="0"/>
    <pivotField name="12. Línea Operativa PDSP 2022-2031" compact="0" outline="0" multipleItemSelectionAllowed="1" showAll="0"/>
    <pivotField name="13. Gestion territorial integral para la salud pública" compact="0" outline="0" multipleItemSelectionAllowed="1" showAll="0"/>
    <pivotField name="14. Actividad" compact="0" outline="0" multipleItemSelectionAllowed="1" showAll="0"/>
    <pivotField name="15. Cantidad" compact="0" outline="0" multipleItemSelectionAllowed="1" showAll="0"/>
    <pivotField name="16. Unidad de medida" compact="0" outline="0" multipleItemSelectionAllowed="1" showAll="0"/>
    <pivotField name="Programado I" compact="0" outline="0" multipleItemSelectionAllowed="1" showAll="0"/>
    <pivotField name="Ejecutado I" compact="0" outline="0" multipleItemSelectionAllowed="1" showAll="0"/>
    <pivotField name="% Cumplimiento _x000a_I Trimestre" compact="0" outline="0" multipleItemSelectionAllowed="1" showAll="0"/>
    <pivotField name="Programado II" compact="0" outline="0" multipleItemSelectionAllowed="1" showAll="0"/>
    <pivotField name="Ejecutado II" compact="0" outline="0" multipleItemSelectionAllowed="1" showAll="0"/>
    <pivotField name="% cumplimiento _x000a_II Trimestre" compact="0" outline="0" multipleItemSelectionAllowed="1" showAll="0"/>
    <pivotField name="Programado III" compact="0" outline="0" multipleItemSelectionAllowed="1" showAll="0"/>
    <pivotField name="Ejecutado III" compact="0" outline="0" multipleItemSelectionAllowed="1" showAll="0"/>
    <pivotField name="% Cumplimiento _x000a_III Trimestre" compact="0" outline="0" multipleItemSelectionAllowed="1" showAll="0"/>
    <pivotField name="Programado IV" compact="0" outline="0" multipleItemSelectionAllowed="1" showAll="0"/>
    <pivotField name="Ejecutado IV" compact="0" outline="0" multipleItemSelectionAllowed="1" showAll="0"/>
    <pivotField name="% Cumplimiento _x000a_IV Trimestre" compact="0" outline="0" multipleItemSelectionAllowed="1" showAll="0"/>
    <pivotField name="Programado TOTAL" compact="0" outline="0" multipleItemSelectionAllowed="1" showAll="0"/>
    <pivotField name="Ejecutado TOTAL" compact="0" outline="0" multipleItemSelectionAllowed="1" showAll="0"/>
    <pivotField name="% Cumplimiento_x000a_Acumulado" compact="0" outline="0" multipleItemSelectionAllowed="1" showAl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7000000}" name="Graficos 8" cacheId="4" applyNumberFormats="0" applyBorderFormats="0" applyFontFormats="0" applyPatternFormats="0" applyAlignmentFormats="0" applyWidthHeightFormats="0" dataCaption="" updatedVersion="8" compact="0" compactData="0">
  <location ref="B39:F41" firstHeaderRow="1" firstDataRow="2" firstDataCol="0"/>
  <pivotFields count="43">
    <pivotField name="0.Id Actividad" compact="0" outline="0" multipleItemSelectionAllowed="1" showAll="0"/>
    <pivotField name="1. Núcleo de Inequidad Socio-Sanitaria" compact="0" outline="0" multipleItemSelectionAllowed="1" showAll="0"/>
    <pivotField name="2. Eje estrátegico PDSP 2022-2031" compact="0" outline="0" multipleItemSelectionAllowed="1" showAll="0"/>
    <pivotField name="3. Pilares del Modelo de salud preventivo, predictivo y resolutivo" compact="0" outline="0" multipleItemSelectionAllowed="1" showAll="0"/>
    <pivotField name="4. Resultado esperado por Eje PDSP 2022-2031" compact="0" outline="0" multipleItemSelectionAllowed="1" showAll="0"/>
    <pivotField name="5. Estrategia del Plan Territorial de Salud" compact="0" outline="0" multipleItemSelectionAllowed="1" showAll="0"/>
    <pivotField name="6. Meta estratégica del PDSP 2022-2031" compact="0" outline="0" multipleItemSelectionAllowed="1" showAll="0"/>
    <pivotField name="6.1 Meta estratégica del PTS adaptada al territorio" compact="0" outline="0" multipleItemSelectionAllowed="1" showAll="0"/>
    <pivotField name="7. Meta de resultado en salud del PDSP 2022-2031" compact="0" outline="0" multipleItemSelectionAllowed="1" showAll="0"/>
    <pivotField name="7.1 Meta de resultado en salud del PTS adaptada al territorio" compact="0" outline="0" multipleItemSelectionAllowed="1" showAll="0"/>
    <pivotField name="8. Programa " compact="0" outline="0" multipleItemSelectionAllowed="1" showAll="0"/>
    <pivotField name="9. Subprograma" compact="0" outline="0" multipleItemSelectionAllowed="1" showAll="0"/>
    <pivotField name="10. Proyecto BPI" compact="0" outline="0" multipleItemSelectionAllowed="1" showAll="0"/>
    <pivotField name="11. Meta de Producto" compact="0" outline="0" multipleItemSelectionAllowed="1" showAll="0"/>
    <pivotField name="12. Línea Operativa PDSP 2022-2031" compact="0" outline="0" multipleItemSelectionAllowed="1" showAll="0"/>
    <pivotField name="13. Gestion territorial integral para la salud pública" compact="0" outline="0" multipleItemSelectionAllowed="1" showAll="0"/>
    <pivotField name="14. Actividad" compact="0" outline="0" multipleItemSelectionAllowed="1" showAll="0"/>
    <pivotField name="15. Cantidad" compact="0" outline="0" multipleItemSelectionAllowed="1" showAll="0"/>
    <pivotField name="16. Unidad de medida" compact="0" outline="0" multipleItemSelectionAllowed="1" showAll="0"/>
    <pivotField name="Programado I" compact="0" outline="0" multipleItemSelectionAllowed="1" showAll="0"/>
    <pivotField name="Ejecutado I" compact="0" outline="0" multipleItemSelectionAllowed="1" showAll="0"/>
    <pivotField name="% Cumplimiento _x000a_I Trimestre" compact="0" outline="0" multipleItemSelectionAllowed="1" showAll="0"/>
    <pivotField name="Programado II" compact="0" outline="0" multipleItemSelectionAllowed="1" showAll="0"/>
    <pivotField name="Ejecutado II" compact="0" outline="0" multipleItemSelectionAllowed="1" showAll="0"/>
    <pivotField name="% cumplimiento _x000a_II Trimestre" compact="0" outline="0" multipleItemSelectionAllowed="1" showAll="0"/>
    <pivotField name="Programado III" compact="0" outline="0" multipleItemSelectionAllowed="1" showAll="0"/>
    <pivotField name="Ejecutado III" compact="0" outline="0" multipleItemSelectionAllowed="1" showAll="0"/>
    <pivotField name="% Cumplimiento _x000a_III Trimestre" compact="0" outline="0" multipleItemSelectionAllowed="1" showAll="0"/>
    <pivotField name="Programado IV" compact="0" outline="0" multipleItemSelectionAllowed="1" showAll="0"/>
    <pivotField name="Ejecutado IV" compact="0" outline="0" multipleItemSelectionAllowed="1" showAll="0"/>
    <pivotField name="% Cumplimiento _x000a_IV Trimestre" compact="0" outline="0" multipleItemSelectionAllowed="1" showAll="0"/>
    <pivotField name="Programado TOTAL" compact="0" outline="0" multipleItemSelectionAllowed="1" showAll="0"/>
    <pivotField name="Ejecutado TOTAL" compact="0" outline="0" multipleItemSelectionAllowed="1" showAll="0"/>
    <pivotField name="% Cumplimiento_x000a_Acumulado" compact="0" outline="0" multipleItemSelectionAllowed="1" showAll="0"/>
    <pivotField dataField="1" compact="0" outline="0" subtotalTop="0" dragToRow="0" dragToCol="0" dragToPage="0" showAll="0" includeNewItemsInFilter="1" defaultSubtotal="0"/>
    <pivotField dataField="1" compact="0" outline="0" subtotalTop="0" dragToRow="0" dragToCol="0" dragToPage="0" showAll="0" includeNewItemsInFilter="1" defaultSubtotal="0"/>
    <pivotField dataField="1" compact="0" outline="0" subtotalTop="0" dragToRow="0" dragToCol="0" dragToPage="0" showAll="0" includeNewItemsInFilter="1" defaultSubtotal="0"/>
    <pivotField dataField="1" compact="0" outline="0" subtotalTop="0" dragToRow="0" dragToCol="0" dragToPage="0" showAll="0" includeNewItemsInFilter="1" defaultSubtotal="0"/>
    <pivotField dataField="1"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s>
  <rowItems count="1">
    <i/>
  </rowItems>
  <colFields count="1">
    <field x="-2"/>
  </colFields>
  <colItems count="5">
    <i>
      <x/>
    </i>
    <i i="1">
      <x v="1"/>
    </i>
    <i i="2">
      <x v="2"/>
    </i>
    <i i="3">
      <x v="3"/>
    </i>
    <i i="4">
      <x v="4"/>
    </i>
  </colItems>
  <dataFields count="5">
    <dataField name="SUM of  % Cumplimiento I trim" fld="34" baseField="0"/>
    <dataField name="SUM of  % Cumplimiento II Trim" fld="35" baseField="0"/>
    <dataField name="SUM of  % Cumplimiento III Trim" fld="36" baseField="0"/>
    <dataField name="SUM of  % Cumplimiento IV Trimestre" fld="37" baseField="0"/>
    <dataField name="SUM of  % Cumplimiento total" fld="38" baseField="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5000000}" name="Graficos 2" cacheId="4" applyNumberFormats="0" applyBorderFormats="0" applyFontFormats="0" applyPatternFormats="0" applyAlignmentFormats="0" applyWidthHeightFormats="0" dataCaption="" updatedVersion="8" compact="0" compactData="0">
  <location ref="D3:F20" firstHeaderRow="1" firstDataRow="1" firstDataCol="0"/>
  <pivotFields count="43">
    <pivotField name="0.Id Actividad" compact="0" outline="0" multipleItemSelectionAllowed="1" showAll="0"/>
    <pivotField name="1. Núcleo de Inequidad Socio-Sanitaria" compact="0" outline="0" multipleItemSelectionAllowed="1" showAll="0"/>
    <pivotField name="2. Eje estrátegico PDSP 2022-2031" compact="0" outline="0" multipleItemSelectionAllowed="1" showAll="0"/>
    <pivotField name="3. Pilares del Modelo de salud preventivo, predictivo y resolutivo" compact="0" outline="0" multipleItemSelectionAllowed="1" showAll="0"/>
    <pivotField name="4. Resultado esperado por Eje PDSP 2022-2031" compact="0" outline="0" multipleItemSelectionAllowed="1" showAll="0"/>
    <pivotField name="5. Estrategia del Plan Territorial de Salud" compact="0" outline="0" multipleItemSelectionAllowed="1" showAll="0"/>
    <pivotField name="6. Meta estratégica del PDSP 2022-2031" compact="0" outline="0" multipleItemSelectionAllowed="1" showAll="0"/>
    <pivotField name="6.1 Meta estratégica del PTS adaptada al territorio" compact="0" outline="0" multipleItemSelectionAllowed="1" showAll="0"/>
    <pivotField name="7. Meta de resultado en salud del PDSP 2022-2031" compact="0" outline="0" multipleItemSelectionAllowed="1" showAll="0"/>
    <pivotField name="7.1 Meta de resultado en salud del PTS adaptada al territorio" compact="0" outline="0" multipleItemSelectionAllowed="1" showAll="0"/>
    <pivotField name="8. Programa " compact="0" outline="0" multipleItemSelectionAllowed="1" showAll="0"/>
    <pivotField name="9. Subprograma" compact="0" outline="0" multipleItemSelectionAllowed="1" showAll="0"/>
    <pivotField name="10. Proyecto BPI" compact="0" outline="0" multipleItemSelectionAllowed="1" showAll="0"/>
    <pivotField name="11. Meta de Producto" compact="0" outline="0" multipleItemSelectionAllowed="1" showAll="0"/>
    <pivotField name="12. Línea Operativa PDSP 2022-2031" compact="0" outline="0" multipleItemSelectionAllowed="1" showAll="0"/>
    <pivotField name="13. Gestion territorial integral para la salud pública" compact="0" outline="0" multipleItemSelectionAllowed="1" showAll="0"/>
    <pivotField name="14. Actividad" compact="0" outline="0" multipleItemSelectionAllowed="1" showAll="0"/>
    <pivotField name="15. Cantidad" compact="0" outline="0" multipleItemSelectionAllowed="1" showAll="0"/>
    <pivotField name="16. Unidad de medida" compact="0" outline="0" multipleItemSelectionAllowed="1" showAll="0"/>
    <pivotField name="Programado I" compact="0" outline="0" multipleItemSelectionAllowed="1" showAll="0"/>
    <pivotField name="Ejecutado I" compact="0" outline="0" multipleItemSelectionAllowed="1" showAll="0"/>
    <pivotField name="% Cumplimiento _x000a_I Trimestre" compact="0" outline="0" multipleItemSelectionAllowed="1" showAll="0"/>
    <pivotField name="Programado II" compact="0" outline="0" multipleItemSelectionAllowed="1" showAll="0"/>
    <pivotField name="Ejecutado II" compact="0" outline="0" multipleItemSelectionAllowed="1" showAll="0"/>
    <pivotField name="% cumplimiento _x000a_II Trimestre" compact="0" outline="0" multipleItemSelectionAllowed="1" showAll="0"/>
    <pivotField name="Programado III" compact="0" outline="0" multipleItemSelectionAllowed="1" showAll="0"/>
    <pivotField name="Ejecutado III" compact="0" outline="0" multipleItemSelectionAllowed="1" showAll="0"/>
    <pivotField name="% Cumplimiento _x000a_III Trimestre" compact="0" outline="0" multipleItemSelectionAllowed="1" showAll="0"/>
    <pivotField name="Programado IV" compact="0" outline="0" multipleItemSelectionAllowed="1" showAll="0"/>
    <pivotField name="Ejecutado IV" compact="0" outline="0" multipleItemSelectionAllowed="1" showAll="0"/>
    <pivotField name="% Cumplimiento _x000a_IV Trimestre" compact="0" outline="0" multipleItemSelectionAllowed="1" showAll="0"/>
    <pivotField name="Programado TOTAL" compact="0" outline="0" multipleItemSelectionAllowed="1" showAll="0"/>
    <pivotField name="Ejecutado TOTAL" compact="0" outline="0" multipleItemSelectionAllowed="1" showAll="0"/>
    <pivotField name="% Cumplimiento_x000a_Acumulado" compact="0" outline="0" multipleItemSelectionAllowed="1" showAl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Graficos 9" cacheId="4" applyNumberFormats="0" applyBorderFormats="0" applyFontFormats="0" applyPatternFormats="0" applyAlignmentFormats="0" applyWidthHeightFormats="0" dataCaption="" updatedVersion="8" compact="0" compactData="0">
  <location ref="A66:D68" firstHeaderRow="1" firstDataRow="2" firstDataCol="0"/>
  <pivotFields count="43">
    <pivotField name="0.Id Actividad" compact="0" outline="0" multipleItemSelectionAllowed="1" showAll="0"/>
    <pivotField name="1. Núcleo de Inequidad Socio-Sanitaria" compact="0" outline="0" multipleItemSelectionAllowed="1" showAll="0"/>
    <pivotField name="2. Eje estrátegico PDSP 2022-2031" compact="0" outline="0" multipleItemSelectionAllowed="1" showAll="0"/>
    <pivotField name="3. Pilares del Modelo de salud preventivo, predictivo y resolutivo" compact="0" outline="0" multipleItemSelectionAllowed="1" showAll="0"/>
    <pivotField name="4. Resultado esperado por Eje PDSP 2022-2031" compact="0" outline="0" multipleItemSelectionAllowed="1" showAll="0"/>
    <pivotField name="5. Estrategia del Plan Territorial de Salud" compact="0" outline="0" multipleItemSelectionAllowed="1" showAll="0"/>
    <pivotField name="6. Meta estratégica del PDSP 2022-2031" compact="0" outline="0" multipleItemSelectionAllowed="1" showAll="0"/>
    <pivotField name="6.1 Meta estratégica del PTS adaptada al territorio" compact="0" outline="0" multipleItemSelectionAllowed="1" showAll="0"/>
    <pivotField name="7. Meta de resultado en salud del PDSP 2022-2031" compact="0" outline="0" multipleItemSelectionAllowed="1" showAll="0"/>
    <pivotField name="7.1 Meta de resultado en salud del PTS adaptada al territorio" compact="0" outline="0" multipleItemSelectionAllowed="1" showAll="0"/>
    <pivotField name="8. Programa " compact="0" outline="0" multipleItemSelectionAllowed="1" showAll="0"/>
    <pivotField name="9. Subprograma" compact="0" outline="0" multipleItemSelectionAllowed="1" showAll="0"/>
    <pivotField name="10. Proyecto BPI" compact="0" outline="0" multipleItemSelectionAllowed="1" showAll="0"/>
    <pivotField name="11. Meta de Producto" compact="0" outline="0" multipleItemSelectionAllowed="1" showAll="0"/>
    <pivotField name="12. Línea Operativa PDSP 2022-2031" compact="0" outline="0" multipleItemSelectionAllowed="1" showAll="0"/>
    <pivotField name="13. Gestion territorial integral para la salud pública" compact="0" outline="0" multipleItemSelectionAllowed="1" showAll="0"/>
    <pivotField name="14. Actividad" compact="0" outline="0" multipleItemSelectionAllowed="1" showAll="0"/>
    <pivotField name="15. Cantidad" compact="0" outline="0" multipleItemSelectionAllowed="1" showAll="0"/>
    <pivotField name="16. Unidad de medida" compact="0" outline="0" multipleItemSelectionAllowed="1" showAll="0"/>
    <pivotField name="Programado I" compact="0" outline="0" multipleItemSelectionAllowed="1" showAll="0"/>
    <pivotField name="Ejecutado I" compact="0" outline="0" multipleItemSelectionAllowed="1" showAll="0"/>
    <pivotField name="% Cumplimiento _x000a_I Trimestre" compact="0" outline="0" multipleItemSelectionAllowed="1" showAll="0"/>
    <pivotField name="Programado II" compact="0" outline="0" multipleItemSelectionAllowed="1" showAll="0"/>
    <pivotField name="Ejecutado II" compact="0" outline="0" multipleItemSelectionAllowed="1" showAll="0"/>
    <pivotField name="% cumplimiento _x000a_II Trimestre" compact="0" outline="0" multipleItemSelectionAllowed="1" showAll="0"/>
    <pivotField name="Programado III" compact="0" outline="0" multipleItemSelectionAllowed="1" showAll="0"/>
    <pivotField name="Ejecutado III" compact="0" outline="0" multipleItemSelectionAllowed="1" showAll="0"/>
    <pivotField name="% Cumplimiento _x000a_III Trimestre" compact="0" outline="0" multipleItemSelectionAllowed="1" showAll="0"/>
    <pivotField name="Programado IV" compact="0" outline="0" multipleItemSelectionAllowed="1" showAll="0"/>
    <pivotField name="Ejecutado IV" compact="0" outline="0" multipleItemSelectionAllowed="1" showAll="0"/>
    <pivotField name="% Cumplimiento _x000a_IV Trimestre" compact="0" outline="0" multipleItemSelectionAllowed="1" showAll="0"/>
    <pivotField name="Programado TOTAL" compact="0" outline="0" multipleItemSelectionAllowed="1" showAll="0"/>
    <pivotField name="Ejecutado TOTAL" compact="0" outline="0" multipleItemSelectionAllowed="1" showAll="0"/>
    <pivotField name="% Cumplimiento_x000a_Acumulado" compact="0" outline="0" multipleItemSelectionAllowed="1" showAl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dataField="1" compact="0" outline="0" subtotalTop="0" dragToRow="0" dragToCol="0" dragToPage="0" showAll="0" includeNewItemsInFilter="1" defaultSubtotal="0"/>
    <pivotField dataField="1" compact="0" outline="0" subtotalTop="0" dragToRow="0" dragToCol="0" dragToPage="0" showAll="0" includeNewItemsInFilter="1" defaultSubtotal="0"/>
    <pivotField dataField="1" compact="0" outline="0" subtotalTop="0" dragToRow="0" dragToCol="0" dragToPage="0" showAll="0" includeNewItemsInFilter="1" defaultSubtotal="0"/>
    <pivotField dataField="1" compact="0" outline="0" subtotalTop="0" dragToRow="0" dragToCol="0" dragToPage="0" showAll="0" includeNewItemsInFilter="1" defaultSubtotal="0"/>
  </pivotFields>
  <rowItems count="1">
    <i/>
  </rowItems>
  <colFields count="1">
    <field x="-2"/>
  </colFields>
  <colItems count="4">
    <i>
      <x/>
    </i>
    <i i="1">
      <x v="1"/>
    </i>
    <i i="2">
      <x v="2"/>
    </i>
    <i i="3">
      <x v="3"/>
    </i>
  </colItems>
  <dataFields count="4">
    <dataField name="SUM of  I trim" fld="39" baseField="0"/>
    <dataField name="SUM of  II Trim" fld="40" baseField="0"/>
    <dataField name="SUM of  III Trim" fld="41" baseField="0"/>
    <dataField name="SUM of  IV Trim" fld="42" baseField="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Graficos 6" cacheId="4" applyNumberFormats="0" applyBorderFormats="0" applyFontFormats="0" applyPatternFormats="0" applyAlignmentFormats="0" applyWidthHeightFormats="0" dataCaption="" updatedVersion="8" compact="0" compactData="0">
  <location ref="P3:R20" firstHeaderRow="1" firstDataRow="1" firstDataCol="0"/>
  <pivotFields count="43">
    <pivotField name="0.Id Actividad" compact="0" outline="0" multipleItemSelectionAllowed="1" showAll="0"/>
    <pivotField name="1. Núcleo de Inequidad Socio-Sanitaria" compact="0" outline="0" multipleItemSelectionAllowed="1" showAll="0"/>
    <pivotField name="2. Eje estrátegico PDSP 2022-2031" compact="0" outline="0" multipleItemSelectionAllowed="1" showAll="0"/>
    <pivotField name="3. Pilares del Modelo de salud preventivo, predictivo y resolutivo" compact="0" outline="0" multipleItemSelectionAllowed="1" showAll="0"/>
    <pivotField name="4. Resultado esperado por Eje PDSP 2022-2031" compact="0" outline="0" multipleItemSelectionAllowed="1" showAll="0"/>
    <pivotField name="5. Estrategia del Plan Territorial de Salud" compact="0" outline="0" multipleItemSelectionAllowed="1" showAll="0"/>
    <pivotField name="6. Meta estratégica del PDSP 2022-2031" compact="0" outline="0" multipleItemSelectionAllowed="1" showAll="0"/>
    <pivotField name="6.1 Meta estratégica del PTS adaptada al territorio" compact="0" outline="0" multipleItemSelectionAllowed="1" showAll="0"/>
    <pivotField name="7. Meta de resultado en salud del PDSP 2022-2031" compact="0" outline="0" multipleItemSelectionAllowed="1" showAll="0"/>
    <pivotField name="7.1 Meta de resultado en salud del PTS adaptada al territorio" compact="0" outline="0" multipleItemSelectionAllowed="1" showAll="0"/>
    <pivotField name="8. Programa " compact="0" outline="0" multipleItemSelectionAllowed="1" showAll="0"/>
    <pivotField name="9. Subprograma" compact="0" outline="0" multipleItemSelectionAllowed="1" showAll="0"/>
    <pivotField name="10. Proyecto BPI" compact="0" outline="0" multipleItemSelectionAllowed="1" showAll="0"/>
    <pivotField name="11. Meta de Producto" compact="0" outline="0" multipleItemSelectionAllowed="1" showAll="0"/>
    <pivotField name="12. Línea Operativa PDSP 2022-2031" compact="0" outline="0" multipleItemSelectionAllowed="1" showAll="0"/>
    <pivotField name="13. Gestion territorial integral para la salud pública" compact="0" outline="0" multipleItemSelectionAllowed="1" showAll="0"/>
    <pivotField name="14. Actividad" compact="0" outline="0" multipleItemSelectionAllowed="1" showAll="0"/>
    <pivotField name="15. Cantidad" compact="0" outline="0" multipleItemSelectionAllowed="1" showAll="0"/>
    <pivotField name="16. Unidad de medida" compact="0" outline="0" multipleItemSelectionAllowed="1" showAll="0"/>
    <pivotField name="Programado I" compact="0" outline="0" multipleItemSelectionAllowed="1" showAll="0"/>
    <pivotField name="Ejecutado I" compact="0" outline="0" multipleItemSelectionAllowed="1" showAll="0"/>
    <pivotField name="% Cumplimiento _x000a_I Trimestre" compact="0" outline="0" multipleItemSelectionAllowed="1" showAll="0"/>
    <pivotField name="Programado II" compact="0" outline="0" multipleItemSelectionAllowed="1" showAll="0"/>
    <pivotField name="Ejecutado II" compact="0" outline="0" multipleItemSelectionAllowed="1" showAll="0"/>
    <pivotField name="% cumplimiento _x000a_II Trimestre" compact="0" outline="0" multipleItemSelectionAllowed="1" showAll="0"/>
    <pivotField name="Programado III" compact="0" outline="0" multipleItemSelectionAllowed="1" showAll="0"/>
    <pivotField name="Ejecutado III" compact="0" outline="0" multipleItemSelectionAllowed="1" showAll="0"/>
    <pivotField name="% Cumplimiento _x000a_III Trimestre" compact="0" outline="0" multipleItemSelectionAllowed="1" showAll="0"/>
    <pivotField name="Programado IV" compact="0" outline="0" multipleItemSelectionAllowed="1" showAll="0"/>
    <pivotField name="Ejecutado IV" compact="0" outline="0" multipleItemSelectionAllowed="1" showAll="0"/>
    <pivotField name="% Cumplimiento _x000a_IV Trimestre" compact="0" outline="0" multipleItemSelectionAllowed="1" showAll="0"/>
    <pivotField name="Programado TOTAL" compact="0" outline="0" multipleItemSelectionAllowed="1" showAll="0"/>
    <pivotField name="Ejecutado TOTAL" compact="0" outline="0" multipleItemSelectionAllowed="1" showAll="0"/>
    <pivotField name="% Cumplimiento_x000a_Acumulado" compact="0" outline="0" multipleItemSelectionAllowed="1" showAl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300-000008000000}" name="Graficos 4" cacheId="4" applyNumberFormats="0" applyBorderFormats="0" applyFontFormats="0" applyPatternFormats="0" applyAlignmentFormats="0" applyWidthHeightFormats="0" dataCaption="" updatedVersion="8" compact="0" compactData="0">
  <location ref="J3:L20" firstHeaderRow="1" firstDataRow="1" firstDataCol="0"/>
  <pivotFields count="43">
    <pivotField name="0.Id Actividad" compact="0" outline="0" multipleItemSelectionAllowed="1" showAll="0"/>
    <pivotField name="1. Núcleo de Inequidad Socio-Sanitaria" compact="0" outline="0" multipleItemSelectionAllowed="1" showAll="0"/>
    <pivotField name="2. Eje estrátegico PDSP 2022-2031" compact="0" outline="0" multipleItemSelectionAllowed="1" showAll="0"/>
    <pivotField name="3. Pilares del Modelo de salud preventivo, predictivo y resolutivo" compact="0" outline="0" multipleItemSelectionAllowed="1" showAll="0"/>
    <pivotField name="4. Resultado esperado por Eje PDSP 2022-2031" compact="0" outline="0" multipleItemSelectionAllowed="1" showAll="0"/>
    <pivotField name="5. Estrategia del Plan Territorial de Salud" compact="0" outline="0" multipleItemSelectionAllowed="1" showAll="0"/>
    <pivotField name="6. Meta estratégica del PDSP 2022-2031" compact="0" outline="0" multipleItemSelectionAllowed="1" showAll="0"/>
    <pivotField name="6.1 Meta estratégica del PTS adaptada al territorio" compact="0" outline="0" multipleItemSelectionAllowed="1" showAll="0"/>
    <pivotField name="7. Meta de resultado en salud del PDSP 2022-2031" compact="0" outline="0" multipleItemSelectionAllowed="1" showAll="0"/>
    <pivotField name="7.1 Meta de resultado en salud del PTS adaptada al territorio" compact="0" outline="0" multipleItemSelectionAllowed="1" showAll="0"/>
    <pivotField name="8. Programa " compact="0" outline="0" multipleItemSelectionAllowed="1" showAll="0"/>
    <pivotField name="9. Subprograma" compact="0" outline="0" multipleItemSelectionAllowed="1" showAll="0"/>
    <pivotField name="10. Proyecto BPI" compact="0" outline="0" multipleItemSelectionAllowed="1" showAll="0"/>
    <pivotField name="11. Meta de Producto" compact="0" outline="0" multipleItemSelectionAllowed="1" showAll="0"/>
    <pivotField name="12. Línea Operativa PDSP 2022-2031" compact="0" outline="0" multipleItemSelectionAllowed="1" showAll="0"/>
    <pivotField name="13. Gestion territorial integral para la salud pública" compact="0" outline="0" multipleItemSelectionAllowed="1" showAll="0"/>
    <pivotField name="14. Actividad" compact="0" outline="0" multipleItemSelectionAllowed="1" showAll="0"/>
    <pivotField name="15. Cantidad" compact="0" outline="0" multipleItemSelectionAllowed="1" showAll="0"/>
    <pivotField name="16. Unidad de medida" compact="0" outline="0" multipleItemSelectionAllowed="1" showAll="0"/>
    <pivotField name="Programado I" compact="0" outline="0" multipleItemSelectionAllowed="1" showAll="0"/>
    <pivotField name="Ejecutado I" compact="0" outline="0" multipleItemSelectionAllowed="1" showAll="0"/>
    <pivotField name="% Cumplimiento _x000a_I Trimestre" compact="0" outline="0" multipleItemSelectionAllowed="1" showAll="0"/>
    <pivotField name="Programado II" compact="0" outline="0" multipleItemSelectionAllowed="1" showAll="0"/>
    <pivotField name="Ejecutado II" compact="0" outline="0" multipleItemSelectionAllowed="1" showAll="0"/>
    <pivotField name="% cumplimiento _x000a_II Trimestre" compact="0" outline="0" multipleItemSelectionAllowed="1" showAll="0"/>
    <pivotField name="Programado III" compact="0" outline="0" multipleItemSelectionAllowed="1" showAll="0"/>
    <pivotField name="Ejecutado III" compact="0" outline="0" multipleItemSelectionAllowed="1" showAll="0"/>
    <pivotField name="% Cumplimiento _x000a_III Trimestre" compact="0" outline="0" multipleItemSelectionAllowed="1" showAll="0"/>
    <pivotField name="Programado IV" compact="0" outline="0" multipleItemSelectionAllowed="1" showAll="0"/>
    <pivotField name="Ejecutado IV" compact="0" outline="0" multipleItemSelectionAllowed="1" showAll="0"/>
    <pivotField name="% Cumplimiento _x000a_IV Trimestre" compact="0" outline="0" multipleItemSelectionAllowed="1" showAll="0"/>
    <pivotField name="Programado TOTAL" compact="0" outline="0" multipleItemSelectionAllowed="1" showAll="0"/>
    <pivotField name="Ejecutado TOTAL" compact="0" outline="0" multipleItemSelectionAllowed="1" showAll="0"/>
    <pivotField name="% Cumplimiento_x000a_Acumulado" compact="0" outline="0" multipleItemSelectionAllowed="1" showAl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Graficos 3" cacheId="4" applyNumberFormats="0" applyBorderFormats="0" applyFontFormats="0" applyPatternFormats="0" applyAlignmentFormats="0" applyWidthHeightFormats="0" dataCaption="" updatedVersion="8" compact="0" compactData="0">
  <location ref="G3:I20" firstHeaderRow="1" firstDataRow="1" firstDataCol="0"/>
  <pivotFields count="43">
    <pivotField name="0.Id Actividad" compact="0" outline="0" multipleItemSelectionAllowed="1" showAll="0"/>
    <pivotField name="1. Núcleo de Inequidad Socio-Sanitaria" compact="0" outline="0" multipleItemSelectionAllowed="1" showAll="0"/>
    <pivotField name="2. Eje estrátegico PDSP 2022-2031" compact="0" outline="0" multipleItemSelectionAllowed="1" showAll="0"/>
    <pivotField name="3. Pilares del Modelo de salud preventivo, predictivo y resolutivo" compact="0" outline="0" multipleItemSelectionAllowed="1" showAll="0"/>
    <pivotField name="4. Resultado esperado por Eje PDSP 2022-2031" compact="0" outline="0" multipleItemSelectionAllowed="1" showAll="0"/>
    <pivotField name="5. Estrategia del Plan Territorial de Salud" compact="0" outline="0" multipleItemSelectionAllowed="1" showAll="0"/>
    <pivotField name="6. Meta estratégica del PDSP 2022-2031" compact="0" outline="0" multipleItemSelectionAllowed="1" showAll="0"/>
    <pivotField name="6.1 Meta estratégica del PTS adaptada al territorio" compact="0" outline="0" multipleItemSelectionAllowed="1" showAll="0"/>
    <pivotField name="7. Meta de resultado en salud del PDSP 2022-2031" compact="0" outline="0" multipleItemSelectionAllowed="1" showAll="0"/>
    <pivotField name="7.1 Meta de resultado en salud del PTS adaptada al territorio" compact="0" outline="0" multipleItemSelectionAllowed="1" showAll="0"/>
    <pivotField name="8. Programa " compact="0" outline="0" multipleItemSelectionAllowed="1" showAll="0"/>
    <pivotField name="9. Subprograma" compact="0" outline="0" multipleItemSelectionAllowed="1" showAll="0"/>
    <pivotField name="10. Proyecto BPI" compact="0" outline="0" multipleItemSelectionAllowed="1" showAll="0"/>
    <pivotField name="11. Meta de Producto" compact="0" outline="0" multipleItemSelectionAllowed="1" showAll="0"/>
    <pivotField name="12. Línea Operativa PDSP 2022-2031" compact="0" outline="0" multipleItemSelectionAllowed="1" showAll="0"/>
    <pivotField name="13. Gestion territorial integral para la salud pública" compact="0" outline="0" multipleItemSelectionAllowed="1" showAll="0"/>
    <pivotField name="14. Actividad" compact="0" outline="0" multipleItemSelectionAllowed="1" showAll="0"/>
    <pivotField name="15. Cantidad" compact="0" outline="0" multipleItemSelectionAllowed="1" showAll="0"/>
    <pivotField name="16. Unidad de medida" compact="0" outline="0" multipleItemSelectionAllowed="1" showAll="0"/>
    <pivotField name="Programado I" compact="0" outline="0" multipleItemSelectionAllowed="1" showAll="0"/>
    <pivotField name="Ejecutado I" compact="0" outline="0" multipleItemSelectionAllowed="1" showAll="0"/>
    <pivotField name="% Cumplimiento _x000a_I Trimestre" compact="0" outline="0" multipleItemSelectionAllowed="1" showAll="0"/>
    <pivotField name="Programado II" compact="0" outline="0" multipleItemSelectionAllowed="1" showAll="0"/>
    <pivotField name="Ejecutado II" compact="0" outline="0" multipleItemSelectionAllowed="1" showAll="0"/>
    <pivotField name="% cumplimiento _x000a_II Trimestre" compact="0" outline="0" multipleItemSelectionAllowed="1" showAll="0"/>
    <pivotField name="Programado III" compact="0" outline="0" multipleItemSelectionAllowed="1" showAll="0"/>
    <pivotField name="Ejecutado III" compact="0" outline="0" multipleItemSelectionAllowed="1" showAll="0"/>
    <pivotField name="% Cumplimiento _x000a_III Trimestre" compact="0" outline="0" multipleItemSelectionAllowed="1" showAll="0"/>
    <pivotField name="Programado IV" compact="0" outline="0" multipleItemSelectionAllowed="1" showAll="0"/>
    <pivotField name="Ejecutado IV" compact="0" outline="0" multipleItemSelectionAllowed="1" showAll="0"/>
    <pivotField name="% Cumplimiento _x000a_IV Trimestre" compact="0" outline="0" multipleItemSelectionAllowed="1" showAll="0"/>
    <pivotField name="Programado TOTAL" compact="0" outline="0" multipleItemSelectionAllowed="1" showAll="0"/>
    <pivotField name="Ejecutado TOTAL" compact="0" outline="0" multipleItemSelectionAllowed="1" showAll="0"/>
    <pivotField name="% Cumplimiento_x000a_Acumulado" compact="0" outline="0" multipleItemSelectionAllowed="1" showAl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Graficos 7" cacheId="4" applyNumberFormats="0" applyBorderFormats="0" applyFontFormats="0" applyPatternFormats="0" applyAlignmentFormats="0" applyWidthHeightFormats="0" dataCaption="" updatedVersion="8" compact="0" compactData="0">
  <location ref="S3:U20" firstHeaderRow="1" firstDataRow="1" firstDataCol="0"/>
  <pivotFields count="43">
    <pivotField name="0.Id Actividad" compact="0" outline="0" multipleItemSelectionAllowed="1" showAll="0"/>
    <pivotField name="1. Núcleo de Inequidad Socio-Sanitaria" compact="0" outline="0" multipleItemSelectionAllowed="1" showAll="0"/>
    <pivotField name="2. Eje estrátegico PDSP 2022-2031" compact="0" outline="0" multipleItemSelectionAllowed="1" showAll="0"/>
    <pivotField name="3. Pilares del Modelo de salud preventivo, predictivo y resolutivo" compact="0" outline="0" multipleItemSelectionAllowed="1" showAll="0"/>
    <pivotField name="4. Resultado esperado por Eje PDSP 2022-2031" compact="0" outline="0" multipleItemSelectionAllowed="1" showAll="0"/>
    <pivotField name="5. Estrategia del Plan Territorial de Salud" compact="0" outline="0" multipleItemSelectionAllowed="1" showAll="0"/>
    <pivotField name="6. Meta estratégica del PDSP 2022-2031" compact="0" outline="0" multipleItemSelectionAllowed="1" showAll="0"/>
    <pivotField name="6.1 Meta estratégica del PTS adaptada al territorio" compact="0" outline="0" multipleItemSelectionAllowed="1" showAll="0"/>
    <pivotField name="7. Meta de resultado en salud del PDSP 2022-2031" compact="0" outline="0" multipleItemSelectionAllowed="1" showAll="0"/>
    <pivotField name="7.1 Meta de resultado en salud del PTS adaptada al territorio" compact="0" outline="0" multipleItemSelectionAllowed="1" showAll="0"/>
    <pivotField name="8. Programa " compact="0" outline="0" multipleItemSelectionAllowed="1" showAll="0"/>
    <pivotField name="9. Subprograma" compact="0" outline="0" multipleItemSelectionAllowed="1" showAll="0"/>
    <pivotField name="10. Proyecto BPI" compact="0" outline="0" multipleItemSelectionAllowed="1" showAll="0"/>
    <pivotField name="11. Meta de Producto" compact="0" outline="0" multipleItemSelectionAllowed="1" showAll="0"/>
    <pivotField name="12. Línea Operativa PDSP 2022-2031" compact="0" outline="0" multipleItemSelectionAllowed="1" showAll="0"/>
    <pivotField name="13. Gestion territorial integral para la salud pública" compact="0" outline="0" multipleItemSelectionAllowed="1" showAll="0"/>
    <pivotField name="14. Actividad" compact="0" outline="0" multipleItemSelectionAllowed="1" showAll="0"/>
    <pivotField name="15. Cantidad" compact="0" outline="0" multipleItemSelectionAllowed="1" showAll="0"/>
    <pivotField name="16. Unidad de medida" compact="0" outline="0" multipleItemSelectionAllowed="1" showAll="0"/>
    <pivotField name="Programado I" compact="0" outline="0" multipleItemSelectionAllowed="1" showAll="0"/>
    <pivotField name="Ejecutado I" compact="0" outline="0" multipleItemSelectionAllowed="1" showAll="0"/>
    <pivotField name="% Cumplimiento _x000a_I Trimestre" compact="0" outline="0" multipleItemSelectionAllowed="1" showAll="0"/>
    <pivotField name="Programado II" compact="0" outline="0" multipleItemSelectionAllowed="1" showAll="0"/>
    <pivotField name="Ejecutado II" compact="0" outline="0" multipleItemSelectionAllowed="1" showAll="0"/>
    <pivotField name="% cumplimiento _x000a_II Trimestre" compact="0" outline="0" multipleItemSelectionAllowed="1" showAll="0"/>
    <pivotField name="Programado III" compact="0" outline="0" multipleItemSelectionAllowed="1" showAll="0"/>
    <pivotField name="Ejecutado III" compact="0" outline="0" multipleItemSelectionAllowed="1" showAll="0"/>
    <pivotField name="% Cumplimiento _x000a_III Trimestre" compact="0" outline="0" multipleItemSelectionAllowed="1" showAll="0"/>
    <pivotField name="Programado IV" compact="0" outline="0" multipleItemSelectionAllowed="1" showAll="0"/>
    <pivotField name="Ejecutado IV" compact="0" outline="0" multipleItemSelectionAllowed="1" showAll="0"/>
    <pivotField name="% Cumplimiento _x000a_IV Trimestre" compact="0" outline="0" multipleItemSelectionAllowed="1" showAll="0"/>
    <pivotField name="Programado TOTAL" compact="0" outline="0" multipleItemSelectionAllowed="1" showAll="0"/>
    <pivotField name="Ejecutado TOTAL" compact="0" outline="0" multipleItemSelectionAllowed="1" showAll="0"/>
    <pivotField name="% Cumplimiento_x000a_Acumulado" compact="0" outline="0" multipleItemSelectionAllowed="1" showAl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hyperlink" Target="mailto:prestaciondeservicios@magdalena.gov.co" TargetMode="Externa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8" Type="http://schemas.openxmlformats.org/officeDocument/2006/relationships/pivotTable" Target="../pivotTables/pivotTable9.xml"/><Relationship Id="rId3" Type="http://schemas.openxmlformats.org/officeDocument/2006/relationships/pivotTable" Target="../pivotTables/pivotTable4.xml"/><Relationship Id="rId7" Type="http://schemas.openxmlformats.org/officeDocument/2006/relationships/pivotTable" Target="../pivotTables/pivotTable8.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10" Type="http://schemas.openxmlformats.org/officeDocument/2006/relationships/drawing" Target="../drawings/drawing4.xml"/><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Z1000"/>
  <sheetViews>
    <sheetView showGridLines="0" topLeftCell="A29" workbookViewId="0">
      <selection activeCell="A33" sqref="A33"/>
    </sheetView>
  </sheetViews>
  <sheetFormatPr baseColWidth="10" defaultColWidth="14.44140625" defaultRowHeight="15" customHeight="1" x14ac:dyDescent="0.3"/>
  <cols>
    <col min="1" max="1" width="113.44140625" customWidth="1"/>
    <col min="2" max="2" width="16.77734375" customWidth="1"/>
    <col min="3" max="3" width="51.21875" customWidth="1"/>
    <col min="4" max="26" width="10.77734375" customWidth="1"/>
  </cols>
  <sheetData>
    <row r="1" spans="1:26" ht="94.5" customHeight="1" x14ac:dyDescent="0.3"/>
    <row r="2" spans="1:26" ht="14.25" customHeight="1" x14ac:dyDescent="0.3">
      <c r="A2" s="1" t="s">
        <v>0</v>
      </c>
    </row>
    <row r="3" spans="1:26" ht="39" customHeight="1" x14ac:dyDescent="0.3">
      <c r="A3" s="2" t="s">
        <v>1</v>
      </c>
    </row>
    <row r="4" spans="1:26" ht="14.25" customHeight="1" x14ac:dyDescent="0.3">
      <c r="A4" s="3" t="s">
        <v>2</v>
      </c>
    </row>
    <row r="5" spans="1:26" ht="14.25" customHeight="1" x14ac:dyDescent="0.3">
      <c r="A5" s="4" t="s">
        <v>3</v>
      </c>
    </row>
    <row r="6" spans="1:26" ht="14.25" customHeight="1" x14ac:dyDescent="0.3">
      <c r="A6" s="4"/>
    </row>
    <row r="7" spans="1:26" ht="14.25" customHeight="1" x14ac:dyDescent="0.3">
      <c r="A7" s="5" t="s">
        <v>4</v>
      </c>
      <c r="B7" s="5" t="s">
        <v>5</v>
      </c>
      <c r="C7" s="6" t="s">
        <v>6</v>
      </c>
    </row>
    <row r="8" spans="1:26" ht="14.25" customHeight="1" x14ac:dyDescent="0.3">
      <c r="A8" s="7" t="s">
        <v>7</v>
      </c>
      <c r="B8" s="8" t="s">
        <v>8</v>
      </c>
      <c r="C8" s="9" t="s">
        <v>9</v>
      </c>
    </row>
    <row r="9" spans="1:26" ht="39" customHeight="1" x14ac:dyDescent="0.3">
      <c r="A9" s="7" t="s">
        <v>10</v>
      </c>
      <c r="B9" s="8" t="s">
        <v>11</v>
      </c>
      <c r="C9" s="10"/>
      <c r="D9" s="11"/>
      <c r="E9" s="11"/>
      <c r="F9" s="11"/>
      <c r="G9" s="11"/>
      <c r="H9" s="11"/>
      <c r="I9" s="11"/>
      <c r="J9" s="11"/>
      <c r="K9" s="11"/>
      <c r="L9" s="11"/>
      <c r="M9" s="11"/>
      <c r="N9" s="11"/>
      <c r="O9" s="11"/>
      <c r="P9" s="11"/>
      <c r="Q9" s="11"/>
      <c r="R9" s="11"/>
      <c r="S9" s="11"/>
      <c r="T9" s="11"/>
      <c r="U9" s="11"/>
      <c r="V9" s="11"/>
      <c r="W9" s="11"/>
      <c r="X9" s="11"/>
      <c r="Y9" s="11"/>
      <c r="Z9" s="11"/>
    </row>
    <row r="10" spans="1:26" ht="39" customHeight="1" x14ac:dyDescent="0.3">
      <c r="A10" s="7" t="s">
        <v>12</v>
      </c>
      <c r="B10" s="8" t="s">
        <v>13</v>
      </c>
      <c r="C10" s="10"/>
      <c r="D10" s="11"/>
      <c r="E10" s="11"/>
      <c r="F10" s="11"/>
      <c r="G10" s="11"/>
      <c r="H10" s="11"/>
      <c r="I10" s="11"/>
      <c r="J10" s="11"/>
      <c r="K10" s="11"/>
      <c r="L10" s="11"/>
      <c r="M10" s="11"/>
      <c r="N10" s="11"/>
      <c r="O10" s="11"/>
      <c r="P10" s="11"/>
      <c r="Q10" s="11"/>
      <c r="R10" s="11"/>
      <c r="S10" s="11"/>
      <c r="T10" s="11"/>
      <c r="U10" s="11"/>
      <c r="V10" s="11"/>
      <c r="W10" s="11"/>
      <c r="X10" s="11"/>
      <c r="Y10" s="11"/>
      <c r="Z10" s="11"/>
    </row>
    <row r="11" spans="1:26" ht="49.5" customHeight="1" x14ac:dyDescent="0.3">
      <c r="A11" s="7" t="s">
        <v>14</v>
      </c>
      <c r="B11" s="8" t="s">
        <v>13</v>
      </c>
      <c r="C11" s="9" t="s">
        <v>15</v>
      </c>
      <c r="D11" s="11"/>
      <c r="E11" s="11"/>
      <c r="F11" s="11"/>
      <c r="G11" s="11"/>
      <c r="H11" s="11"/>
      <c r="I11" s="11"/>
      <c r="J11" s="11"/>
      <c r="K11" s="11"/>
      <c r="L11" s="11"/>
      <c r="M11" s="11"/>
      <c r="N11" s="11"/>
      <c r="O11" s="11"/>
      <c r="P11" s="11"/>
      <c r="Q11" s="11"/>
      <c r="R11" s="11"/>
      <c r="S11" s="11"/>
      <c r="T11" s="11"/>
      <c r="U11" s="11"/>
      <c r="V11" s="11"/>
      <c r="W11" s="11"/>
      <c r="X11" s="11"/>
      <c r="Y11" s="11"/>
      <c r="Z11" s="11"/>
    </row>
    <row r="12" spans="1:26" ht="49.5" customHeight="1" x14ac:dyDescent="0.3">
      <c r="A12" s="8" t="s">
        <v>16</v>
      </c>
      <c r="B12" s="8" t="s">
        <v>13</v>
      </c>
      <c r="C12" s="9" t="s">
        <v>17</v>
      </c>
      <c r="D12" s="11"/>
      <c r="E12" s="11"/>
      <c r="F12" s="11"/>
      <c r="G12" s="11"/>
      <c r="H12" s="11"/>
      <c r="I12" s="11"/>
      <c r="J12" s="11"/>
      <c r="K12" s="11"/>
      <c r="L12" s="11"/>
      <c r="M12" s="11"/>
      <c r="N12" s="11"/>
      <c r="O12" s="11"/>
      <c r="P12" s="11"/>
      <c r="Q12" s="11"/>
      <c r="R12" s="11"/>
      <c r="S12" s="11"/>
      <c r="T12" s="11"/>
      <c r="U12" s="11"/>
      <c r="V12" s="11"/>
      <c r="W12" s="11"/>
      <c r="X12" s="11"/>
      <c r="Y12" s="11"/>
      <c r="Z12" s="11"/>
    </row>
    <row r="13" spans="1:26" ht="49.5" customHeight="1" x14ac:dyDescent="0.3">
      <c r="A13" s="8" t="s">
        <v>18</v>
      </c>
      <c r="B13" s="8" t="s">
        <v>11</v>
      </c>
      <c r="C13" s="10"/>
      <c r="D13" s="11"/>
      <c r="E13" s="11"/>
      <c r="F13" s="11"/>
      <c r="G13" s="11"/>
      <c r="H13" s="11"/>
      <c r="I13" s="11"/>
      <c r="J13" s="11"/>
      <c r="K13" s="11"/>
      <c r="L13" s="11"/>
      <c r="M13" s="11"/>
      <c r="N13" s="11"/>
      <c r="O13" s="11"/>
      <c r="P13" s="11"/>
      <c r="Q13" s="11"/>
      <c r="R13" s="11"/>
      <c r="S13" s="11"/>
      <c r="T13" s="11"/>
      <c r="U13" s="11"/>
      <c r="V13" s="11"/>
      <c r="W13" s="11"/>
      <c r="X13" s="11"/>
      <c r="Y13" s="11"/>
      <c r="Z13" s="11"/>
    </row>
    <row r="14" spans="1:26" ht="49.5" customHeight="1" x14ac:dyDescent="0.3">
      <c r="A14" s="7" t="s">
        <v>19</v>
      </c>
      <c r="B14" s="8" t="s">
        <v>13</v>
      </c>
      <c r="C14" s="10"/>
      <c r="D14" s="11"/>
      <c r="E14" s="11"/>
      <c r="F14" s="11"/>
      <c r="G14" s="11"/>
      <c r="H14" s="11"/>
      <c r="I14" s="11"/>
      <c r="J14" s="11"/>
      <c r="K14" s="11"/>
      <c r="L14" s="11"/>
      <c r="M14" s="11"/>
      <c r="N14" s="11"/>
      <c r="O14" s="11"/>
      <c r="P14" s="11"/>
      <c r="Q14" s="11"/>
      <c r="R14" s="11"/>
      <c r="S14" s="11"/>
      <c r="T14" s="11"/>
      <c r="U14" s="11"/>
      <c r="V14" s="11"/>
      <c r="W14" s="11"/>
      <c r="X14" s="11"/>
      <c r="Y14" s="11"/>
      <c r="Z14" s="11"/>
    </row>
    <row r="15" spans="1:26" ht="49.5" customHeight="1" x14ac:dyDescent="0.3">
      <c r="A15" s="7" t="s">
        <v>20</v>
      </c>
      <c r="B15" s="8" t="s">
        <v>11</v>
      </c>
      <c r="C15" s="10"/>
      <c r="D15" s="11"/>
      <c r="E15" s="11"/>
      <c r="F15" s="11"/>
      <c r="G15" s="11"/>
      <c r="H15" s="11"/>
      <c r="I15" s="11"/>
      <c r="J15" s="11"/>
      <c r="K15" s="11"/>
      <c r="L15" s="11"/>
      <c r="M15" s="11"/>
      <c r="N15" s="11"/>
      <c r="O15" s="11"/>
      <c r="P15" s="11"/>
      <c r="Q15" s="11"/>
      <c r="R15" s="11"/>
      <c r="S15" s="11"/>
      <c r="T15" s="11"/>
      <c r="U15" s="11"/>
      <c r="V15" s="11"/>
      <c r="W15" s="11"/>
      <c r="X15" s="11"/>
      <c r="Y15" s="11"/>
      <c r="Z15" s="11"/>
    </row>
    <row r="16" spans="1:26" ht="49.5" customHeight="1" x14ac:dyDescent="0.3">
      <c r="A16" s="7" t="s">
        <v>21</v>
      </c>
      <c r="B16" s="8" t="s">
        <v>13</v>
      </c>
      <c r="C16" s="10"/>
      <c r="D16" s="11"/>
      <c r="E16" s="11"/>
      <c r="F16" s="11"/>
      <c r="G16" s="11"/>
      <c r="H16" s="11"/>
      <c r="I16" s="11"/>
      <c r="J16" s="11"/>
      <c r="K16" s="11"/>
      <c r="L16" s="11"/>
      <c r="M16" s="11"/>
      <c r="N16" s="11"/>
      <c r="O16" s="11"/>
      <c r="P16" s="11"/>
      <c r="Q16" s="11"/>
      <c r="R16" s="11"/>
      <c r="S16" s="11"/>
      <c r="T16" s="11"/>
      <c r="U16" s="11"/>
      <c r="V16" s="11"/>
      <c r="W16" s="11"/>
      <c r="X16" s="11"/>
      <c r="Y16" s="11"/>
      <c r="Z16" s="11"/>
    </row>
    <row r="17" spans="1:26" ht="49.5" customHeight="1" x14ac:dyDescent="0.3">
      <c r="A17" s="7" t="s">
        <v>22</v>
      </c>
      <c r="B17" s="8" t="s">
        <v>11</v>
      </c>
      <c r="C17" s="10"/>
      <c r="D17" s="11"/>
      <c r="E17" s="11"/>
      <c r="F17" s="11"/>
      <c r="G17" s="11"/>
      <c r="H17" s="11"/>
      <c r="I17" s="11"/>
      <c r="J17" s="11"/>
      <c r="K17" s="11"/>
      <c r="L17" s="11"/>
      <c r="M17" s="11"/>
      <c r="N17" s="11"/>
      <c r="O17" s="11"/>
      <c r="P17" s="11"/>
      <c r="Q17" s="11"/>
      <c r="R17" s="11"/>
      <c r="S17" s="11"/>
      <c r="T17" s="11"/>
      <c r="U17" s="11"/>
      <c r="V17" s="11"/>
      <c r="W17" s="11"/>
      <c r="X17" s="11"/>
      <c r="Y17" s="11"/>
      <c r="Z17" s="11"/>
    </row>
    <row r="18" spans="1:26" ht="49.5" customHeight="1" x14ac:dyDescent="0.3">
      <c r="A18" s="7" t="s">
        <v>23</v>
      </c>
      <c r="B18" s="8" t="s">
        <v>11</v>
      </c>
      <c r="C18" s="10"/>
      <c r="D18" s="11"/>
      <c r="E18" s="11"/>
      <c r="F18" s="11"/>
      <c r="G18" s="11"/>
      <c r="H18" s="11"/>
      <c r="I18" s="11"/>
      <c r="J18" s="11"/>
      <c r="K18" s="11"/>
      <c r="L18" s="11"/>
      <c r="M18" s="11"/>
      <c r="N18" s="11"/>
      <c r="O18" s="11"/>
      <c r="P18" s="11"/>
      <c r="Q18" s="11"/>
      <c r="R18" s="11"/>
      <c r="S18" s="11"/>
      <c r="T18" s="11"/>
      <c r="U18" s="11"/>
      <c r="V18" s="11"/>
      <c r="W18" s="11"/>
      <c r="X18" s="11"/>
      <c r="Y18" s="11"/>
      <c r="Z18" s="11"/>
    </row>
    <row r="19" spans="1:26" ht="49.5" customHeight="1" x14ac:dyDescent="0.3">
      <c r="A19" s="7" t="s">
        <v>24</v>
      </c>
      <c r="B19" s="8" t="s">
        <v>11</v>
      </c>
      <c r="C19" s="10"/>
      <c r="D19" s="11"/>
      <c r="E19" s="11"/>
      <c r="F19" s="11"/>
      <c r="G19" s="11"/>
      <c r="H19" s="11"/>
      <c r="I19" s="11"/>
      <c r="J19" s="11"/>
      <c r="K19" s="11"/>
      <c r="L19" s="11"/>
      <c r="M19" s="11"/>
      <c r="N19" s="11"/>
      <c r="O19" s="11"/>
      <c r="P19" s="11"/>
      <c r="Q19" s="11"/>
      <c r="R19" s="11"/>
      <c r="S19" s="11"/>
      <c r="T19" s="11"/>
      <c r="U19" s="11"/>
      <c r="V19" s="11"/>
      <c r="W19" s="11"/>
      <c r="X19" s="11"/>
      <c r="Y19" s="11"/>
      <c r="Z19" s="11"/>
    </row>
    <row r="20" spans="1:26" ht="49.5" customHeight="1" x14ac:dyDescent="0.3">
      <c r="A20" s="7" t="s">
        <v>25</v>
      </c>
      <c r="B20" s="8" t="s">
        <v>11</v>
      </c>
      <c r="C20" s="10"/>
      <c r="D20" s="11"/>
      <c r="E20" s="11"/>
      <c r="F20" s="11"/>
      <c r="G20" s="11"/>
      <c r="H20" s="11"/>
      <c r="I20" s="11"/>
      <c r="J20" s="11"/>
      <c r="K20" s="11"/>
      <c r="L20" s="11"/>
      <c r="M20" s="11"/>
      <c r="N20" s="11"/>
      <c r="O20" s="11"/>
      <c r="P20" s="11"/>
      <c r="Q20" s="11"/>
      <c r="R20" s="11"/>
      <c r="S20" s="11"/>
      <c r="T20" s="11"/>
      <c r="U20" s="11"/>
      <c r="V20" s="11"/>
      <c r="W20" s="11"/>
      <c r="X20" s="11"/>
      <c r="Y20" s="11"/>
      <c r="Z20" s="11"/>
    </row>
    <row r="21" spans="1:26" ht="49.5" customHeight="1" x14ac:dyDescent="0.3">
      <c r="A21" s="7" t="s">
        <v>26</v>
      </c>
      <c r="B21" s="8" t="s">
        <v>11</v>
      </c>
      <c r="C21" s="10"/>
      <c r="D21" s="11"/>
      <c r="E21" s="11"/>
      <c r="F21" s="11"/>
      <c r="G21" s="11"/>
      <c r="H21" s="11"/>
      <c r="I21" s="11"/>
      <c r="J21" s="11"/>
      <c r="K21" s="11"/>
      <c r="L21" s="11"/>
      <c r="M21" s="11"/>
      <c r="N21" s="11"/>
      <c r="O21" s="11"/>
      <c r="P21" s="11"/>
      <c r="Q21" s="11"/>
      <c r="R21" s="11"/>
      <c r="S21" s="11"/>
      <c r="T21" s="11"/>
      <c r="U21" s="11"/>
      <c r="V21" s="11"/>
      <c r="W21" s="11"/>
      <c r="X21" s="11"/>
      <c r="Y21" s="11"/>
      <c r="Z21" s="11"/>
    </row>
    <row r="22" spans="1:26" ht="39.75" customHeight="1" x14ac:dyDescent="0.3">
      <c r="A22" s="7" t="s">
        <v>27</v>
      </c>
      <c r="B22" s="8" t="s">
        <v>13</v>
      </c>
      <c r="C22" s="12"/>
    </row>
    <row r="23" spans="1:26" ht="37.5" customHeight="1" x14ac:dyDescent="0.3">
      <c r="A23" s="13" t="s">
        <v>28</v>
      </c>
      <c r="B23" s="8" t="s">
        <v>13</v>
      </c>
      <c r="C23" s="12"/>
    </row>
    <row r="24" spans="1:26" ht="87" customHeight="1" x14ac:dyDescent="0.3">
      <c r="A24" s="7" t="s">
        <v>29</v>
      </c>
      <c r="B24" s="8" t="s">
        <v>11</v>
      </c>
      <c r="C24" s="12"/>
    </row>
    <row r="25" spans="1:26" ht="37.5" customHeight="1" x14ac:dyDescent="0.3">
      <c r="A25" s="13" t="s">
        <v>30</v>
      </c>
      <c r="B25" s="8" t="s">
        <v>8</v>
      </c>
      <c r="C25" s="12"/>
    </row>
    <row r="26" spans="1:26" ht="37.5" customHeight="1" x14ac:dyDescent="0.3">
      <c r="A26" s="13" t="s">
        <v>31</v>
      </c>
      <c r="B26" s="8" t="s">
        <v>32</v>
      </c>
      <c r="C26" s="12"/>
    </row>
    <row r="27" spans="1:26" ht="14.25" customHeight="1" x14ac:dyDescent="0.3">
      <c r="A27" s="13" t="s">
        <v>33</v>
      </c>
      <c r="B27" s="14" t="s">
        <v>34</v>
      </c>
      <c r="C27" s="12"/>
    </row>
    <row r="28" spans="1:26" ht="22.5" customHeight="1" x14ac:dyDescent="0.3">
      <c r="A28" s="15" t="s">
        <v>35</v>
      </c>
      <c r="B28" s="14" t="s">
        <v>36</v>
      </c>
      <c r="C28" s="12"/>
    </row>
    <row r="29" spans="1:26" ht="142.5" customHeight="1" x14ac:dyDescent="0.3">
      <c r="A29" s="16" t="s">
        <v>37</v>
      </c>
      <c r="B29" s="14" t="s">
        <v>38</v>
      </c>
      <c r="C29" s="12"/>
    </row>
    <row r="30" spans="1:26" ht="45.45" customHeight="1" x14ac:dyDescent="0.3">
      <c r="A30" s="16" t="s">
        <v>39</v>
      </c>
      <c r="B30" s="8" t="s">
        <v>13</v>
      </c>
      <c r="C30" s="12"/>
    </row>
    <row r="31" spans="1:26" ht="14.25" customHeight="1" x14ac:dyDescent="0.3">
      <c r="A31" s="17" t="s">
        <v>40</v>
      </c>
      <c r="B31" s="8" t="s">
        <v>11</v>
      </c>
      <c r="C31" s="12"/>
    </row>
    <row r="32" spans="1:26" ht="36.75" customHeight="1" x14ac:dyDescent="0.3">
      <c r="A32" s="17" t="s">
        <v>41</v>
      </c>
      <c r="B32" s="8" t="s">
        <v>11</v>
      </c>
      <c r="C32" s="12"/>
    </row>
    <row r="33" spans="1:3" ht="45.75" customHeight="1" x14ac:dyDescent="0.3">
      <c r="A33" s="17" t="s">
        <v>42</v>
      </c>
      <c r="B33" s="8" t="s">
        <v>11</v>
      </c>
      <c r="C33" s="12"/>
    </row>
    <row r="34" spans="1:3" ht="14.25" customHeight="1" x14ac:dyDescent="0.3">
      <c r="A34" s="18"/>
    </row>
    <row r="35" spans="1:3" ht="14.25" customHeight="1" x14ac:dyDescent="0.3">
      <c r="A35" s="18"/>
    </row>
    <row r="36" spans="1:3" ht="14.25" customHeight="1" x14ac:dyDescent="0.3">
      <c r="A36" s="18"/>
    </row>
    <row r="37" spans="1:3" ht="14.25" customHeight="1" x14ac:dyDescent="0.3">
      <c r="A37" s="18"/>
    </row>
    <row r="38" spans="1:3" ht="14.25" customHeight="1" x14ac:dyDescent="0.3">
      <c r="A38" s="18"/>
    </row>
    <row r="39" spans="1:3" ht="14.25" customHeight="1" x14ac:dyDescent="0.3">
      <c r="A39" s="18"/>
    </row>
    <row r="40" spans="1:3" ht="14.25" customHeight="1" x14ac:dyDescent="0.3">
      <c r="A40" s="18"/>
    </row>
    <row r="41" spans="1:3" ht="14.25" customHeight="1" x14ac:dyDescent="0.3">
      <c r="A41" s="18"/>
    </row>
    <row r="42" spans="1:3" ht="14.25" customHeight="1" x14ac:dyDescent="0.3">
      <c r="A42" s="18"/>
    </row>
    <row r="43" spans="1:3" ht="14.25" customHeight="1" x14ac:dyDescent="0.3">
      <c r="A43" s="18"/>
    </row>
    <row r="44" spans="1:3" ht="14.25" customHeight="1" x14ac:dyDescent="0.3">
      <c r="A44" s="18"/>
    </row>
    <row r="45" spans="1:3" ht="14.25" customHeight="1" x14ac:dyDescent="0.3">
      <c r="A45" s="18"/>
    </row>
    <row r="46" spans="1:3" ht="14.25" customHeight="1" x14ac:dyDescent="0.3">
      <c r="A46" s="18"/>
    </row>
    <row r="47" spans="1:3" ht="14.25" customHeight="1" x14ac:dyDescent="0.3">
      <c r="A47" s="18"/>
    </row>
    <row r="48" spans="1:3" ht="14.25" customHeight="1" x14ac:dyDescent="0.3">
      <c r="A48" s="18"/>
    </row>
    <row r="49" spans="1:1" ht="14.25" customHeight="1" x14ac:dyDescent="0.3">
      <c r="A49" s="18"/>
    </row>
    <row r="50" spans="1:1" ht="14.25" customHeight="1" x14ac:dyDescent="0.3">
      <c r="A50" s="18"/>
    </row>
    <row r="51" spans="1:1" ht="14.25" customHeight="1" x14ac:dyDescent="0.3">
      <c r="A51" s="18"/>
    </row>
    <row r="52" spans="1:1" ht="14.25" customHeight="1" x14ac:dyDescent="0.3">
      <c r="A52" s="18"/>
    </row>
    <row r="53" spans="1:1" ht="14.25" customHeight="1" x14ac:dyDescent="0.3">
      <c r="A53" s="18"/>
    </row>
    <row r="54" spans="1:1" ht="14.25" customHeight="1" x14ac:dyDescent="0.3">
      <c r="A54" s="18"/>
    </row>
    <row r="55" spans="1:1" ht="14.25" customHeight="1" x14ac:dyDescent="0.3">
      <c r="A55" s="18"/>
    </row>
    <row r="56" spans="1:1" ht="14.25" customHeight="1" x14ac:dyDescent="0.3">
      <c r="A56" s="18"/>
    </row>
    <row r="57" spans="1:1" ht="14.25" customHeight="1" x14ac:dyDescent="0.3">
      <c r="A57" s="18"/>
    </row>
    <row r="58" spans="1:1" ht="14.25" customHeight="1" x14ac:dyDescent="0.3">
      <c r="A58" s="18"/>
    </row>
    <row r="59" spans="1:1" ht="14.25" customHeight="1" x14ac:dyDescent="0.3">
      <c r="A59" s="18"/>
    </row>
    <row r="60" spans="1:1" ht="14.25" customHeight="1" x14ac:dyDescent="0.3">
      <c r="A60" s="18"/>
    </row>
    <row r="61" spans="1:1" ht="14.25" customHeight="1" x14ac:dyDescent="0.3">
      <c r="A61" s="18"/>
    </row>
    <row r="62" spans="1:1" ht="14.25" customHeight="1" x14ac:dyDescent="0.3">
      <c r="A62" s="18"/>
    </row>
    <row r="63" spans="1:1" ht="14.25" customHeight="1" x14ac:dyDescent="0.3">
      <c r="A63" s="18"/>
    </row>
    <row r="64" spans="1:1" ht="14.25" customHeight="1" x14ac:dyDescent="0.3">
      <c r="A64" s="18"/>
    </row>
    <row r="65" spans="1:1" ht="14.25" customHeight="1" x14ac:dyDescent="0.3">
      <c r="A65" s="18"/>
    </row>
    <row r="66" spans="1:1" ht="14.25" customHeight="1" x14ac:dyDescent="0.3">
      <c r="A66" s="18"/>
    </row>
    <row r="67" spans="1:1" ht="14.25" customHeight="1" x14ac:dyDescent="0.3">
      <c r="A67" s="18"/>
    </row>
    <row r="68" spans="1:1" ht="14.25" customHeight="1" x14ac:dyDescent="0.3">
      <c r="A68" s="18"/>
    </row>
    <row r="69" spans="1:1" ht="14.25" customHeight="1" x14ac:dyDescent="0.3">
      <c r="A69" s="18"/>
    </row>
    <row r="70" spans="1:1" ht="14.25" customHeight="1" x14ac:dyDescent="0.3">
      <c r="A70" s="18"/>
    </row>
    <row r="71" spans="1:1" ht="14.25" customHeight="1" x14ac:dyDescent="0.3">
      <c r="A71" s="18"/>
    </row>
    <row r="72" spans="1:1" ht="14.25" customHeight="1" x14ac:dyDescent="0.3">
      <c r="A72" s="18"/>
    </row>
    <row r="73" spans="1:1" ht="14.25" customHeight="1" x14ac:dyDescent="0.3">
      <c r="A73" s="18"/>
    </row>
    <row r="74" spans="1:1" ht="14.25" customHeight="1" x14ac:dyDescent="0.3">
      <c r="A74" s="18"/>
    </row>
    <row r="75" spans="1:1" ht="14.25" customHeight="1" x14ac:dyDescent="0.3">
      <c r="A75" s="18"/>
    </row>
    <row r="76" spans="1:1" ht="14.25" customHeight="1" x14ac:dyDescent="0.3">
      <c r="A76" s="18"/>
    </row>
    <row r="77" spans="1:1" ht="14.25" customHeight="1" x14ac:dyDescent="0.3">
      <c r="A77" s="18"/>
    </row>
    <row r="78" spans="1:1" ht="14.25" customHeight="1" x14ac:dyDescent="0.3">
      <c r="A78" s="18"/>
    </row>
    <row r="79" spans="1:1" ht="14.25" customHeight="1" x14ac:dyDescent="0.3">
      <c r="A79" s="18"/>
    </row>
    <row r="80" spans="1:1" ht="14.25" customHeight="1" x14ac:dyDescent="0.3">
      <c r="A80" s="18"/>
    </row>
    <row r="81" spans="1:1" ht="14.25" customHeight="1" x14ac:dyDescent="0.3">
      <c r="A81" s="18"/>
    </row>
    <row r="82" spans="1:1" ht="14.25" customHeight="1" x14ac:dyDescent="0.3">
      <c r="A82" s="18"/>
    </row>
    <row r="83" spans="1:1" ht="14.25" customHeight="1" x14ac:dyDescent="0.3">
      <c r="A83" s="18"/>
    </row>
    <row r="84" spans="1:1" ht="14.25" customHeight="1" x14ac:dyDescent="0.3">
      <c r="A84" s="18"/>
    </row>
    <row r="85" spans="1:1" ht="14.25" customHeight="1" x14ac:dyDescent="0.3">
      <c r="A85" s="18"/>
    </row>
    <row r="86" spans="1:1" ht="14.25" customHeight="1" x14ac:dyDescent="0.3">
      <c r="A86" s="18"/>
    </row>
    <row r="87" spans="1:1" ht="14.25" customHeight="1" x14ac:dyDescent="0.3">
      <c r="A87" s="18"/>
    </row>
    <row r="88" spans="1:1" ht="14.25" customHeight="1" x14ac:dyDescent="0.3">
      <c r="A88" s="18"/>
    </row>
    <row r="89" spans="1:1" ht="14.25" customHeight="1" x14ac:dyDescent="0.3">
      <c r="A89" s="18"/>
    </row>
    <row r="90" spans="1:1" ht="14.25" customHeight="1" x14ac:dyDescent="0.3">
      <c r="A90" s="18"/>
    </row>
    <row r="91" spans="1:1" ht="14.25" customHeight="1" x14ac:dyDescent="0.3">
      <c r="A91" s="18"/>
    </row>
    <row r="92" spans="1:1" ht="14.25" customHeight="1" x14ac:dyDescent="0.3">
      <c r="A92" s="18"/>
    </row>
    <row r="93" spans="1:1" ht="14.25" customHeight="1" x14ac:dyDescent="0.3">
      <c r="A93" s="18"/>
    </row>
    <row r="94" spans="1:1" ht="14.25" customHeight="1" x14ac:dyDescent="0.3">
      <c r="A94" s="18"/>
    </row>
    <row r="95" spans="1:1" ht="14.25" customHeight="1" x14ac:dyDescent="0.3">
      <c r="A95" s="18"/>
    </row>
    <row r="96" spans="1:1" ht="14.25" customHeight="1" x14ac:dyDescent="0.3">
      <c r="A96" s="18"/>
    </row>
    <row r="97" spans="1:1" ht="14.25" customHeight="1" x14ac:dyDescent="0.3">
      <c r="A97" s="18"/>
    </row>
    <row r="98" spans="1:1" ht="14.25" customHeight="1" x14ac:dyDescent="0.3">
      <c r="A98" s="18"/>
    </row>
    <row r="99" spans="1:1" ht="14.25" customHeight="1" x14ac:dyDescent="0.3">
      <c r="A99" s="18"/>
    </row>
    <row r="100" spans="1:1" ht="14.25" customHeight="1" x14ac:dyDescent="0.3">
      <c r="A100" s="18"/>
    </row>
    <row r="101" spans="1:1" ht="14.25" customHeight="1" x14ac:dyDescent="0.3">
      <c r="A101" s="18"/>
    </row>
    <row r="102" spans="1:1" ht="14.25" customHeight="1" x14ac:dyDescent="0.3">
      <c r="A102" s="18"/>
    </row>
    <row r="103" spans="1:1" ht="14.25" customHeight="1" x14ac:dyDescent="0.3">
      <c r="A103" s="18"/>
    </row>
    <row r="104" spans="1:1" ht="14.25" customHeight="1" x14ac:dyDescent="0.3">
      <c r="A104" s="18"/>
    </row>
    <row r="105" spans="1:1" ht="14.25" customHeight="1" x14ac:dyDescent="0.3">
      <c r="A105" s="18"/>
    </row>
    <row r="106" spans="1:1" ht="14.25" customHeight="1" x14ac:dyDescent="0.3">
      <c r="A106" s="18"/>
    </row>
    <row r="107" spans="1:1" ht="14.25" customHeight="1" x14ac:dyDescent="0.3">
      <c r="A107" s="18"/>
    </row>
    <row r="108" spans="1:1" ht="14.25" customHeight="1" x14ac:dyDescent="0.3">
      <c r="A108" s="18"/>
    </row>
    <row r="109" spans="1:1" ht="14.25" customHeight="1" x14ac:dyDescent="0.3">
      <c r="A109" s="18"/>
    </row>
    <row r="110" spans="1:1" ht="14.25" customHeight="1" x14ac:dyDescent="0.3">
      <c r="A110" s="18"/>
    </row>
    <row r="111" spans="1:1" ht="14.25" customHeight="1" x14ac:dyDescent="0.3">
      <c r="A111" s="18"/>
    </row>
    <row r="112" spans="1:1" ht="14.25" customHeight="1" x14ac:dyDescent="0.3">
      <c r="A112" s="18"/>
    </row>
    <row r="113" spans="1:1" ht="14.25" customHeight="1" x14ac:dyDescent="0.3">
      <c r="A113" s="18"/>
    </row>
    <row r="114" spans="1:1" ht="14.25" customHeight="1" x14ac:dyDescent="0.3">
      <c r="A114" s="18"/>
    </row>
    <row r="115" spans="1:1" ht="14.25" customHeight="1" x14ac:dyDescent="0.3">
      <c r="A115" s="18"/>
    </row>
    <row r="116" spans="1:1" ht="14.25" customHeight="1" x14ac:dyDescent="0.3">
      <c r="A116" s="18"/>
    </row>
    <row r="117" spans="1:1" ht="14.25" customHeight="1" x14ac:dyDescent="0.3">
      <c r="A117" s="18"/>
    </row>
    <row r="118" spans="1:1" ht="14.25" customHeight="1" x14ac:dyDescent="0.3">
      <c r="A118" s="18"/>
    </row>
    <row r="119" spans="1:1" ht="14.25" customHeight="1" x14ac:dyDescent="0.3">
      <c r="A119" s="18"/>
    </row>
    <row r="120" spans="1:1" ht="14.25" customHeight="1" x14ac:dyDescent="0.3">
      <c r="A120" s="18"/>
    </row>
    <row r="121" spans="1:1" ht="14.25" customHeight="1" x14ac:dyDescent="0.3">
      <c r="A121" s="18"/>
    </row>
    <row r="122" spans="1:1" ht="14.25" customHeight="1" x14ac:dyDescent="0.3">
      <c r="A122" s="18"/>
    </row>
    <row r="123" spans="1:1" ht="14.25" customHeight="1" x14ac:dyDescent="0.3">
      <c r="A123" s="18"/>
    </row>
    <row r="124" spans="1:1" ht="14.25" customHeight="1" x14ac:dyDescent="0.3">
      <c r="A124" s="18"/>
    </row>
    <row r="125" spans="1:1" ht="14.25" customHeight="1" x14ac:dyDescent="0.3">
      <c r="A125" s="18"/>
    </row>
    <row r="126" spans="1:1" ht="14.25" customHeight="1" x14ac:dyDescent="0.3">
      <c r="A126" s="18"/>
    </row>
    <row r="127" spans="1:1" ht="14.25" customHeight="1" x14ac:dyDescent="0.3">
      <c r="A127" s="18"/>
    </row>
    <row r="128" spans="1:1" ht="14.25" customHeight="1" x14ac:dyDescent="0.3">
      <c r="A128" s="18"/>
    </row>
    <row r="129" spans="1:1" ht="14.25" customHeight="1" x14ac:dyDescent="0.3">
      <c r="A129" s="18"/>
    </row>
    <row r="130" spans="1:1" ht="14.25" customHeight="1" x14ac:dyDescent="0.3">
      <c r="A130" s="18"/>
    </row>
    <row r="131" spans="1:1" ht="14.25" customHeight="1" x14ac:dyDescent="0.3">
      <c r="A131" s="18"/>
    </row>
    <row r="132" spans="1:1" ht="14.25" customHeight="1" x14ac:dyDescent="0.3">
      <c r="A132" s="18"/>
    </row>
    <row r="133" spans="1:1" ht="14.25" customHeight="1" x14ac:dyDescent="0.3">
      <c r="A133" s="18"/>
    </row>
    <row r="134" spans="1:1" ht="14.25" customHeight="1" x14ac:dyDescent="0.3">
      <c r="A134" s="18"/>
    </row>
    <row r="135" spans="1:1" ht="14.25" customHeight="1" x14ac:dyDescent="0.3">
      <c r="A135" s="18"/>
    </row>
    <row r="136" spans="1:1" ht="14.25" customHeight="1" x14ac:dyDescent="0.3">
      <c r="A136" s="18"/>
    </row>
    <row r="137" spans="1:1" ht="14.25" customHeight="1" x14ac:dyDescent="0.3">
      <c r="A137" s="18"/>
    </row>
    <row r="138" spans="1:1" ht="14.25" customHeight="1" x14ac:dyDescent="0.3">
      <c r="A138" s="18"/>
    </row>
    <row r="139" spans="1:1" ht="14.25" customHeight="1" x14ac:dyDescent="0.3">
      <c r="A139" s="18"/>
    </row>
    <row r="140" spans="1:1" ht="14.25" customHeight="1" x14ac:dyDescent="0.3">
      <c r="A140" s="18"/>
    </row>
    <row r="141" spans="1:1" ht="14.25" customHeight="1" x14ac:dyDescent="0.3">
      <c r="A141" s="18"/>
    </row>
    <row r="142" spans="1:1" ht="14.25" customHeight="1" x14ac:dyDescent="0.3">
      <c r="A142" s="18"/>
    </row>
    <row r="143" spans="1:1" ht="14.25" customHeight="1" x14ac:dyDescent="0.3">
      <c r="A143" s="18"/>
    </row>
    <row r="144" spans="1:1" ht="14.25" customHeight="1" x14ac:dyDescent="0.3">
      <c r="A144" s="18"/>
    </row>
    <row r="145" spans="1:1" ht="14.25" customHeight="1" x14ac:dyDescent="0.3">
      <c r="A145" s="18"/>
    </row>
    <row r="146" spans="1:1" ht="14.25" customHeight="1" x14ac:dyDescent="0.3">
      <c r="A146" s="18"/>
    </row>
    <row r="147" spans="1:1" ht="14.25" customHeight="1" x14ac:dyDescent="0.3">
      <c r="A147" s="18"/>
    </row>
    <row r="148" spans="1:1" ht="14.25" customHeight="1" x14ac:dyDescent="0.3">
      <c r="A148" s="18"/>
    </row>
    <row r="149" spans="1:1" ht="14.25" customHeight="1" x14ac:dyDescent="0.3">
      <c r="A149" s="18"/>
    </row>
    <row r="150" spans="1:1" ht="14.25" customHeight="1" x14ac:dyDescent="0.3">
      <c r="A150" s="18"/>
    </row>
    <row r="151" spans="1:1" ht="14.25" customHeight="1" x14ac:dyDescent="0.3">
      <c r="A151" s="18"/>
    </row>
    <row r="152" spans="1:1" ht="14.25" customHeight="1" x14ac:dyDescent="0.3">
      <c r="A152" s="18"/>
    </row>
    <row r="153" spans="1:1" ht="14.25" customHeight="1" x14ac:dyDescent="0.3">
      <c r="A153" s="18"/>
    </row>
    <row r="154" spans="1:1" ht="14.25" customHeight="1" x14ac:dyDescent="0.3">
      <c r="A154" s="18"/>
    </row>
    <row r="155" spans="1:1" ht="14.25" customHeight="1" x14ac:dyDescent="0.3">
      <c r="A155" s="18"/>
    </row>
    <row r="156" spans="1:1" ht="14.25" customHeight="1" x14ac:dyDescent="0.3">
      <c r="A156" s="18"/>
    </row>
    <row r="157" spans="1:1" ht="14.25" customHeight="1" x14ac:dyDescent="0.3">
      <c r="A157" s="18"/>
    </row>
    <row r="158" spans="1:1" ht="14.25" customHeight="1" x14ac:dyDescent="0.3">
      <c r="A158" s="18"/>
    </row>
    <row r="159" spans="1:1" ht="14.25" customHeight="1" x14ac:dyDescent="0.3">
      <c r="A159" s="18"/>
    </row>
    <row r="160" spans="1:1" ht="14.25" customHeight="1" x14ac:dyDescent="0.3">
      <c r="A160" s="18"/>
    </row>
    <row r="161" spans="1:1" ht="14.25" customHeight="1" x14ac:dyDescent="0.3">
      <c r="A161" s="18"/>
    </row>
    <row r="162" spans="1:1" ht="14.25" customHeight="1" x14ac:dyDescent="0.3">
      <c r="A162" s="18"/>
    </row>
    <row r="163" spans="1:1" ht="14.25" customHeight="1" x14ac:dyDescent="0.3">
      <c r="A163" s="18"/>
    </row>
    <row r="164" spans="1:1" ht="14.25" customHeight="1" x14ac:dyDescent="0.3">
      <c r="A164" s="18"/>
    </row>
    <row r="165" spans="1:1" ht="14.25" customHeight="1" x14ac:dyDescent="0.3">
      <c r="A165" s="18"/>
    </row>
    <row r="166" spans="1:1" ht="14.25" customHeight="1" x14ac:dyDescent="0.3">
      <c r="A166" s="18"/>
    </row>
    <row r="167" spans="1:1" ht="14.25" customHeight="1" x14ac:dyDescent="0.3">
      <c r="A167" s="18"/>
    </row>
    <row r="168" spans="1:1" ht="14.25" customHeight="1" x14ac:dyDescent="0.3">
      <c r="A168" s="18"/>
    </row>
    <row r="169" spans="1:1" ht="14.25" customHeight="1" x14ac:dyDescent="0.3">
      <c r="A169" s="18"/>
    </row>
    <row r="170" spans="1:1" ht="14.25" customHeight="1" x14ac:dyDescent="0.3">
      <c r="A170" s="18"/>
    </row>
    <row r="171" spans="1:1" ht="14.25" customHeight="1" x14ac:dyDescent="0.3">
      <c r="A171" s="18"/>
    </row>
    <row r="172" spans="1:1" ht="14.25" customHeight="1" x14ac:dyDescent="0.3">
      <c r="A172" s="18"/>
    </row>
    <row r="173" spans="1:1" ht="14.25" customHeight="1" x14ac:dyDescent="0.3">
      <c r="A173" s="18"/>
    </row>
    <row r="174" spans="1:1" ht="14.25" customHeight="1" x14ac:dyDescent="0.3">
      <c r="A174" s="18"/>
    </row>
    <row r="175" spans="1:1" ht="14.25" customHeight="1" x14ac:dyDescent="0.3">
      <c r="A175" s="18"/>
    </row>
    <row r="176" spans="1:1" ht="14.25" customHeight="1" x14ac:dyDescent="0.3">
      <c r="A176" s="18"/>
    </row>
    <row r="177" spans="1:1" ht="14.25" customHeight="1" x14ac:dyDescent="0.3">
      <c r="A177" s="18"/>
    </row>
    <row r="178" spans="1:1" ht="14.25" customHeight="1" x14ac:dyDescent="0.3">
      <c r="A178" s="18"/>
    </row>
    <row r="179" spans="1:1" ht="14.25" customHeight="1" x14ac:dyDescent="0.3">
      <c r="A179" s="18"/>
    </row>
    <row r="180" spans="1:1" ht="14.25" customHeight="1" x14ac:dyDescent="0.3">
      <c r="A180" s="18"/>
    </row>
    <row r="181" spans="1:1" ht="14.25" customHeight="1" x14ac:dyDescent="0.3">
      <c r="A181" s="18"/>
    </row>
    <row r="182" spans="1:1" ht="14.25" customHeight="1" x14ac:dyDescent="0.3">
      <c r="A182" s="18"/>
    </row>
    <row r="183" spans="1:1" ht="14.25" customHeight="1" x14ac:dyDescent="0.3">
      <c r="A183" s="18"/>
    </row>
    <row r="184" spans="1:1" ht="14.25" customHeight="1" x14ac:dyDescent="0.3">
      <c r="A184" s="18"/>
    </row>
    <row r="185" spans="1:1" ht="14.25" customHeight="1" x14ac:dyDescent="0.3">
      <c r="A185" s="18"/>
    </row>
    <row r="186" spans="1:1" ht="14.25" customHeight="1" x14ac:dyDescent="0.3">
      <c r="A186" s="18"/>
    </row>
    <row r="187" spans="1:1" ht="14.25" customHeight="1" x14ac:dyDescent="0.3">
      <c r="A187" s="18"/>
    </row>
    <row r="188" spans="1:1" ht="14.25" customHeight="1" x14ac:dyDescent="0.3">
      <c r="A188" s="18"/>
    </row>
    <row r="189" spans="1:1" ht="14.25" customHeight="1" x14ac:dyDescent="0.3">
      <c r="A189" s="18"/>
    </row>
    <row r="190" spans="1:1" ht="14.25" customHeight="1" x14ac:dyDescent="0.3">
      <c r="A190" s="18"/>
    </row>
    <row r="191" spans="1:1" ht="14.25" customHeight="1" x14ac:dyDescent="0.3">
      <c r="A191" s="18"/>
    </row>
    <row r="192" spans="1:1"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 right="0" top="0" bottom="0" header="0" footer="0"/>
  <pageSetup paperSize="9" scale="70"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4"/>
  <dimension ref="A1:Z1000"/>
  <sheetViews>
    <sheetView topLeftCell="A41" workbookViewId="0"/>
  </sheetViews>
  <sheetFormatPr baseColWidth="10" defaultColWidth="14.44140625" defaultRowHeight="15" customHeight="1" x14ac:dyDescent="0.3"/>
  <cols>
    <col min="1" max="1" width="50.77734375" customWidth="1"/>
    <col min="2" max="2" width="67.77734375" customWidth="1"/>
    <col min="3" max="4" width="13.77734375" customWidth="1"/>
    <col min="5" max="5" width="14.21875" customWidth="1"/>
    <col min="6" max="6" width="13.77734375" customWidth="1"/>
    <col min="7" max="26" width="11.44140625" customWidth="1"/>
  </cols>
  <sheetData>
    <row r="1" spans="1:26" ht="14.25" customHeight="1" x14ac:dyDescent="0.3">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4.25" customHeight="1" x14ac:dyDescent="0.3">
      <c r="A2" s="19"/>
      <c r="B2" s="19"/>
      <c r="C2" s="19"/>
      <c r="D2" s="19"/>
      <c r="E2" s="19"/>
      <c r="F2" s="19"/>
      <c r="G2" s="19"/>
      <c r="H2" s="19"/>
      <c r="I2" s="19"/>
      <c r="J2" s="19"/>
      <c r="K2" s="19"/>
      <c r="L2" s="19"/>
      <c r="M2" s="19"/>
      <c r="N2" s="19"/>
      <c r="O2" s="19"/>
      <c r="P2" s="19"/>
      <c r="Q2" s="19"/>
      <c r="R2" s="19"/>
      <c r="S2" s="19"/>
      <c r="T2" s="19"/>
      <c r="U2" s="19"/>
      <c r="V2" s="19"/>
      <c r="W2" s="19"/>
      <c r="X2" s="19"/>
      <c r="Y2" s="19"/>
      <c r="Z2" s="19"/>
    </row>
    <row r="3" spans="1:26" ht="14.25" customHeight="1" x14ac:dyDescent="0.3">
      <c r="A3" s="19"/>
      <c r="B3" s="19"/>
      <c r="C3" s="19"/>
      <c r="D3" s="19"/>
      <c r="E3" s="19"/>
      <c r="F3" s="19"/>
      <c r="G3" s="19"/>
      <c r="H3" s="19"/>
      <c r="I3" s="19"/>
      <c r="J3" s="19"/>
      <c r="K3" s="19"/>
      <c r="L3" s="19"/>
      <c r="M3" s="19"/>
      <c r="N3" s="19"/>
      <c r="O3" s="19"/>
      <c r="P3" s="19"/>
      <c r="Q3" s="19"/>
      <c r="R3" s="19"/>
      <c r="S3" s="19"/>
      <c r="T3" s="19"/>
      <c r="U3" s="19"/>
      <c r="V3" s="19"/>
      <c r="W3" s="19"/>
      <c r="X3" s="19"/>
      <c r="Y3" s="19"/>
      <c r="Z3" s="19"/>
    </row>
    <row r="4" spans="1:26" ht="14.25" customHeight="1" x14ac:dyDescent="0.3">
      <c r="A4" s="19"/>
      <c r="B4" s="20"/>
      <c r="C4" s="19"/>
      <c r="D4" s="19"/>
      <c r="E4" s="19"/>
      <c r="F4" s="19"/>
      <c r="G4" s="19"/>
      <c r="H4" s="19"/>
      <c r="I4" s="19"/>
      <c r="J4" s="19"/>
      <c r="K4" s="19"/>
      <c r="L4" s="19"/>
      <c r="M4" s="19"/>
      <c r="N4" s="19"/>
      <c r="O4" s="19"/>
      <c r="P4" s="19"/>
      <c r="Q4" s="19"/>
      <c r="R4" s="19"/>
      <c r="S4" s="19"/>
      <c r="T4" s="19"/>
      <c r="U4" s="19"/>
      <c r="V4" s="19"/>
      <c r="W4" s="19"/>
      <c r="X4" s="19"/>
      <c r="Y4" s="19"/>
      <c r="Z4" s="19"/>
    </row>
    <row r="5" spans="1:26" ht="14.25" customHeight="1" x14ac:dyDescent="0.3">
      <c r="A5" s="19"/>
      <c r="B5" s="19"/>
      <c r="C5" s="19"/>
      <c r="D5" s="19"/>
      <c r="E5" s="19"/>
      <c r="F5" s="19"/>
      <c r="G5" s="19"/>
      <c r="H5" s="19"/>
      <c r="I5" s="19"/>
      <c r="J5" s="19"/>
      <c r="K5" s="19"/>
      <c r="L5" s="19"/>
      <c r="M5" s="19"/>
      <c r="N5" s="19"/>
      <c r="O5" s="19"/>
      <c r="P5" s="19"/>
      <c r="Q5" s="19"/>
      <c r="R5" s="19"/>
      <c r="S5" s="19"/>
      <c r="T5" s="19"/>
      <c r="U5" s="19"/>
      <c r="V5" s="19"/>
      <c r="W5" s="19"/>
      <c r="X5" s="19"/>
      <c r="Y5" s="19"/>
      <c r="Z5" s="19"/>
    </row>
    <row r="6" spans="1:26" ht="14.25" customHeight="1" x14ac:dyDescent="0.3">
      <c r="A6" s="19"/>
      <c r="B6" s="19"/>
      <c r="C6" s="19"/>
      <c r="D6" s="19"/>
      <c r="E6" s="19"/>
      <c r="F6" s="19"/>
      <c r="G6" s="19"/>
      <c r="H6" s="19"/>
      <c r="I6" s="19"/>
      <c r="J6" s="19"/>
      <c r="K6" s="19"/>
      <c r="L6" s="19"/>
      <c r="M6" s="19"/>
      <c r="N6" s="19"/>
      <c r="O6" s="19"/>
      <c r="P6" s="19"/>
      <c r="Q6" s="19"/>
      <c r="R6" s="19"/>
      <c r="S6" s="19"/>
      <c r="T6" s="19"/>
      <c r="U6" s="19"/>
      <c r="V6" s="19"/>
      <c r="W6" s="19"/>
      <c r="X6" s="19"/>
      <c r="Y6" s="19"/>
      <c r="Z6" s="19"/>
    </row>
    <row r="7" spans="1:26" ht="14.25" customHeight="1" x14ac:dyDescent="0.3">
      <c r="A7" s="19"/>
      <c r="B7" s="19"/>
      <c r="C7" s="19"/>
      <c r="D7" s="19"/>
      <c r="E7" s="19"/>
      <c r="F7" s="19"/>
      <c r="G7" s="19"/>
      <c r="H7" s="19"/>
      <c r="I7" s="19"/>
      <c r="J7" s="19"/>
      <c r="K7" s="19"/>
      <c r="L7" s="19"/>
      <c r="M7" s="19"/>
      <c r="N7" s="19"/>
      <c r="O7" s="19"/>
      <c r="P7" s="19"/>
      <c r="Q7" s="19"/>
      <c r="R7" s="19"/>
      <c r="S7" s="19"/>
      <c r="T7" s="19"/>
      <c r="U7" s="19"/>
      <c r="V7" s="19"/>
      <c r="W7" s="19"/>
      <c r="X7" s="19"/>
      <c r="Y7" s="19"/>
      <c r="Z7" s="19"/>
    </row>
    <row r="8" spans="1:26" ht="14.25" customHeight="1" x14ac:dyDescent="0.3">
      <c r="A8" s="19"/>
      <c r="B8" s="19"/>
      <c r="C8" s="19"/>
      <c r="D8" s="19"/>
      <c r="E8" s="19"/>
      <c r="F8" s="19"/>
      <c r="G8" s="19"/>
      <c r="H8" s="19"/>
      <c r="I8" s="19"/>
      <c r="J8" s="19"/>
      <c r="K8" s="19"/>
      <c r="L8" s="19"/>
      <c r="M8" s="19"/>
      <c r="N8" s="19"/>
      <c r="O8" s="19"/>
      <c r="P8" s="19"/>
      <c r="Q8" s="19"/>
      <c r="R8" s="19"/>
      <c r="S8" s="19"/>
      <c r="T8" s="19"/>
      <c r="U8" s="19"/>
      <c r="V8" s="19"/>
      <c r="W8" s="19"/>
      <c r="X8" s="19"/>
      <c r="Y8" s="19"/>
      <c r="Z8" s="19"/>
    </row>
    <row r="9" spans="1:26" ht="14.25" customHeight="1" x14ac:dyDescent="0.3">
      <c r="A9" s="19"/>
      <c r="B9" s="19"/>
      <c r="C9" s="19"/>
      <c r="D9" s="19"/>
      <c r="E9" s="19"/>
      <c r="F9" s="19"/>
      <c r="G9" s="19"/>
      <c r="H9" s="19"/>
      <c r="I9" s="19"/>
      <c r="J9" s="19"/>
      <c r="K9" s="19"/>
      <c r="L9" s="19"/>
      <c r="M9" s="19"/>
      <c r="N9" s="19"/>
      <c r="O9" s="19"/>
      <c r="P9" s="19"/>
      <c r="Q9" s="19"/>
      <c r="R9" s="19"/>
      <c r="S9" s="19"/>
      <c r="T9" s="19"/>
      <c r="U9" s="19"/>
      <c r="V9" s="19"/>
      <c r="W9" s="19"/>
      <c r="X9" s="19"/>
      <c r="Y9" s="19"/>
      <c r="Z9" s="19"/>
    </row>
    <row r="10" spans="1:26" ht="14.25" customHeight="1" x14ac:dyDescent="0.3">
      <c r="A10" s="19"/>
      <c r="B10" s="19"/>
      <c r="C10" s="19"/>
      <c r="D10" s="19"/>
      <c r="E10" s="19"/>
      <c r="F10" s="19"/>
      <c r="G10" s="19"/>
      <c r="H10" s="19"/>
      <c r="I10" s="19"/>
      <c r="J10" s="19"/>
      <c r="K10" s="19"/>
      <c r="L10" s="19"/>
      <c r="M10" s="19"/>
      <c r="N10" s="19"/>
      <c r="O10" s="19"/>
      <c r="P10" s="19"/>
      <c r="Q10" s="19"/>
      <c r="R10" s="19"/>
      <c r="S10" s="19"/>
      <c r="T10" s="19"/>
      <c r="U10" s="19"/>
      <c r="V10" s="19"/>
      <c r="W10" s="19"/>
      <c r="X10" s="19"/>
      <c r="Y10" s="19"/>
      <c r="Z10" s="19"/>
    </row>
    <row r="11" spans="1:26" ht="14.25" customHeight="1" x14ac:dyDescent="0.3">
      <c r="A11" s="19"/>
      <c r="B11" s="19"/>
      <c r="C11" s="19"/>
      <c r="D11" s="19"/>
      <c r="E11" s="19"/>
      <c r="F11" s="19"/>
      <c r="G11" s="19"/>
      <c r="H11" s="19"/>
      <c r="I11" s="19"/>
      <c r="J11" s="19"/>
      <c r="K11" s="19"/>
      <c r="L11" s="19"/>
      <c r="M11" s="19"/>
      <c r="N11" s="19"/>
      <c r="O11" s="19"/>
      <c r="P11" s="19"/>
      <c r="Q11" s="19"/>
      <c r="R11" s="19"/>
      <c r="S11" s="19"/>
      <c r="T11" s="19"/>
      <c r="U11" s="19"/>
      <c r="V11" s="19"/>
      <c r="W11" s="19"/>
      <c r="X11" s="19"/>
      <c r="Y11" s="19"/>
      <c r="Z11" s="19"/>
    </row>
    <row r="12" spans="1:26" ht="14.25" customHeight="1" x14ac:dyDescent="0.3">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row>
    <row r="13" spans="1:26" ht="14.25" customHeight="1" x14ac:dyDescent="0.3">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row>
    <row r="14" spans="1:26" ht="14.25" customHeight="1" x14ac:dyDescent="0.3">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row>
    <row r="15" spans="1:26" ht="14.25" customHeight="1" x14ac:dyDescent="0.3">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row>
    <row r="16" spans="1:26" ht="14.25" customHeight="1" x14ac:dyDescent="0.3">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row>
    <row r="17" spans="1:26" ht="14.25" customHeight="1" x14ac:dyDescent="0.3">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row>
    <row r="18" spans="1:26" ht="14.25" customHeight="1" x14ac:dyDescent="0.3">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row>
    <row r="19" spans="1:26" ht="14.25" customHeight="1" x14ac:dyDescent="0.3">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row>
    <row r="20" spans="1:26" ht="14.25" customHeight="1" x14ac:dyDescent="0.3">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row>
    <row r="21" spans="1:26" ht="14.25" customHeight="1" x14ac:dyDescent="0.3">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row>
    <row r="22" spans="1:26" ht="14.25" customHeight="1" x14ac:dyDescent="0.3">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row>
    <row r="23" spans="1:26" ht="14.25" customHeight="1" x14ac:dyDescent="0.3">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row>
    <row r="24" spans="1:26" ht="14.25" customHeight="1" x14ac:dyDescent="0.3">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row>
    <row r="25" spans="1:26" ht="14.25" customHeight="1" x14ac:dyDescent="0.3">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row>
    <row r="26" spans="1:26" ht="14.25" customHeight="1" x14ac:dyDescent="0.3">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row>
    <row r="27" spans="1:26" ht="14.25" customHeight="1" x14ac:dyDescent="0.3">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row>
    <row r="28" spans="1:26" ht="14.25" customHeight="1" x14ac:dyDescent="0.3">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row>
    <row r="29" spans="1:26" ht="14.25" customHeight="1" x14ac:dyDescent="0.3">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row>
    <row r="30" spans="1:26" ht="14.25" customHeight="1" x14ac:dyDescent="0.3">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row>
    <row r="31" spans="1:26" ht="14.25" customHeight="1" x14ac:dyDescent="0.3">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row>
    <row r="32" spans="1:26" ht="14.25" customHeight="1" x14ac:dyDescent="0.3">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row>
    <row r="33" spans="1:26" ht="14.25" customHeight="1" x14ac:dyDescent="0.3">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row>
    <row r="34" spans="1:26" ht="14.25" customHeight="1" x14ac:dyDescent="0.3">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row>
    <row r="35" spans="1:26" ht="14.25" customHeight="1" x14ac:dyDescent="0.3">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row>
    <row r="36" spans="1:26" ht="14.25" customHeight="1" x14ac:dyDescent="0.3">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row>
    <row r="37" spans="1:26" ht="14.25" customHeight="1" x14ac:dyDescent="0.3">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row>
    <row r="38" spans="1:26" ht="14.25" customHeight="1" x14ac:dyDescent="0.3">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row>
    <row r="39" spans="1:26" ht="14.25" customHeight="1" x14ac:dyDescent="0.3">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row>
    <row r="40" spans="1:26" ht="14.25" customHeight="1" x14ac:dyDescent="0.3">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row>
    <row r="41" spans="1:26" ht="14.25" customHeight="1" x14ac:dyDescent="0.3">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row>
    <row r="42" spans="1:26" ht="14.25" customHeight="1" x14ac:dyDescent="0.3">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row>
    <row r="43" spans="1:26" ht="14.25" customHeight="1" x14ac:dyDescent="0.3">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row>
    <row r="44" spans="1:26" ht="14.25" customHeight="1" x14ac:dyDescent="0.3">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4.25" customHeight="1" x14ac:dyDescent="0.3">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4.25" customHeight="1" x14ac:dyDescent="0.3">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4.25" customHeight="1" x14ac:dyDescent="0.3">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4.25" customHeight="1" x14ac:dyDescent="0.3">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4.25" customHeight="1" x14ac:dyDescent="0.3">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4.25" customHeight="1" x14ac:dyDescent="0.3">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4.25" customHeight="1" x14ac:dyDescent="0.3">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4.25" customHeight="1" x14ac:dyDescent="0.3">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4.25" customHeight="1" x14ac:dyDescent="0.3">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4.25" customHeight="1" x14ac:dyDescent="0.3">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4.25" customHeight="1" x14ac:dyDescent="0.3">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4.25" customHeight="1" x14ac:dyDescent="0.3">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4.25" customHeight="1" x14ac:dyDescent="0.3">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4.25" customHeight="1" x14ac:dyDescent="0.3">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4.25" customHeight="1" x14ac:dyDescent="0.3">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4.25" customHeight="1" x14ac:dyDescent="0.3">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4.25" customHeight="1" x14ac:dyDescent="0.3">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4.25" customHeight="1" x14ac:dyDescent="0.3">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4.25" customHeight="1" x14ac:dyDescent="0.3">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4.25" customHeight="1" x14ac:dyDescent="0.3">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4.25" customHeight="1" x14ac:dyDescent="0.3">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4.25" customHeight="1" x14ac:dyDescent="0.3">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4.25" customHeight="1" x14ac:dyDescent="0.3">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4.25" customHeight="1" x14ac:dyDescent="0.3">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4.25" customHeight="1" x14ac:dyDescent="0.3">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4.25" customHeight="1" x14ac:dyDescent="0.3">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4.25" customHeight="1" x14ac:dyDescent="0.3">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4.25" customHeight="1" x14ac:dyDescent="0.3">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4.25" customHeight="1" x14ac:dyDescent="0.3">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4.25" customHeight="1" x14ac:dyDescent="0.3">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4.25" customHeight="1" x14ac:dyDescent="0.3">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4.25" customHeight="1" x14ac:dyDescent="0.3">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4.25" customHeight="1" x14ac:dyDescent="0.3">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4.25" customHeight="1" x14ac:dyDescent="0.3">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4.25" customHeight="1" x14ac:dyDescent="0.3">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4.25" customHeight="1" x14ac:dyDescent="0.3">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4.25" customHeight="1" x14ac:dyDescent="0.3">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4.25" customHeight="1" x14ac:dyDescent="0.3">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4.25" customHeight="1" x14ac:dyDescent="0.3">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4.25" customHeight="1" x14ac:dyDescent="0.3">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4.25" customHeight="1" x14ac:dyDescent="0.3">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4.25" customHeight="1" x14ac:dyDescent="0.3">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4.25" customHeight="1" x14ac:dyDescent="0.3">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4.25" customHeight="1" x14ac:dyDescent="0.3">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4.25" customHeight="1" x14ac:dyDescent="0.3">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4.25" customHeight="1" x14ac:dyDescent="0.3">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4.25" customHeight="1" x14ac:dyDescent="0.3">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4.25" customHeight="1" x14ac:dyDescent="0.3">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4.25" customHeight="1" x14ac:dyDescent="0.3">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4.25" customHeight="1" x14ac:dyDescent="0.3">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4.25" customHeight="1" x14ac:dyDescent="0.3">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4.25" customHeight="1" x14ac:dyDescent="0.3">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4.25" customHeight="1" x14ac:dyDescent="0.3">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4.25" customHeight="1" x14ac:dyDescent="0.3">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4.25" customHeight="1" x14ac:dyDescent="0.3">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4.25" customHeight="1" x14ac:dyDescent="0.3">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4.25" customHeight="1" x14ac:dyDescent="0.3">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4.25" customHeight="1" x14ac:dyDescent="0.3">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4.25" customHeight="1" x14ac:dyDescent="0.3">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4.25" customHeight="1" x14ac:dyDescent="0.3">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4.25" customHeight="1" x14ac:dyDescent="0.3">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4.25" customHeight="1" x14ac:dyDescent="0.3">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4.25" customHeight="1" x14ac:dyDescent="0.3">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4.25" customHeight="1" x14ac:dyDescent="0.3">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4.25" customHeight="1" x14ac:dyDescent="0.3">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4.25" customHeight="1" x14ac:dyDescent="0.3">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4.25" customHeight="1" x14ac:dyDescent="0.3">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4.25" customHeight="1" x14ac:dyDescent="0.3">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4.25" customHeight="1" x14ac:dyDescent="0.3">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4.25" customHeight="1" x14ac:dyDescent="0.3">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4.25" customHeight="1" x14ac:dyDescent="0.3">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4.25" customHeight="1" x14ac:dyDescent="0.3">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4.25" customHeight="1" x14ac:dyDescent="0.3">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4.25" customHeight="1" x14ac:dyDescent="0.3">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4.25" customHeight="1" x14ac:dyDescent="0.3">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4.25" customHeight="1" x14ac:dyDescent="0.3">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4.25" customHeight="1" x14ac:dyDescent="0.3">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4.25" customHeight="1" x14ac:dyDescent="0.3">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4.25" customHeight="1" x14ac:dyDescent="0.3">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4.25" customHeight="1" x14ac:dyDescent="0.3">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4.25" customHeight="1" x14ac:dyDescent="0.3">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4.25" customHeight="1" x14ac:dyDescent="0.3">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4.25" customHeight="1" x14ac:dyDescent="0.3">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4.25" customHeight="1" x14ac:dyDescent="0.3">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4.25" customHeight="1" x14ac:dyDescent="0.3">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4.25" customHeight="1" x14ac:dyDescent="0.3">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4.25" customHeight="1" x14ac:dyDescent="0.3">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4.25" customHeight="1" x14ac:dyDescent="0.3">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4.25" customHeight="1" x14ac:dyDescent="0.3">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4.25" customHeight="1" x14ac:dyDescent="0.3">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4.25" customHeight="1" x14ac:dyDescent="0.3">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4.25" customHeight="1" x14ac:dyDescent="0.3">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4.25" customHeight="1" x14ac:dyDescent="0.3">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4.25" customHeight="1" x14ac:dyDescent="0.3">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4.25" customHeight="1" x14ac:dyDescent="0.3">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4.25" customHeight="1" x14ac:dyDescent="0.3">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4.25" customHeight="1" x14ac:dyDescent="0.3">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4.25" customHeight="1" x14ac:dyDescent="0.3">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4.25" customHeight="1" x14ac:dyDescent="0.3">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4.25" customHeight="1" x14ac:dyDescent="0.3">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4.25" customHeight="1" x14ac:dyDescent="0.3">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4.25" customHeight="1" x14ac:dyDescent="0.3">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4.25" customHeight="1" x14ac:dyDescent="0.3">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4.25" customHeight="1" x14ac:dyDescent="0.3">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4.25" customHeight="1" x14ac:dyDescent="0.3">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4.25" customHeight="1" x14ac:dyDescent="0.3">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4.25" customHeight="1" x14ac:dyDescent="0.3">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4.25" customHeight="1" x14ac:dyDescent="0.3">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4.25" customHeight="1" x14ac:dyDescent="0.3">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4.25" customHeight="1" x14ac:dyDescent="0.3">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4.25" customHeight="1" x14ac:dyDescent="0.3">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4.25" customHeight="1" x14ac:dyDescent="0.3">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4.25" customHeight="1" x14ac:dyDescent="0.3">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4.25" customHeight="1" x14ac:dyDescent="0.3">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4.25" customHeight="1" x14ac:dyDescent="0.3">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4.25" customHeight="1" x14ac:dyDescent="0.3">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4.25" customHeight="1" x14ac:dyDescent="0.3">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4.25" customHeight="1" x14ac:dyDescent="0.3">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4.25" customHeight="1" x14ac:dyDescent="0.3">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4.25" customHeight="1" x14ac:dyDescent="0.3">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4.25" customHeight="1" x14ac:dyDescent="0.3">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4.25" customHeight="1" x14ac:dyDescent="0.3">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4.25" customHeight="1" x14ac:dyDescent="0.3">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4.25" customHeight="1" x14ac:dyDescent="0.3">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4.25" customHeight="1" x14ac:dyDescent="0.3">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4.25" customHeight="1" x14ac:dyDescent="0.3">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4.25" customHeight="1" x14ac:dyDescent="0.3">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4.25" customHeight="1" x14ac:dyDescent="0.3">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4.25" customHeight="1" x14ac:dyDescent="0.3">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4.25" customHeight="1" x14ac:dyDescent="0.3">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4.25" customHeight="1" x14ac:dyDescent="0.3">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4.25" customHeight="1" x14ac:dyDescent="0.3">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4.25" customHeight="1" x14ac:dyDescent="0.3">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4.25" customHeight="1" x14ac:dyDescent="0.3">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4.25" customHeight="1" x14ac:dyDescent="0.3">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4.25" customHeight="1" x14ac:dyDescent="0.3">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4.25" customHeight="1" x14ac:dyDescent="0.3">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4.25" customHeight="1" x14ac:dyDescent="0.3">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4.25" customHeight="1" x14ac:dyDescent="0.3">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4.25" customHeight="1" x14ac:dyDescent="0.3">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4.25" customHeight="1" x14ac:dyDescent="0.3">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4.25" customHeight="1" x14ac:dyDescent="0.3">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4.25" customHeight="1" x14ac:dyDescent="0.3">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4.25" customHeight="1" x14ac:dyDescent="0.3">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4.25" customHeight="1" x14ac:dyDescent="0.3">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4.25" customHeight="1" x14ac:dyDescent="0.3">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4.25" customHeight="1" x14ac:dyDescent="0.3">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4.25" customHeight="1" x14ac:dyDescent="0.3">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4.25" customHeight="1" x14ac:dyDescent="0.3">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4.25" customHeight="1" x14ac:dyDescent="0.3">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4.25" customHeight="1" x14ac:dyDescent="0.3">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4.25" customHeight="1" x14ac:dyDescent="0.3">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4.25" customHeight="1" x14ac:dyDescent="0.3">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4.25" customHeight="1" x14ac:dyDescent="0.3">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4.25" customHeight="1" x14ac:dyDescent="0.3">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4.25" customHeight="1" x14ac:dyDescent="0.3">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4.25" customHeight="1" x14ac:dyDescent="0.3">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4.25" customHeight="1" x14ac:dyDescent="0.3">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4.25" customHeight="1" x14ac:dyDescent="0.3">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4.25" customHeight="1" x14ac:dyDescent="0.3">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4.25" customHeight="1" x14ac:dyDescent="0.3">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4.25" customHeight="1" x14ac:dyDescent="0.3">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4.25" customHeight="1" x14ac:dyDescent="0.3">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4.25" customHeight="1" x14ac:dyDescent="0.3">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4.25" customHeight="1" x14ac:dyDescent="0.3">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4.25" customHeight="1" x14ac:dyDescent="0.3">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4.25" customHeight="1" x14ac:dyDescent="0.3">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4.25" customHeight="1" x14ac:dyDescent="0.3">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4.25" customHeight="1" x14ac:dyDescent="0.3">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4.25" customHeight="1" x14ac:dyDescent="0.3">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4.25" customHeight="1" x14ac:dyDescent="0.3">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4.25" customHeight="1" x14ac:dyDescent="0.3">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4.25" customHeight="1" x14ac:dyDescent="0.3">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4.25" customHeight="1" x14ac:dyDescent="0.3">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4.25" customHeight="1" x14ac:dyDescent="0.3">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4.25" customHeight="1" x14ac:dyDescent="0.3">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4.25" customHeight="1" x14ac:dyDescent="0.3">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4.25" customHeight="1" x14ac:dyDescent="0.3">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4.25" customHeight="1" x14ac:dyDescent="0.3">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4.25" customHeight="1" x14ac:dyDescent="0.3">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4.25" customHeight="1" x14ac:dyDescent="0.3">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4.25" customHeight="1" x14ac:dyDescent="0.3">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4.25" customHeight="1" x14ac:dyDescent="0.3">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4.25" customHeight="1" x14ac:dyDescent="0.3">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4.25" customHeight="1" x14ac:dyDescent="0.3">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4.25" customHeight="1" x14ac:dyDescent="0.3">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4.25" customHeight="1" x14ac:dyDescent="0.3">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4.25" customHeight="1" x14ac:dyDescent="0.3">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4.25" customHeight="1" x14ac:dyDescent="0.3">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4.25" customHeight="1" x14ac:dyDescent="0.3">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4.25" customHeight="1" x14ac:dyDescent="0.3">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4.25" customHeight="1" x14ac:dyDescent="0.3">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4.25" customHeight="1" x14ac:dyDescent="0.3">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4.25" customHeight="1" x14ac:dyDescent="0.3">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4.25" customHeight="1" x14ac:dyDescent="0.3">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4.25" customHeight="1" x14ac:dyDescent="0.3">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4.25"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4.25" customHeight="1" x14ac:dyDescent="0.3">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4.25" customHeight="1" x14ac:dyDescent="0.3">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4.25" customHeight="1" x14ac:dyDescent="0.3">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4.25" customHeight="1" x14ac:dyDescent="0.3">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4.25" customHeight="1" x14ac:dyDescent="0.3">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4.25" customHeight="1" x14ac:dyDescent="0.3">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4.25" customHeight="1" x14ac:dyDescent="0.3">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4.25" customHeight="1" x14ac:dyDescent="0.3">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4.25" customHeight="1" x14ac:dyDescent="0.3">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4.25" customHeight="1" x14ac:dyDescent="0.3">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4.25" customHeight="1" x14ac:dyDescent="0.3">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4.25" customHeight="1" x14ac:dyDescent="0.3">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4.25" customHeight="1" x14ac:dyDescent="0.3">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4.25" customHeight="1" x14ac:dyDescent="0.3">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4.25" customHeight="1" x14ac:dyDescent="0.3">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4.25" customHeight="1" x14ac:dyDescent="0.3">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4.25" customHeight="1" x14ac:dyDescent="0.3">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4.25" customHeight="1" x14ac:dyDescent="0.3">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4.25" customHeight="1" x14ac:dyDescent="0.3">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4.25" customHeight="1" x14ac:dyDescent="0.3">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4.25" customHeight="1" x14ac:dyDescent="0.3">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4.25" customHeight="1" x14ac:dyDescent="0.3">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4.25" customHeight="1" x14ac:dyDescent="0.3">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4.25" customHeight="1" x14ac:dyDescent="0.3">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4.25" customHeight="1" x14ac:dyDescent="0.3">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4.25" customHeight="1" x14ac:dyDescent="0.3">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4.25" customHeight="1" x14ac:dyDescent="0.3">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4.25" customHeight="1" x14ac:dyDescent="0.3">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4.25" customHeight="1" x14ac:dyDescent="0.3">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4.25" customHeight="1" x14ac:dyDescent="0.3">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4.25" customHeight="1" x14ac:dyDescent="0.3">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4.25" customHeight="1" x14ac:dyDescent="0.3">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4.25" customHeight="1" x14ac:dyDescent="0.3">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4.25" customHeight="1" x14ac:dyDescent="0.3">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4.25" customHeight="1" x14ac:dyDescent="0.3">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4.25" customHeight="1" x14ac:dyDescent="0.3">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4.25" customHeight="1" x14ac:dyDescent="0.3">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4.25" customHeight="1" x14ac:dyDescent="0.3">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4.25" customHeight="1" x14ac:dyDescent="0.3">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4.25" customHeight="1" x14ac:dyDescent="0.3">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4.25" customHeight="1" x14ac:dyDescent="0.3">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4.25" customHeight="1" x14ac:dyDescent="0.3">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4.25" customHeight="1" x14ac:dyDescent="0.3">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4.25" customHeight="1" x14ac:dyDescent="0.3">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4.25" customHeight="1" x14ac:dyDescent="0.3">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4.25" customHeight="1" x14ac:dyDescent="0.3">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4.25" customHeight="1" x14ac:dyDescent="0.3">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4.25" customHeight="1" x14ac:dyDescent="0.3">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4.25" customHeight="1" x14ac:dyDescent="0.3">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4.25" customHeight="1" x14ac:dyDescent="0.3">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4.25" customHeight="1" x14ac:dyDescent="0.3">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4.25" customHeight="1" x14ac:dyDescent="0.3">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4.25" customHeight="1" x14ac:dyDescent="0.3">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4.25" customHeight="1" x14ac:dyDescent="0.3">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4.25" customHeight="1" x14ac:dyDescent="0.3">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4.25" customHeight="1" x14ac:dyDescent="0.3">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4.25" customHeight="1" x14ac:dyDescent="0.3">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4.25" customHeight="1" x14ac:dyDescent="0.3">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4.25" customHeight="1" x14ac:dyDescent="0.3">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4.25" customHeight="1" x14ac:dyDescent="0.3">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4.25" customHeight="1" x14ac:dyDescent="0.3">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4.25" customHeight="1" x14ac:dyDescent="0.3">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4.25" customHeight="1" x14ac:dyDescent="0.3">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4.25" customHeight="1" x14ac:dyDescent="0.3">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4.25" customHeight="1" x14ac:dyDescent="0.3">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4.25" customHeight="1" x14ac:dyDescent="0.3">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4.25" customHeight="1" x14ac:dyDescent="0.3">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4.25" customHeight="1" x14ac:dyDescent="0.3">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4.25" customHeight="1" x14ac:dyDescent="0.3">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4.25" customHeight="1" x14ac:dyDescent="0.3">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4.25" customHeight="1" x14ac:dyDescent="0.3">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4.25" customHeight="1" x14ac:dyDescent="0.3">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4.25" customHeight="1" x14ac:dyDescent="0.3">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4.25" customHeight="1" x14ac:dyDescent="0.3">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4.25" customHeight="1" x14ac:dyDescent="0.3">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4.25" customHeight="1" x14ac:dyDescent="0.3">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4.25" customHeight="1" x14ac:dyDescent="0.3">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4.25" customHeight="1" x14ac:dyDescent="0.3">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4.25" customHeight="1" x14ac:dyDescent="0.3">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4.25" customHeight="1" x14ac:dyDescent="0.3">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4.25" customHeight="1" x14ac:dyDescent="0.3">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4.25" customHeight="1" x14ac:dyDescent="0.3">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4.25" customHeight="1" x14ac:dyDescent="0.3">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4.25" customHeight="1" x14ac:dyDescent="0.3">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4.25" customHeight="1" x14ac:dyDescent="0.3">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4.25" customHeight="1" x14ac:dyDescent="0.3">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4.25" customHeight="1" x14ac:dyDescent="0.3">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4.25" customHeight="1" x14ac:dyDescent="0.3">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4.25" customHeight="1" x14ac:dyDescent="0.3">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4.25" customHeight="1" x14ac:dyDescent="0.3">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4.25" customHeight="1" x14ac:dyDescent="0.3">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4.25" customHeight="1" x14ac:dyDescent="0.3">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4.25" customHeight="1" x14ac:dyDescent="0.3">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4.25" customHeight="1" x14ac:dyDescent="0.3">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4.25" customHeight="1" x14ac:dyDescent="0.3">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4.25" customHeight="1" x14ac:dyDescent="0.3">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4.25" customHeight="1" x14ac:dyDescent="0.3">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4.25" customHeight="1" x14ac:dyDescent="0.3">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4.25" customHeight="1" x14ac:dyDescent="0.3">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4.25" customHeight="1" x14ac:dyDescent="0.3">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4.25" customHeight="1" x14ac:dyDescent="0.3">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4.25" customHeight="1" x14ac:dyDescent="0.3">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4.25" customHeight="1" x14ac:dyDescent="0.3">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4.25" customHeight="1" x14ac:dyDescent="0.3">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4.25" customHeight="1" x14ac:dyDescent="0.3">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4.25" customHeight="1" x14ac:dyDescent="0.3">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4.25" customHeight="1" x14ac:dyDescent="0.3">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4.25" customHeight="1" x14ac:dyDescent="0.3">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4.25" customHeight="1" x14ac:dyDescent="0.3">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4.25" customHeight="1" x14ac:dyDescent="0.3">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4.25" customHeight="1" x14ac:dyDescent="0.3">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4.25" customHeight="1" x14ac:dyDescent="0.3">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4.25" customHeight="1" x14ac:dyDescent="0.3">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4.25" customHeight="1" x14ac:dyDescent="0.3">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4.25" customHeight="1" x14ac:dyDescent="0.3">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4.25" customHeight="1" x14ac:dyDescent="0.3">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4.25" customHeight="1" x14ac:dyDescent="0.3">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4.25" customHeight="1" x14ac:dyDescent="0.3">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4.25" customHeight="1" x14ac:dyDescent="0.3">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4.25" customHeight="1" x14ac:dyDescent="0.3">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4.25" customHeight="1" x14ac:dyDescent="0.3">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4.25" customHeight="1" x14ac:dyDescent="0.3">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4.25" customHeight="1" x14ac:dyDescent="0.3">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4.25" customHeight="1" x14ac:dyDescent="0.3">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4.25" customHeight="1" x14ac:dyDescent="0.3">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4.25" customHeight="1" x14ac:dyDescent="0.3">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4.25" customHeight="1" x14ac:dyDescent="0.3">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4.25" customHeight="1" x14ac:dyDescent="0.3">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4.25" customHeight="1" x14ac:dyDescent="0.3">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4.25" customHeight="1" x14ac:dyDescent="0.3">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4.25" customHeight="1" x14ac:dyDescent="0.3">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4.25" customHeight="1" x14ac:dyDescent="0.3">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4.25" customHeight="1" x14ac:dyDescent="0.3">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4.25" customHeight="1" x14ac:dyDescent="0.3">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4.25" customHeight="1" x14ac:dyDescent="0.3">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4.25" customHeight="1" x14ac:dyDescent="0.3">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4.25" customHeight="1" x14ac:dyDescent="0.3">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4.25" customHeight="1" x14ac:dyDescent="0.3">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4.25" customHeight="1" x14ac:dyDescent="0.3">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4.25" customHeight="1" x14ac:dyDescent="0.3">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4.25" customHeight="1" x14ac:dyDescent="0.3">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4.25" customHeight="1" x14ac:dyDescent="0.3">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4.25" customHeight="1" x14ac:dyDescent="0.3">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4.25" customHeight="1" x14ac:dyDescent="0.3">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4.25" customHeight="1" x14ac:dyDescent="0.3">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4.25" customHeight="1" x14ac:dyDescent="0.3">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4.25" customHeight="1" x14ac:dyDescent="0.3">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4.25" customHeight="1" x14ac:dyDescent="0.3">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4.25" customHeight="1" x14ac:dyDescent="0.3">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4.25" customHeight="1" x14ac:dyDescent="0.3">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4.25" customHeight="1" x14ac:dyDescent="0.3">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4.25" customHeight="1" x14ac:dyDescent="0.3">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4.25" customHeight="1" x14ac:dyDescent="0.3">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4.25" customHeight="1" x14ac:dyDescent="0.3">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4.25" customHeight="1" x14ac:dyDescent="0.3">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4.25" customHeight="1" x14ac:dyDescent="0.3">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4.25" customHeight="1" x14ac:dyDescent="0.3">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4.25" customHeight="1" x14ac:dyDescent="0.3">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4.25" customHeight="1" x14ac:dyDescent="0.3">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4.25" customHeight="1" x14ac:dyDescent="0.3">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4.25" customHeight="1" x14ac:dyDescent="0.3">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4.25" customHeight="1" x14ac:dyDescent="0.3">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4.25" customHeight="1" x14ac:dyDescent="0.3">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4.25" customHeight="1" x14ac:dyDescent="0.3">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4.25" customHeight="1" x14ac:dyDescent="0.3">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4.25" customHeight="1" x14ac:dyDescent="0.3">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4.25" customHeight="1" x14ac:dyDescent="0.3">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4.25" customHeight="1" x14ac:dyDescent="0.3">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4.25" customHeight="1" x14ac:dyDescent="0.3">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4.25" customHeight="1" x14ac:dyDescent="0.3">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4.25" customHeight="1" x14ac:dyDescent="0.3">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4.25" customHeight="1" x14ac:dyDescent="0.3">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4.25" customHeight="1" x14ac:dyDescent="0.3">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4.25" customHeight="1" x14ac:dyDescent="0.3">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4.25" customHeight="1" x14ac:dyDescent="0.3">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4.25" customHeight="1" x14ac:dyDescent="0.3">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4.25" customHeight="1" x14ac:dyDescent="0.3">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4.25" customHeight="1" x14ac:dyDescent="0.3">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4.25" customHeight="1" x14ac:dyDescent="0.3">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4.25" customHeight="1" x14ac:dyDescent="0.3">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4.25" customHeight="1" x14ac:dyDescent="0.3">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4.25" customHeight="1" x14ac:dyDescent="0.3">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4.25" customHeight="1" x14ac:dyDescent="0.3">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4.25" customHeight="1" x14ac:dyDescent="0.3">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4.25" customHeight="1" x14ac:dyDescent="0.3">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4.25" customHeight="1" x14ac:dyDescent="0.3">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4.25" customHeight="1" x14ac:dyDescent="0.3">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4.25" customHeight="1" x14ac:dyDescent="0.3">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4.25" customHeight="1" x14ac:dyDescent="0.3">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4.25" customHeight="1" x14ac:dyDescent="0.3">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4.25" customHeight="1" x14ac:dyDescent="0.3">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4.25" customHeight="1" x14ac:dyDescent="0.3">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4.25" customHeight="1" x14ac:dyDescent="0.3">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4.25" customHeight="1" x14ac:dyDescent="0.3">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4.25" customHeight="1" x14ac:dyDescent="0.3">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4.25" customHeight="1" x14ac:dyDescent="0.3">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4.25" customHeight="1" x14ac:dyDescent="0.3">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4.25" customHeight="1" x14ac:dyDescent="0.3">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4.25" customHeight="1" x14ac:dyDescent="0.3">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4.25" customHeight="1" x14ac:dyDescent="0.3">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4.25" customHeight="1" x14ac:dyDescent="0.3">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4.25" customHeight="1" x14ac:dyDescent="0.3">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4.25" customHeight="1" x14ac:dyDescent="0.3">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4.25" customHeight="1" x14ac:dyDescent="0.3">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4.25" customHeight="1" x14ac:dyDescent="0.3">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4.25" customHeight="1" x14ac:dyDescent="0.3">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4.25" customHeight="1" x14ac:dyDescent="0.3">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4.25" customHeight="1" x14ac:dyDescent="0.3">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4.25" customHeight="1" x14ac:dyDescent="0.3">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4.25" customHeight="1" x14ac:dyDescent="0.3">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4.25" customHeight="1" x14ac:dyDescent="0.3">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4.25" customHeight="1" x14ac:dyDescent="0.3">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4.25" customHeight="1" x14ac:dyDescent="0.3">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4.25" customHeight="1" x14ac:dyDescent="0.3">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4.25" customHeight="1" x14ac:dyDescent="0.3">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4.25" customHeight="1" x14ac:dyDescent="0.3">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4.25" customHeight="1" x14ac:dyDescent="0.3">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4.25" customHeight="1" x14ac:dyDescent="0.3">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4.25" customHeight="1" x14ac:dyDescent="0.3">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4.25" customHeight="1" x14ac:dyDescent="0.3">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4.25" customHeight="1" x14ac:dyDescent="0.3">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4.25" customHeight="1" x14ac:dyDescent="0.3">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4.25" customHeight="1" x14ac:dyDescent="0.3">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4.25" customHeight="1" x14ac:dyDescent="0.3">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4.25" customHeight="1" x14ac:dyDescent="0.3">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4.25" customHeight="1" x14ac:dyDescent="0.3">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4.25" customHeight="1" x14ac:dyDescent="0.3">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4.25" customHeight="1" x14ac:dyDescent="0.3">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4.25" customHeight="1" x14ac:dyDescent="0.3">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4.25" customHeight="1" x14ac:dyDescent="0.3">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4.25" customHeight="1" x14ac:dyDescent="0.3">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4.25" customHeight="1" x14ac:dyDescent="0.3">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4.25" customHeight="1" x14ac:dyDescent="0.3">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4.25" customHeight="1" x14ac:dyDescent="0.3">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4.25" customHeight="1" x14ac:dyDescent="0.3">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4.25" customHeight="1" x14ac:dyDescent="0.3">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4.25" customHeight="1" x14ac:dyDescent="0.3">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4.25" customHeight="1" x14ac:dyDescent="0.3">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4.25" customHeight="1" x14ac:dyDescent="0.3">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4.25" customHeight="1" x14ac:dyDescent="0.3">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4.25" customHeight="1" x14ac:dyDescent="0.3">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4.25" customHeight="1" x14ac:dyDescent="0.3">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4.25" customHeight="1" x14ac:dyDescent="0.3">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4.25" customHeight="1" x14ac:dyDescent="0.3">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4.25" customHeight="1" x14ac:dyDescent="0.3">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4.25" customHeight="1" x14ac:dyDescent="0.3">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4.25" customHeight="1" x14ac:dyDescent="0.3">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4.25" customHeight="1" x14ac:dyDescent="0.3">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4.25" customHeight="1" x14ac:dyDescent="0.3">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4.25" customHeight="1" x14ac:dyDescent="0.3">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4.25" customHeight="1" x14ac:dyDescent="0.3">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4.25" customHeight="1" x14ac:dyDescent="0.3">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4.25" customHeight="1" x14ac:dyDescent="0.3">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4.25" customHeight="1" x14ac:dyDescent="0.3">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4.25" customHeight="1" x14ac:dyDescent="0.3">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4.25" customHeight="1" x14ac:dyDescent="0.3">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4.25" customHeight="1" x14ac:dyDescent="0.3">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4.25" customHeight="1" x14ac:dyDescent="0.3">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4.25" customHeight="1" x14ac:dyDescent="0.3">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4.25" customHeight="1" x14ac:dyDescent="0.3">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4.25" customHeight="1" x14ac:dyDescent="0.3">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4.25" customHeight="1" x14ac:dyDescent="0.3">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4.25" customHeight="1" x14ac:dyDescent="0.3">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4.25" customHeight="1" x14ac:dyDescent="0.3">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4.25" customHeight="1" x14ac:dyDescent="0.3">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4.25" customHeight="1" x14ac:dyDescent="0.3">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4.25" customHeight="1" x14ac:dyDescent="0.3">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4.25" customHeight="1" x14ac:dyDescent="0.3">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4.25" customHeight="1" x14ac:dyDescent="0.3">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4.25" customHeight="1" x14ac:dyDescent="0.3">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4.25" customHeight="1" x14ac:dyDescent="0.3">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4.25" customHeight="1" x14ac:dyDescent="0.3">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4.25" customHeight="1" x14ac:dyDescent="0.3">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4.25" customHeight="1" x14ac:dyDescent="0.3">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4.25" customHeight="1" x14ac:dyDescent="0.3">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4.25" customHeight="1" x14ac:dyDescent="0.3">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4.25" customHeight="1" x14ac:dyDescent="0.3">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4.25" customHeight="1" x14ac:dyDescent="0.3">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4.25" customHeight="1" x14ac:dyDescent="0.3">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4.25" customHeight="1" x14ac:dyDescent="0.3">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4.25" customHeight="1" x14ac:dyDescent="0.3">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4.25" customHeight="1" x14ac:dyDescent="0.3">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4.25" customHeight="1" x14ac:dyDescent="0.3">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4.25" customHeight="1" x14ac:dyDescent="0.3">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4.25" customHeight="1" x14ac:dyDescent="0.3">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4.25" customHeight="1" x14ac:dyDescent="0.3">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4.25" customHeight="1" x14ac:dyDescent="0.3">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4.25" customHeight="1" x14ac:dyDescent="0.3">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4.25" customHeight="1" x14ac:dyDescent="0.3">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4.25" customHeight="1" x14ac:dyDescent="0.3">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4.25" customHeight="1" x14ac:dyDescent="0.3">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4.25" customHeight="1" x14ac:dyDescent="0.3">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4.25" customHeight="1" x14ac:dyDescent="0.3">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4.25" customHeight="1" x14ac:dyDescent="0.3">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4.25" customHeight="1" x14ac:dyDescent="0.3">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4.25" customHeight="1" x14ac:dyDescent="0.3">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4.25" customHeight="1" x14ac:dyDescent="0.3">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4.25" customHeight="1" x14ac:dyDescent="0.3">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4.25" customHeight="1" x14ac:dyDescent="0.3">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4.25" customHeight="1" x14ac:dyDescent="0.3">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4.25" customHeight="1" x14ac:dyDescent="0.3">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4.25" customHeight="1" x14ac:dyDescent="0.3">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4.25" customHeight="1" x14ac:dyDescent="0.3">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4.25" customHeight="1" x14ac:dyDescent="0.3">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4.25" customHeight="1" x14ac:dyDescent="0.3">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4.25" customHeight="1" x14ac:dyDescent="0.3">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4.25" customHeight="1" x14ac:dyDescent="0.3">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4.25" customHeight="1" x14ac:dyDescent="0.3">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4.25" customHeight="1" x14ac:dyDescent="0.3">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4.25" customHeight="1" x14ac:dyDescent="0.3">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4.25" customHeight="1" x14ac:dyDescent="0.3">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4.25" customHeight="1" x14ac:dyDescent="0.3">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4.25" customHeight="1" x14ac:dyDescent="0.3">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4.25" customHeight="1" x14ac:dyDescent="0.3">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4.25" customHeight="1" x14ac:dyDescent="0.3">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4.25" customHeight="1" x14ac:dyDescent="0.3">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4.25" customHeight="1" x14ac:dyDescent="0.3">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4.25" customHeight="1" x14ac:dyDescent="0.3">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4.25" customHeight="1" x14ac:dyDescent="0.3">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4.25" customHeight="1" x14ac:dyDescent="0.3">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4.25" customHeight="1" x14ac:dyDescent="0.3">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4.25" customHeight="1" x14ac:dyDescent="0.3">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4.25" customHeight="1" x14ac:dyDescent="0.3">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4.25" customHeight="1" x14ac:dyDescent="0.3">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4.25" customHeight="1" x14ac:dyDescent="0.3">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4.25" customHeight="1" x14ac:dyDescent="0.3">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4.25" customHeight="1" x14ac:dyDescent="0.3">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4.25" customHeight="1" x14ac:dyDescent="0.3">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4.25" customHeight="1" x14ac:dyDescent="0.3">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4.25" customHeight="1" x14ac:dyDescent="0.3">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4.25" customHeight="1" x14ac:dyDescent="0.3">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4.25" customHeight="1" x14ac:dyDescent="0.3">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4.25" customHeight="1" x14ac:dyDescent="0.3">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4.25" customHeight="1" x14ac:dyDescent="0.3">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4.25" customHeight="1" x14ac:dyDescent="0.3">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4.25" customHeight="1" x14ac:dyDescent="0.3">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4.25" customHeight="1" x14ac:dyDescent="0.3">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4.25" customHeight="1" x14ac:dyDescent="0.3">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4.25" customHeight="1" x14ac:dyDescent="0.3">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4.25" customHeight="1" x14ac:dyDescent="0.3">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4.25" customHeight="1" x14ac:dyDescent="0.3">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4.25" customHeight="1" x14ac:dyDescent="0.3">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4.25" customHeight="1" x14ac:dyDescent="0.3">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4.25" customHeight="1" x14ac:dyDescent="0.3">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4.25" customHeight="1" x14ac:dyDescent="0.3">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4.25" customHeight="1" x14ac:dyDescent="0.3">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4.25" customHeight="1" x14ac:dyDescent="0.3">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4.25" customHeight="1" x14ac:dyDescent="0.3">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4.25" customHeight="1" x14ac:dyDescent="0.3">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4.25" customHeight="1" x14ac:dyDescent="0.3">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4.25" customHeight="1" x14ac:dyDescent="0.3">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4.25" customHeight="1" x14ac:dyDescent="0.3">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4.25" customHeight="1" x14ac:dyDescent="0.3">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4.25" customHeight="1" x14ac:dyDescent="0.3">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4.25" customHeight="1" x14ac:dyDescent="0.3">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4.25" customHeight="1" x14ac:dyDescent="0.3">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4.25" customHeight="1" x14ac:dyDescent="0.3">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4.25" customHeight="1" x14ac:dyDescent="0.3">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4.25" customHeight="1" x14ac:dyDescent="0.3">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4.25" customHeight="1" x14ac:dyDescent="0.3">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4.25" customHeight="1" x14ac:dyDescent="0.3">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4.25" customHeight="1" x14ac:dyDescent="0.3">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4.25" customHeight="1" x14ac:dyDescent="0.3">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4.25" customHeight="1" x14ac:dyDescent="0.3">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4.25" customHeight="1" x14ac:dyDescent="0.3">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4.25" customHeight="1" x14ac:dyDescent="0.3">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4.25" customHeight="1" x14ac:dyDescent="0.3">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4.25" customHeight="1" x14ac:dyDescent="0.3">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4.25" customHeight="1" x14ac:dyDescent="0.3">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4.25" customHeight="1" x14ac:dyDescent="0.3">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4.25" customHeight="1" x14ac:dyDescent="0.3">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4.25" customHeight="1" x14ac:dyDescent="0.3">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4.25" customHeight="1" x14ac:dyDescent="0.3">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4.25" customHeight="1" x14ac:dyDescent="0.3">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4.25" customHeight="1" x14ac:dyDescent="0.3">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4.25" customHeight="1" x14ac:dyDescent="0.3">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4.25" customHeight="1" x14ac:dyDescent="0.3">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4.25" customHeight="1" x14ac:dyDescent="0.3">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4.25" customHeight="1" x14ac:dyDescent="0.3">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4.25" customHeight="1" x14ac:dyDescent="0.3">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4.25" customHeight="1" x14ac:dyDescent="0.3">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4.25" customHeight="1" x14ac:dyDescent="0.3">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4.25" customHeight="1" x14ac:dyDescent="0.3">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4.25" customHeight="1" x14ac:dyDescent="0.3">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4.25" customHeight="1" x14ac:dyDescent="0.3">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4.25" customHeight="1" x14ac:dyDescent="0.3">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4.25" customHeight="1" x14ac:dyDescent="0.3">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4.25" customHeight="1" x14ac:dyDescent="0.3">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4.25" customHeight="1" x14ac:dyDescent="0.3">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4.25" customHeight="1" x14ac:dyDescent="0.3">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4.25" customHeight="1" x14ac:dyDescent="0.3">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4.25" customHeight="1" x14ac:dyDescent="0.3">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4.25" customHeight="1" x14ac:dyDescent="0.3">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4.25" customHeight="1" x14ac:dyDescent="0.3">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4.25" customHeight="1" x14ac:dyDescent="0.3">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4.25" customHeight="1" x14ac:dyDescent="0.3">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4.25" customHeight="1" x14ac:dyDescent="0.3">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4.25" customHeight="1" x14ac:dyDescent="0.3">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4.25" customHeight="1" x14ac:dyDescent="0.3">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4.25" customHeight="1" x14ac:dyDescent="0.3">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4.25" customHeight="1" x14ac:dyDescent="0.3">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4.25" customHeight="1" x14ac:dyDescent="0.3">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4.25" customHeight="1" x14ac:dyDescent="0.3">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4.25" customHeight="1" x14ac:dyDescent="0.3">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4.25" customHeight="1" x14ac:dyDescent="0.3">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4.25" customHeight="1" x14ac:dyDescent="0.3">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4.25" customHeight="1" x14ac:dyDescent="0.3">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4.25" customHeight="1" x14ac:dyDescent="0.3">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4.25" customHeight="1" x14ac:dyDescent="0.3">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4.25" customHeight="1" x14ac:dyDescent="0.3">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4.25" customHeight="1" x14ac:dyDescent="0.3">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4.25" customHeight="1" x14ac:dyDescent="0.3">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4.25" customHeight="1" x14ac:dyDescent="0.3">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4.25" customHeight="1" x14ac:dyDescent="0.3">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4.25" customHeight="1" x14ac:dyDescent="0.3">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4.25" customHeight="1" x14ac:dyDescent="0.3">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4.25" customHeight="1" x14ac:dyDescent="0.3">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4.25" customHeight="1" x14ac:dyDescent="0.3">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4.25" customHeight="1" x14ac:dyDescent="0.3">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4.25" customHeight="1" x14ac:dyDescent="0.3">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4.25" customHeight="1" x14ac:dyDescent="0.3">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4.25" customHeight="1" x14ac:dyDescent="0.3">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4.25" customHeight="1" x14ac:dyDescent="0.3">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4.25" customHeight="1" x14ac:dyDescent="0.3">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4.25" customHeight="1" x14ac:dyDescent="0.3">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4.25" customHeight="1" x14ac:dyDescent="0.3">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4.25" customHeight="1" x14ac:dyDescent="0.3">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4.25" customHeight="1" x14ac:dyDescent="0.3">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4.25" customHeight="1" x14ac:dyDescent="0.3">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4.25" customHeight="1" x14ac:dyDescent="0.3">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4.25" customHeight="1" x14ac:dyDescent="0.3">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4.25" customHeight="1" x14ac:dyDescent="0.3">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4.25" customHeight="1" x14ac:dyDescent="0.3">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4.25" customHeight="1" x14ac:dyDescent="0.3">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4.25" customHeight="1" x14ac:dyDescent="0.3">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4.25" customHeight="1" x14ac:dyDescent="0.3">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4.25" customHeight="1" x14ac:dyDescent="0.3">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4.25" customHeight="1" x14ac:dyDescent="0.3">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4.25" customHeight="1" x14ac:dyDescent="0.3">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4.25" customHeight="1" x14ac:dyDescent="0.3">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4.25" customHeight="1" x14ac:dyDescent="0.3">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4.25" customHeight="1" x14ac:dyDescent="0.3">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4.25" customHeight="1" x14ac:dyDescent="0.3">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4.25" customHeight="1" x14ac:dyDescent="0.3">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4.25" customHeight="1" x14ac:dyDescent="0.3">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4.25" customHeight="1" x14ac:dyDescent="0.3">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4.25" customHeight="1" x14ac:dyDescent="0.3">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4.25" customHeight="1" x14ac:dyDescent="0.3">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4.25" customHeight="1" x14ac:dyDescent="0.3">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4.25" customHeight="1" x14ac:dyDescent="0.3">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4.25" customHeight="1" x14ac:dyDescent="0.3">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4.25" customHeight="1" x14ac:dyDescent="0.3">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4.25" customHeight="1" x14ac:dyDescent="0.3">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4.25" customHeight="1" x14ac:dyDescent="0.3">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4.25" customHeight="1" x14ac:dyDescent="0.3">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4.25" customHeight="1" x14ac:dyDescent="0.3">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4.25" customHeight="1" x14ac:dyDescent="0.3">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4.25" customHeight="1" x14ac:dyDescent="0.3">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4.25" customHeight="1" x14ac:dyDescent="0.3">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4.25" customHeight="1" x14ac:dyDescent="0.3">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4.25" customHeight="1" x14ac:dyDescent="0.3">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4.25" customHeight="1" x14ac:dyDescent="0.3">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4.25" customHeight="1" x14ac:dyDescent="0.3">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4.25" customHeight="1" x14ac:dyDescent="0.3">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4.25" customHeight="1" x14ac:dyDescent="0.3">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4.25" customHeight="1" x14ac:dyDescent="0.3">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4.25" customHeight="1" x14ac:dyDescent="0.3">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4.25" customHeight="1" x14ac:dyDescent="0.3">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4.25" customHeight="1" x14ac:dyDescent="0.3">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4.25" customHeight="1" x14ac:dyDescent="0.3">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4.25" customHeight="1" x14ac:dyDescent="0.3">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4.25" customHeight="1" x14ac:dyDescent="0.3">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4.25" customHeight="1" x14ac:dyDescent="0.3">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4.25" customHeight="1" x14ac:dyDescent="0.3">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4.25" customHeight="1" x14ac:dyDescent="0.3">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4.25" customHeight="1" x14ac:dyDescent="0.3">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4.25" customHeight="1" x14ac:dyDescent="0.3">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4.25" customHeight="1" x14ac:dyDescent="0.3">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4.25" customHeight="1" x14ac:dyDescent="0.3">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4.25" customHeight="1" x14ac:dyDescent="0.3">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4.25" customHeight="1" x14ac:dyDescent="0.3">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4.25" customHeight="1" x14ac:dyDescent="0.3">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4.25" customHeight="1" x14ac:dyDescent="0.3">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4.25" customHeight="1" x14ac:dyDescent="0.3">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4.25" customHeight="1" x14ac:dyDescent="0.3">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4.25" customHeight="1" x14ac:dyDescent="0.3">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4.25" customHeight="1" x14ac:dyDescent="0.3">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4.25" customHeight="1" x14ac:dyDescent="0.3">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4.25" customHeight="1" x14ac:dyDescent="0.3">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4.25" customHeight="1" x14ac:dyDescent="0.3">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4.25" customHeight="1" x14ac:dyDescent="0.3">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4.25" customHeight="1" x14ac:dyDescent="0.3">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4.25" customHeight="1" x14ac:dyDescent="0.3">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4.25" customHeight="1" x14ac:dyDescent="0.3">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4.25" customHeight="1" x14ac:dyDescent="0.3">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4.25" customHeight="1" x14ac:dyDescent="0.3">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4.25" customHeight="1" x14ac:dyDescent="0.3">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4.25" customHeight="1" x14ac:dyDescent="0.3">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4.25" customHeight="1" x14ac:dyDescent="0.3">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4.25" customHeight="1" x14ac:dyDescent="0.3">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4.25" customHeight="1" x14ac:dyDescent="0.3">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4.25" customHeight="1" x14ac:dyDescent="0.3">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4.25" customHeight="1" x14ac:dyDescent="0.3">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4.25" customHeight="1" x14ac:dyDescent="0.3">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4.25" customHeight="1" x14ac:dyDescent="0.3">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4.25" customHeight="1" x14ac:dyDescent="0.3">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4.25" customHeight="1" x14ac:dyDescent="0.3">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4.25" customHeight="1" x14ac:dyDescent="0.3">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4.25" customHeight="1" x14ac:dyDescent="0.3">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4.25" customHeight="1" x14ac:dyDescent="0.3">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4.25" customHeight="1" x14ac:dyDescent="0.3">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4.25" customHeight="1" x14ac:dyDescent="0.3">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4.25" customHeight="1" x14ac:dyDescent="0.3">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4.25" customHeight="1" x14ac:dyDescent="0.3">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4.25" customHeight="1" x14ac:dyDescent="0.3">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4.25" customHeight="1" x14ac:dyDescent="0.3">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4.25" customHeight="1" x14ac:dyDescent="0.3">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4.25" customHeight="1" x14ac:dyDescent="0.3">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4.25" customHeight="1" x14ac:dyDescent="0.3">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4.25" customHeight="1" x14ac:dyDescent="0.3">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4.25" customHeight="1" x14ac:dyDescent="0.3">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4.25" customHeight="1" x14ac:dyDescent="0.3">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4.25" customHeight="1" x14ac:dyDescent="0.3">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4.25" customHeight="1" x14ac:dyDescent="0.3">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4.25" customHeight="1" x14ac:dyDescent="0.3">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4.25" customHeight="1" x14ac:dyDescent="0.3">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4.25" customHeight="1" x14ac:dyDescent="0.3">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4.25" customHeight="1" x14ac:dyDescent="0.3">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4.25" customHeight="1" x14ac:dyDescent="0.3">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4.25" customHeight="1" x14ac:dyDescent="0.3">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4.25" customHeight="1" x14ac:dyDescent="0.3">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4.25" customHeight="1" x14ac:dyDescent="0.3">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4.25" customHeight="1" x14ac:dyDescent="0.3">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4.25" customHeight="1" x14ac:dyDescent="0.3">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4.25" customHeight="1" x14ac:dyDescent="0.3">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4.25" customHeight="1" x14ac:dyDescent="0.3">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4.25" customHeight="1" x14ac:dyDescent="0.3">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4.25" customHeight="1" x14ac:dyDescent="0.3">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4.25" customHeight="1" x14ac:dyDescent="0.3">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4.25" customHeight="1" x14ac:dyDescent="0.3">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4.25" customHeight="1" x14ac:dyDescent="0.3">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4.25" customHeight="1" x14ac:dyDescent="0.3">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4.25" customHeight="1" x14ac:dyDescent="0.3">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4.25" customHeight="1" x14ac:dyDescent="0.3">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4.25" customHeight="1" x14ac:dyDescent="0.3">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4.25" customHeight="1" x14ac:dyDescent="0.3">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4.25" customHeight="1" x14ac:dyDescent="0.3">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4.25" customHeight="1" x14ac:dyDescent="0.3">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4.25" customHeight="1" x14ac:dyDescent="0.3">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4.25" customHeight="1" x14ac:dyDescent="0.3">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4.25" customHeight="1" x14ac:dyDescent="0.3">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4.25" customHeight="1" x14ac:dyDescent="0.3">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4.25" customHeight="1" x14ac:dyDescent="0.3">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4.25" customHeight="1" x14ac:dyDescent="0.3">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4.25" customHeight="1" x14ac:dyDescent="0.3">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4.25" customHeight="1" x14ac:dyDescent="0.3">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4.25" customHeight="1" x14ac:dyDescent="0.3">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4.25" customHeight="1" x14ac:dyDescent="0.3">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4.25" customHeight="1" x14ac:dyDescent="0.3">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4.25" customHeight="1" x14ac:dyDescent="0.3">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4.25" customHeight="1" x14ac:dyDescent="0.3">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4.25" customHeight="1" x14ac:dyDescent="0.3">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4.25" customHeight="1" x14ac:dyDescent="0.3">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4.25" customHeight="1" x14ac:dyDescent="0.3">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4.25" customHeight="1" x14ac:dyDescent="0.3">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4.25" customHeight="1" x14ac:dyDescent="0.3">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4.25" customHeight="1" x14ac:dyDescent="0.3">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4.25" customHeight="1" x14ac:dyDescent="0.3">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4.25" customHeight="1" x14ac:dyDescent="0.3">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4.25" customHeight="1" x14ac:dyDescent="0.3">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4.25" customHeight="1" x14ac:dyDescent="0.3">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4.25" customHeight="1" x14ac:dyDescent="0.3">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4.25" customHeight="1" x14ac:dyDescent="0.3">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4.25" customHeight="1" x14ac:dyDescent="0.3">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4.25" customHeight="1" x14ac:dyDescent="0.3">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4.25" customHeight="1" x14ac:dyDescent="0.3">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4.25" customHeight="1" x14ac:dyDescent="0.3">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4.25" customHeight="1" x14ac:dyDescent="0.3">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4.25" customHeight="1" x14ac:dyDescent="0.3">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4.25" customHeight="1" x14ac:dyDescent="0.3">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4.25" customHeight="1" x14ac:dyDescent="0.3">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4.25" customHeight="1" x14ac:dyDescent="0.3">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4.25" customHeight="1" x14ac:dyDescent="0.3">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4.25" customHeight="1" x14ac:dyDescent="0.3">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4.25" customHeight="1" x14ac:dyDescent="0.3">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4.25" customHeight="1" x14ac:dyDescent="0.3">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4.25" customHeight="1" x14ac:dyDescent="0.3">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4.25" customHeight="1" x14ac:dyDescent="0.3">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4.25" customHeight="1" x14ac:dyDescent="0.3">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4.25" customHeight="1" x14ac:dyDescent="0.3">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4.25" customHeight="1" x14ac:dyDescent="0.3">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4.25" customHeight="1" x14ac:dyDescent="0.3">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4.25" customHeight="1" x14ac:dyDescent="0.3">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4.25" customHeight="1" x14ac:dyDescent="0.3">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4.25" customHeight="1" x14ac:dyDescent="0.3">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4.25" customHeight="1" x14ac:dyDescent="0.3">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4.25" customHeight="1" x14ac:dyDescent="0.3">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4.25" customHeight="1" x14ac:dyDescent="0.3">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4.25" customHeight="1" x14ac:dyDescent="0.3">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4.25" customHeight="1" x14ac:dyDescent="0.3">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4.25" customHeight="1" x14ac:dyDescent="0.3">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4.25" customHeight="1" x14ac:dyDescent="0.3">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4.25" customHeight="1" x14ac:dyDescent="0.3">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4.25" customHeight="1" x14ac:dyDescent="0.3">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4.25" customHeight="1" x14ac:dyDescent="0.3">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4.25" customHeight="1" x14ac:dyDescent="0.3">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4.25" customHeight="1" x14ac:dyDescent="0.3">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4.25" customHeight="1" x14ac:dyDescent="0.3">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4.25" customHeight="1" x14ac:dyDescent="0.3">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4.25" customHeight="1" x14ac:dyDescent="0.3">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4.25" customHeight="1" x14ac:dyDescent="0.3">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4.25" customHeight="1" x14ac:dyDescent="0.3">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4.25" customHeight="1" x14ac:dyDescent="0.3">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4.25" customHeight="1" x14ac:dyDescent="0.3">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4.25" customHeight="1" x14ac:dyDescent="0.3">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4.25" customHeight="1" x14ac:dyDescent="0.3">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4.25" customHeight="1" x14ac:dyDescent="0.3">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4.25" customHeight="1" x14ac:dyDescent="0.3">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4.25" customHeight="1" x14ac:dyDescent="0.3">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4.25" customHeight="1" x14ac:dyDescent="0.3">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4.25" customHeight="1" x14ac:dyDescent="0.3">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4.25" customHeight="1" x14ac:dyDescent="0.3">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4.25" customHeight="1" x14ac:dyDescent="0.3">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4.25" customHeight="1" x14ac:dyDescent="0.3">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4.25" customHeight="1" x14ac:dyDescent="0.3">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4.25" customHeight="1" x14ac:dyDescent="0.3">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4.25" customHeight="1" x14ac:dyDescent="0.3">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4.25" customHeight="1" x14ac:dyDescent="0.3">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4.25" customHeight="1" x14ac:dyDescent="0.3">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4.25" customHeight="1" x14ac:dyDescent="0.3">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4.25" customHeight="1" x14ac:dyDescent="0.3">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4.25" customHeight="1" x14ac:dyDescent="0.3">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4.25" customHeight="1" x14ac:dyDescent="0.3">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4.25" customHeight="1" x14ac:dyDescent="0.3">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4.25" customHeight="1" x14ac:dyDescent="0.3">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4.25" customHeight="1" x14ac:dyDescent="0.3">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4.25" customHeight="1" x14ac:dyDescent="0.3">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4.25" customHeight="1" x14ac:dyDescent="0.3">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4.25" customHeight="1" x14ac:dyDescent="0.3">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4.25" customHeight="1" x14ac:dyDescent="0.3">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4.25" customHeight="1" x14ac:dyDescent="0.3">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4.25" customHeight="1" x14ac:dyDescent="0.3">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4.25" customHeight="1" x14ac:dyDescent="0.3">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4.25" customHeight="1" x14ac:dyDescent="0.3">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4.25" customHeight="1" x14ac:dyDescent="0.3">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4.25" customHeight="1" x14ac:dyDescent="0.3">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4.25" customHeight="1" x14ac:dyDescent="0.3">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4.25" customHeight="1" x14ac:dyDescent="0.3">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4.25" customHeight="1" x14ac:dyDescent="0.3">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4.25" customHeight="1" x14ac:dyDescent="0.3">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4.25" customHeight="1" x14ac:dyDescent="0.3">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4.25" customHeight="1" x14ac:dyDescent="0.3">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4.25" customHeight="1" x14ac:dyDescent="0.3">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4.25" customHeight="1" x14ac:dyDescent="0.3">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4.25" customHeight="1" x14ac:dyDescent="0.3">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4.25" customHeight="1" x14ac:dyDescent="0.3">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4.25" customHeight="1" x14ac:dyDescent="0.3">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4.25" customHeight="1" x14ac:dyDescent="0.3">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4.25" customHeight="1" x14ac:dyDescent="0.3">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4.25" customHeight="1" x14ac:dyDescent="0.3">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4.25" customHeight="1" x14ac:dyDescent="0.3">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4.25" customHeight="1" x14ac:dyDescent="0.3">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4.25" customHeight="1" x14ac:dyDescent="0.3">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4.25" customHeight="1" x14ac:dyDescent="0.3">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4.25" customHeight="1" x14ac:dyDescent="0.3">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4.25" customHeight="1" x14ac:dyDescent="0.3">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4.25" customHeight="1" x14ac:dyDescent="0.3">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4.25" customHeight="1" x14ac:dyDescent="0.3">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4.25" customHeight="1" x14ac:dyDescent="0.3">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4.25" customHeight="1" x14ac:dyDescent="0.3">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4.25" customHeight="1" x14ac:dyDescent="0.3">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4.25" customHeight="1" x14ac:dyDescent="0.3">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4.25" customHeight="1" x14ac:dyDescent="0.3">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4.25" customHeight="1" x14ac:dyDescent="0.3">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4.25" customHeight="1" x14ac:dyDescent="0.3">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4.25" customHeight="1" x14ac:dyDescent="0.3">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4.25" customHeight="1" x14ac:dyDescent="0.3">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4.25" customHeight="1" x14ac:dyDescent="0.3">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4.25" customHeight="1" x14ac:dyDescent="0.3">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4.25" customHeight="1" x14ac:dyDescent="0.3">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4.25" customHeight="1" x14ac:dyDescent="0.3">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4.25" customHeight="1" x14ac:dyDescent="0.3">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4.25" customHeight="1" x14ac:dyDescent="0.3">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4.25" customHeight="1" x14ac:dyDescent="0.3">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4.25" customHeight="1" x14ac:dyDescent="0.3">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4.25" customHeight="1" x14ac:dyDescent="0.3">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4.25" customHeight="1" x14ac:dyDescent="0.3">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4.25" customHeight="1" x14ac:dyDescent="0.3">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4.25" customHeight="1" x14ac:dyDescent="0.3">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4.25" customHeight="1" x14ac:dyDescent="0.3">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4.25" customHeight="1" x14ac:dyDescent="0.3">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4.25" customHeight="1" x14ac:dyDescent="0.3">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4.25" customHeight="1" x14ac:dyDescent="0.3">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4.25" customHeight="1" x14ac:dyDescent="0.3">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4.25" customHeight="1" x14ac:dyDescent="0.3">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4.25" customHeight="1" x14ac:dyDescent="0.3">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4.25" customHeight="1" x14ac:dyDescent="0.3">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4.25" customHeight="1" x14ac:dyDescent="0.3">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4.25" customHeight="1" x14ac:dyDescent="0.3">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4.25" customHeight="1" x14ac:dyDescent="0.3">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4.25" customHeight="1" x14ac:dyDescent="0.3">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4.25" customHeight="1" x14ac:dyDescent="0.3">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4.25" customHeight="1" x14ac:dyDescent="0.3">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4.25" customHeight="1" x14ac:dyDescent="0.3">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4.25" customHeight="1" x14ac:dyDescent="0.3">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4.25" customHeight="1" x14ac:dyDescent="0.3">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4.25" customHeight="1" x14ac:dyDescent="0.3">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4.25" customHeight="1" x14ac:dyDescent="0.3">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4.25" customHeight="1" x14ac:dyDescent="0.3">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4.25" customHeight="1" x14ac:dyDescent="0.3">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4.25" customHeight="1" x14ac:dyDescent="0.3">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4.25" customHeight="1" x14ac:dyDescent="0.3">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4.25" customHeight="1" x14ac:dyDescent="0.3">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4.25" customHeight="1" x14ac:dyDescent="0.3">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4.25" customHeight="1" x14ac:dyDescent="0.3">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4.25" customHeight="1" x14ac:dyDescent="0.3">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4.25" customHeight="1" x14ac:dyDescent="0.3">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4.25" customHeight="1" x14ac:dyDescent="0.3">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4.25" customHeight="1" x14ac:dyDescent="0.3">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4.25" customHeight="1" x14ac:dyDescent="0.3">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4.25" customHeight="1" x14ac:dyDescent="0.3">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4.25" customHeight="1" x14ac:dyDescent="0.3">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4.25" customHeight="1" x14ac:dyDescent="0.3">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4.25" customHeight="1" x14ac:dyDescent="0.3">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4.25" customHeight="1" x14ac:dyDescent="0.3">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4.25" customHeight="1" x14ac:dyDescent="0.3">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4.25" customHeight="1" x14ac:dyDescent="0.3">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4.25" customHeight="1" x14ac:dyDescent="0.3">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4.25" customHeight="1" x14ac:dyDescent="0.3">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4.25" customHeight="1" x14ac:dyDescent="0.3">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4.25" customHeight="1" x14ac:dyDescent="0.3">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4.25" customHeight="1" x14ac:dyDescent="0.3">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4.25" customHeight="1" x14ac:dyDescent="0.3">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4.25" customHeight="1" x14ac:dyDescent="0.3">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4.25" customHeight="1" x14ac:dyDescent="0.3">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4.25" customHeight="1" x14ac:dyDescent="0.3">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4.25" customHeight="1" x14ac:dyDescent="0.3">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4.25" customHeight="1" x14ac:dyDescent="0.3">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4.25" customHeight="1" x14ac:dyDescent="0.3">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4.25" customHeight="1" x14ac:dyDescent="0.3">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4.25" customHeight="1" x14ac:dyDescent="0.3">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4.25" customHeight="1" x14ac:dyDescent="0.3">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4.25" customHeight="1" x14ac:dyDescent="0.3">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4.25" customHeight="1" x14ac:dyDescent="0.3">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4.25" customHeight="1" x14ac:dyDescent="0.3">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4.25" customHeight="1" x14ac:dyDescent="0.3">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4.25" customHeight="1" x14ac:dyDescent="0.3">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4.25" customHeight="1" x14ac:dyDescent="0.3">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4.25" customHeight="1" x14ac:dyDescent="0.3">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4.25" customHeight="1" x14ac:dyDescent="0.3">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4.25" customHeight="1" x14ac:dyDescent="0.3">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4.25" customHeight="1" x14ac:dyDescent="0.3">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4.25" customHeight="1" x14ac:dyDescent="0.3">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4.25" customHeight="1" x14ac:dyDescent="0.3">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4.25" customHeight="1" x14ac:dyDescent="0.3">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4.25" customHeight="1" x14ac:dyDescent="0.3">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4.25" customHeight="1" x14ac:dyDescent="0.3">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4.25" customHeight="1" x14ac:dyDescent="0.3">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4.25" customHeight="1" x14ac:dyDescent="0.3">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pageMargins left="0.7" right="0.7" top="0.75" bottom="0.75" header="0" footer="0"/>
  <pageSetup orientation="portrait"/>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rgb="FFFFFF00"/>
  </sheetPr>
  <dimension ref="A1:DM282"/>
  <sheetViews>
    <sheetView showGridLines="0" topLeftCell="AR1" zoomScaleNormal="100" workbookViewId="0">
      <selection activeCell="AW6" sqref="AW6"/>
    </sheetView>
  </sheetViews>
  <sheetFormatPr baseColWidth="10" defaultColWidth="14.44140625" defaultRowHeight="14.4" x14ac:dyDescent="0.3"/>
  <cols>
    <col min="1" max="1" width="5" customWidth="1"/>
    <col min="2" max="2" width="38.5546875" customWidth="1"/>
    <col min="3" max="5" width="35.77734375" customWidth="1"/>
    <col min="6" max="6" width="42.77734375" customWidth="1"/>
    <col min="7" max="7" width="33.44140625" customWidth="1"/>
    <col min="8" max="8" width="37.77734375" customWidth="1"/>
    <col min="9" max="9" width="33.44140625" customWidth="1"/>
    <col min="10" max="10" width="38.77734375" customWidth="1"/>
    <col min="11" max="11" width="18.109375" style="126" customWidth="1"/>
    <col min="12" max="12" width="18.33203125" style="126" customWidth="1"/>
    <col min="13" max="13" width="32" customWidth="1"/>
    <col min="14" max="14" width="21.44140625" customWidth="1"/>
    <col min="15" max="15" width="28.21875" customWidth="1"/>
    <col min="16" max="16" width="77.5546875" customWidth="1"/>
    <col min="17" max="17" width="7" customWidth="1"/>
    <col min="18" max="18" width="7" style="129" customWidth="1"/>
    <col min="19" max="19" width="7" customWidth="1"/>
    <col min="20" max="31" width="7" hidden="1" customWidth="1"/>
    <col min="32" max="33" width="7" style="129" hidden="1" customWidth="1"/>
    <col min="34" max="34" width="7" style="129" customWidth="1"/>
    <col min="35" max="36" width="11.33203125" customWidth="1"/>
    <col min="37" max="37" width="7" customWidth="1"/>
    <col min="38" max="38" width="18.21875" customWidth="1"/>
    <col min="39" max="39" width="17.21875" customWidth="1"/>
    <col min="40" max="43" width="17.88671875" customWidth="1"/>
    <col min="44" max="45" width="13.88671875" customWidth="1"/>
    <col min="46" max="46" width="16.44140625" style="152" customWidth="1"/>
    <col min="47" max="47" width="9.6640625" customWidth="1"/>
    <col min="48" max="51" width="14.44140625" style="126" customWidth="1"/>
    <col min="52" max="52" width="13.21875" style="254" customWidth="1"/>
    <col min="53" max="53" width="2.6640625" style="126" bestFit="1" customWidth="1"/>
    <col min="54" max="54" width="3.21875" style="126" bestFit="1" customWidth="1"/>
    <col min="55" max="55" width="6.21875" style="126" bestFit="1" customWidth="1"/>
    <col min="56" max="56" width="2.6640625" style="126" bestFit="1" customWidth="1"/>
    <col min="57" max="57" width="3.21875" style="126" bestFit="1" customWidth="1"/>
    <col min="58" max="58" width="6.21875" style="126" bestFit="1" customWidth="1"/>
    <col min="59" max="59" width="2.6640625" style="126" bestFit="1" customWidth="1"/>
    <col min="60" max="60" width="3.21875" style="126" bestFit="1" customWidth="1"/>
    <col min="61" max="61" width="6.21875" style="126" bestFit="1" customWidth="1"/>
    <col min="62" max="62" width="2.6640625" style="126" bestFit="1" customWidth="1"/>
    <col min="63" max="63" width="4.21875" style="126" bestFit="1" customWidth="1"/>
    <col min="64" max="64" width="6.21875" style="126" bestFit="1" customWidth="1"/>
    <col min="65" max="65" width="2.6640625" style="126" bestFit="1" customWidth="1"/>
    <col min="66" max="66" width="3.21875" style="126" bestFit="1" customWidth="1"/>
    <col min="67" max="67" width="6.21875" style="126" bestFit="1" customWidth="1"/>
    <col min="68" max="68" width="2.6640625" style="126" bestFit="1" customWidth="1"/>
    <col min="69" max="69" width="3.21875" style="126" bestFit="1" customWidth="1"/>
    <col min="70" max="70" width="6.21875" style="126" bestFit="1" customWidth="1"/>
    <col min="71" max="71" width="3.21875" style="126" customWidth="1"/>
    <col min="72" max="72" width="3.21875" style="126" bestFit="1" customWidth="1"/>
    <col min="73" max="73" width="6.21875" style="126" bestFit="1" customWidth="1"/>
    <col min="74" max="74" width="2.6640625" style="126" bestFit="1" customWidth="1"/>
    <col min="75" max="75" width="4.21875" style="126" bestFit="1" customWidth="1"/>
    <col min="76" max="78" width="6.21875" style="126" bestFit="1" customWidth="1"/>
    <col min="79" max="79" width="4.5546875" style="126" bestFit="1" customWidth="1"/>
    <col min="80" max="80" width="2.33203125" customWidth="1"/>
    <col min="81" max="81" width="2.6640625" bestFit="1" customWidth="1"/>
    <col min="82" max="82" width="3.21875" bestFit="1" customWidth="1"/>
    <col min="83" max="83" width="6.21875" bestFit="1" customWidth="1"/>
    <col min="84" max="84" width="2.6640625" bestFit="1" customWidth="1"/>
    <col min="85" max="85" width="3.21875" bestFit="1" customWidth="1"/>
    <col min="86" max="86" width="6.21875" bestFit="1" customWidth="1"/>
    <col min="87" max="88" width="2.6640625" bestFit="1" customWidth="1"/>
    <col min="89" max="89" width="6.21875" bestFit="1" customWidth="1"/>
    <col min="90" max="90" width="2.6640625" bestFit="1" customWidth="1"/>
    <col min="91" max="91" width="4.21875" bestFit="1" customWidth="1"/>
    <col min="92" max="92" width="6.21875" bestFit="1" customWidth="1"/>
    <col min="93" max="93" width="2.33203125" customWidth="1"/>
    <col min="94" max="95" width="3.21875" bestFit="1" customWidth="1"/>
    <col min="96" max="96" width="6.21875" bestFit="1" customWidth="1"/>
    <col min="97" max="97" width="5.77734375" customWidth="1"/>
    <col min="98" max="98" width="2.33203125" customWidth="1"/>
    <col min="99" max="110" width="5.21875" customWidth="1"/>
    <col min="111" max="111" width="2.33203125" customWidth="1"/>
    <col min="112" max="112" width="2.6640625" bestFit="1" customWidth="1"/>
    <col min="113" max="113" width="3.21875" bestFit="1" customWidth="1"/>
    <col min="114" max="114" width="6.21875" bestFit="1" customWidth="1"/>
    <col min="115" max="115" width="5.77734375" customWidth="1"/>
    <col min="116" max="117" width="4.109375" customWidth="1"/>
  </cols>
  <sheetData>
    <row r="1" spans="1:117" ht="18" x14ac:dyDescent="0.35">
      <c r="A1" s="200">
        <v>1</v>
      </c>
      <c r="B1" s="201"/>
      <c r="C1" s="186"/>
      <c r="D1" s="21" t="s">
        <v>43</v>
      </c>
      <c r="E1" s="22"/>
      <c r="F1" s="23" t="s">
        <v>44</v>
      </c>
      <c r="G1" s="22"/>
      <c r="H1" s="23"/>
      <c r="I1" s="24"/>
      <c r="J1" s="23"/>
      <c r="K1" s="119"/>
      <c r="L1" s="120"/>
      <c r="M1" s="186"/>
      <c r="N1" s="186"/>
      <c r="O1" s="186"/>
      <c r="P1" s="186"/>
      <c r="Q1" s="186"/>
      <c r="R1" s="202"/>
      <c r="S1" s="288"/>
      <c r="T1" s="289"/>
      <c r="U1" s="289"/>
      <c r="V1" s="289"/>
      <c r="W1" s="289"/>
      <c r="X1" s="289"/>
      <c r="Y1" s="289"/>
      <c r="Z1" s="289"/>
      <c r="AA1" s="289"/>
      <c r="AB1" s="289"/>
      <c r="AC1" s="289"/>
      <c r="AD1" s="289"/>
      <c r="AE1" s="289"/>
      <c r="AF1" s="289"/>
      <c r="AG1" s="289"/>
      <c r="AH1" s="289"/>
      <c r="AI1" s="289"/>
      <c r="AJ1" s="289"/>
      <c r="AK1" s="289"/>
      <c r="AL1" s="289"/>
      <c r="AM1" s="289"/>
      <c r="AN1" s="289"/>
      <c r="AO1" s="289"/>
      <c r="AP1" s="289"/>
      <c r="AQ1" s="289"/>
      <c r="AR1" s="289"/>
      <c r="AS1" s="289"/>
      <c r="AT1" s="289"/>
      <c r="AU1" s="203"/>
      <c r="BA1" s="295" t="s">
        <v>2361</v>
      </c>
      <c r="BB1" s="295"/>
      <c r="BC1" s="295"/>
      <c r="BD1" s="295"/>
      <c r="BE1" s="295"/>
      <c r="BF1" s="295"/>
      <c r="BG1" s="295"/>
      <c r="BH1" s="295"/>
      <c r="BI1" s="295"/>
      <c r="BJ1" s="295"/>
      <c r="BK1" s="295"/>
      <c r="BL1" s="295"/>
      <c r="BM1" s="295"/>
      <c r="BN1" s="295"/>
      <c r="BO1" s="295"/>
      <c r="BP1" s="295"/>
      <c r="BQ1" s="295"/>
      <c r="BR1" s="295"/>
      <c r="BS1" s="295"/>
      <c r="BT1" s="295"/>
      <c r="BU1" s="295"/>
      <c r="BV1" s="295"/>
      <c r="BW1" s="295"/>
      <c r="BX1" s="295"/>
      <c r="BY1" s="295"/>
      <c r="BZ1" s="295"/>
      <c r="CA1" s="295"/>
      <c r="CB1" s="175"/>
      <c r="CC1" s="296" t="s">
        <v>2362</v>
      </c>
      <c r="CD1" s="296"/>
      <c r="CE1" s="296"/>
      <c r="CF1" s="296"/>
      <c r="CG1" s="296"/>
      <c r="CH1" s="296"/>
      <c r="CI1" s="296"/>
      <c r="CJ1" s="296"/>
      <c r="CK1" s="296"/>
      <c r="CL1" s="296"/>
      <c r="CM1" s="296"/>
      <c r="CN1" s="296"/>
      <c r="CO1" s="175"/>
      <c r="CP1" s="175"/>
      <c r="CQ1" s="175"/>
      <c r="CR1" s="175"/>
      <c r="CS1" s="175"/>
      <c r="CT1" s="175"/>
      <c r="CU1" s="305" t="s">
        <v>2363</v>
      </c>
      <c r="CV1" s="305"/>
      <c r="CW1" s="305"/>
      <c r="CX1" s="305"/>
      <c r="CY1" s="305"/>
      <c r="CZ1" s="305"/>
      <c r="DA1" s="305"/>
      <c r="DB1" s="305"/>
      <c r="DC1" s="305"/>
      <c r="DD1" s="305"/>
      <c r="DE1" s="305"/>
      <c r="DF1" s="305"/>
      <c r="DG1" s="175"/>
      <c r="DH1" s="306" t="s">
        <v>2320</v>
      </c>
      <c r="DI1" s="306"/>
      <c r="DJ1" s="306"/>
      <c r="DK1" s="306"/>
    </row>
    <row r="2" spans="1:117" ht="29.4" customHeight="1" x14ac:dyDescent="0.3">
      <c r="A2" s="290" t="s">
        <v>45</v>
      </c>
      <c r="B2" s="291"/>
      <c r="C2" s="291"/>
      <c r="D2" s="291"/>
      <c r="E2" s="291"/>
      <c r="F2" s="291"/>
      <c r="G2" s="291"/>
      <c r="H2" s="291"/>
      <c r="I2" s="291"/>
      <c r="J2" s="291"/>
      <c r="K2" s="291"/>
      <c r="L2" s="291"/>
      <c r="M2" s="291"/>
      <c r="N2" s="291"/>
      <c r="O2" s="291"/>
      <c r="P2" s="291"/>
      <c r="Q2" s="291"/>
      <c r="R2" s="291"/>
      <c r="S2" s="291"/>
      <c r="T2" s="291"/>
      <c r="U2" s="291"/>
      <c r="V2" s="291"/>
      <c r="W2" s="291"/>
      <c r="X2" s="291"/>
      <c r="Y2" s="291"/>
      <c r="Z2" s="291"/>
      <c r="AA2" s="291"/>
      <c r="AB2" s="291"/>
      <c r="AC2" s="291"/>
      <c r="AD2" s="291"/>
      <c r="AE2" s="291"/>
      <c r="AF2" s="291"/>
      <c r="AG2" s="291"/>
      <c r="AH2" s="291"/>
      <c r="AI2" s="291"/>
      <c r="AJ2" s="291"/>
      <c r="AK2" s="291"/>
      <c r="AL2" s="291"/>
      <c r="AM2" s="291"/>
      <c r="AN2" s="291"/>
      <c r="AO2" s="291"/>
      <c r="AP2" s="291"/>
      <c r="AQ2" s="291"/>
      <c r="AR2" s="291"/>
      <c r="AS2" s="291"/>
      <c r="AT2" s="291"/>
      <c r="AU2" s="12"/>
      <c r="BA2" s="297">
        <v>0.25</v>
      </c>
      <c r="BB2" s="298"/>
      <c r="BC2" s="298"/>
      <c r="BD2" s="298"/>
      <c r="BE2" s="298"/>
      <c r="BF2" s="298"/>
      <c r="BG2" s="298"/>
      <c r="BH2" s="298"/>
      <c r="BI2" s="298"/>
      <c r="BJ2" s="298"/>
      <c r="BK2" s="298"/>
      <c r="BL2" s="299"/>
      <c r="BM2" s="297">
        <v>0.25</v>
      </c>
      <c r="BN2" s="298"/>
      <c r="BO2" s="298"/>
      <c r="BP2" s="298"/>
      <c r="BQ2" s="298"/>
      <c r="BR2" s="298"/>
      <c r="BS2" s="298"/>
      <c r="BT2" s="298"/>
      <c r="BU2" s="298"/>
      <c r="BV2" s="298"/>
      <c r="BW2" s="298"/>
      <c r="BX2" s="299"/>
      <c r="BY2" s="300">
        <v>0.5</v>
      </c>
      <c r="BZ2" s="300"/>
      <c r="CA2" s="300"/>
      <c r="CB2" s="175"/>
      <c r="CC2" s="301">
        <v>0.25</v>
      </c>
      <c r="CD2" s="301"/>
      <c r="CE2" s="301"/>
      <c r="CF2" s="301"/>
      <c r="CG2" s="301"/>
      <c r="CH2" s="301"/>
      <c r="CI2" s="301"/>
      <c r="CJ2" s="301"/>
      <c r="CK2" s="301"/>
      <c r="CL2" s="301"/>
      <c r="CM2" s="301"/>
      <c r="CN2" s="301"/>
      <c r="CO2" s="175"/>
      <c r="CP2" s="286" t="s">
        <v>2307</v>
      </c>
      <c r="CQ2" s="286"/>
      <c r="CR2" s="286"/>
      <c r="CS2" s="286"/>
      <c r="CT2" s="175"/>
      <c r="CU2" s="287" t="s">
        <v>2318</v>
      </c>
      <c r="CV2" s="287"/>
      <c r="CW2" s="287"/>
      <c r="CX2" s="304" t="s">
        <v>2221</v>
      </c>
      <c r="CY2" s="304"/>
      <c r="CZ2" s="304"/>
      <c r="DA2" s="287" t="s">
        <v>2222</v>
      </c>
      <c r="DB2" s="287"/>
      <c r="DC2" s="287"/>
      <c r="DD2" s="304" t="s">
        <v>2223</v>
      </c>
      <c r="DE2" s="304"/>
      <c r="DF2" s="304"/>
      <c r="DG2" s="175"/>
      <c r="DH2" s="306"/>
      <c r="DI2" s="306"/>
      <c r="DJ2" s="306"/>
      <c r="DK2" s="306"/>
    </row>
    <row r="3" spans="1:117" ht="15" customHeight="1" thickBot="1" x14ac:dyDescent="0.35">
      <c r="A3" s="187"/>
      <c r="B3" s="84"/>
      <c r="C3" s="84"/>
      <c r="D3" s="84"/>
      <c r="E3" s="84"/>
      <c r="F3" s="84"/>
      <c r="G3" s="84"/>
      <c r="H3" s="84"/>
      <c r="I3" s="84"/>
      <c r="J3" s="84"/>
      <c r="K3" s="121"/>
      <c r="L3" s="121"/>
      <c r="M3" s="187"/>
      <c r="N3" s="187"/>
      <c r="O3" s="187"/>
      <c r="P3" s="187"/>
      <c r="Q3" s="187"/>
      <c r="R3" s="204"/>
      <c r="S3" s="187"/>
      <c r="T3" s="292" t="s">
        <v>46</v>
      </c>
      <c r="U3" s="293"/>
      <c r="V3" s="293"/>
      <c r="W3" s="293"/>
      <c r="X3" s="293"/>
      <c r="Y3" s="293"/>
      <c r="Z3" s="293"/>
      <c r="AA3" s="293"/>
      <c r="AB3" s="293"/>
      <c r="AC3" s="293"/>
      <c r="AD3" s="293"/>
      <c r="AE3" s="293"/>
      <c r="AF3" s="293"/>
      <c r="AG3" s="293"/>
      <c r="AH3" s="294"/>
      <c r="AI3" s="292" t="s">
        <v>47</v>
      </c>
      <c r="AJ3" s="294"/>
      <c r="AK3" s="292" t="s">
        <v>48</v>
      </c>
      <c r="AL3" s="293"/>
      <c r="AM3" s="293"/>
      <c r="AN3" s="293"/>
      <c r="AO3" s="293"/>
      <c r="AP3" s="293"/>
      <c r="AQ3" s="294"/>
      <c r="AR3" s="84"/>
      <c r="AS3" s="84"/>
      <c r="AT3" s="141"/>
      <c r="AU3" s="84"/>
      <c r="BA3" s="314" t="s">
        <v>2308</v>
      </c>
      <c r="BB3" s="314"/>
      <c r="BC3" s="314"/>
      <c r="BD3" s="314" t="s">
        <v>2309</v>
      </c>
      <c r="BE3" s="314"/>
      <c r="BF3" s="314"/>
      <c r="BG3" s="314" t="s">
        <v>2310</v>
      </c>
      <c r="BH3" s="314"/>
      <c r="BI3" s="314"/>
      <c r="BJ3" s="319" t="s">
        <v>2311</v>
      </c>
      <c r="BK3" s="320"/>
      <c r="BL3" s="321"/>
      <c r="BM3" s="302" t="s">
        <v>2312</v>
      </c>
      <c r="BN3" s="302"/>
      <c r="BO3" s="302"/>
      <c r="BP3" s="302" t="s">
        <v>2313</v>
      </c>
      <c r="BQ3" s="302"/>
      <c r="BR3" s="302"/>
      <c r="BS3" s="302" t="s">
        <v>2314</v>
      </c>
      <c r="BT3" s="302"/>
      <c r="BU3" s="302"/>
      <c r="BV3" s="303" t="s">
        <v>2315</v>
      </c>
      <c r="BW3" s="303"/>
      <c r="BX3" s="303"/>
      <c r="BY3" s="300"/>
      <c r="BZ3" s="300"/>
      <c r="CA3" s="300"/>
      <c r="CB3" s="175"/>
      <c r="CC3" s="286" t="s">
        <v>2316</v>
      </c>
      <c r="CD3" s="286"/>
      <c r="CE3" s="286"/>
      <c r="CF3" s="286" t="s">
        <v>2317</v>
      </c>
      <c r="CG3" s="286"/>
      <c r="CH3" s="286"/>
      <c r="CI3" s="286" t="s">
        <v>2318</v>
      </c>
      <c r="CJ3" s="286"/>
      <c r="CK3" s="286"/>
      <c r="CL3" s="286" t="s">
        <v>2319</v>
      </c>
      <c r="CM3" s="286"/>
      <c r="CN3" s="286"/>
      <c r="CO3" s="175"/>
      <c r="CP3" s="286"/>
      <c r="CQ3" s="286"/>
      <c r="CR3" s="286"/>
      <c r="CS3" s="286"/>
      <c r="CT3" s="175"/>
      <c r="CU3" s="260">
        <v>0.3</v>
      </c>
      <c r="CX3" s="260">
        <v>0.3</v>
      </c>
      <c r="DA3" s="260">
        <v>0.3</v>
      </c>
      <c r="DD3" s="260">
        <v>0.1</v>
      </c>
      <c r="DG3" s="175"/>
      <c r="DH3" s="306"/>
      <c r="DI3" s="306"/>
      <c r="DJ3" s="306"/>
      <c r="DK3" s="306"/>
    </row>
    <row r="4" spans="1:117" ht="114" customHeight="1" thickBot="1" x14ac:dyDescent="0.35">
      <c r="A4" s="205" t="s">
        <v>49</v>
      </c>
      <c r="B4" s="271" t="s">
        <v>50</v>
      </c>
      <c r="C4" s="271" t="s">
        <v>51</v>
      </c>
      <c r="D4" s="272" t="s">
        <v>52</v>
      </c>
      <c r="E4" s="206" t="s">
        <v>53</v>
      </c>
      <c r="F4" s="206" t="s">
        <v>54</v>
      </c>
      <c r="G4" s="270" t="s">
        <v>55</v>
      </c>
      <c r="H4" s="270" t="s">
        <v>56</v>
      </c>
      <c r="I4" s="270" t="s">
        <v>57</v>
      </c>
      <c r="J4" s="270" t="s">
        <v>58</v>
      </c>
      <c r="K4" s="205" t="s">
        <v>59</v>
      </c>
      <c r="L4" s="205" t="s">
        <v>60</v>
      </c>
      <c r="M4" s="205" t="s">
        <v>61</v>
      </c>
      <c r="N4" s="205" t="s">
        <v>62</v>
      </c>
      <c r="O4" s="205" t="s">
        <v>63</v>
      </c>
      <c r="P4" s="153" t="s">
        <v>64</v>
      </c>
      <c r="Q4" s="205" t="s">
        <v>65</v>
      </c>
      <c r="R4" s="207" t="s">
        <v>66</v>
      </c>
      <c r="S4" s="205" t="s">
        <v>67</v>
      </c>
      <c r="T4" s="208" t="s">
        <v>68</v>
      </c>
      <c r="U4" s="209" t="s">
        <v>69</v>
      </c>
      <c r="V4" s="209" t="s">
        <v>70</v>
      </c>
      <c r="W4" s="208" t="s">
        <v>71</v>
      </c>
      <c r="X4" s="209" t="s">
        <v>72</v>
      </c>
      <c r="Y4" s="209" t="s">
        <v>73</v>
      </c>
      <c r="Z4" s="208" t="s">
        <v>74</v>
      </c>
      <c r="AA4" s="209" t="s">
        <v>75</v>
      </c>
      <c r="AB4" s="208" t="s">
        <v>76</v>
      </c>
      <c r="AC4" s="209" t="s">
        <v>77</v>
      </c>
      <c r="AD4" s="209" t="s">
        <v>78</v>
      </c>
      <c r="AE4" s="208" t="s">
        <v>79</v>
      </c>
      <c r="AF4" s="210" t="s">
        <v>80</v>
      </c>
      <c r="AG4" s="210" t="s">
        <v>81</v>
      </c>
      <c r="AH4" s="210" t="s">
        <v>82</v>
      </c>
      <c r="AI4" s="211" t="s">
        <v>83</v>
      </c>
      <c r="AJ4" s="211" t="s">
        <v>84</v>
      </c>
      <c r="AK4" s="212" t="s">
        <v>85</v>
      </c>
      <c r="AL4" s="274" t="s">
        <v>86</v>
      </c>
      <c r="AM4" s="273" t="s">
        <v>87</v>
      </c>
      <c r="AN4" s="273" t="s">
        <v>88</v>
      </c>
      <c r="AO4" s="273" t="s">
        <v>89</v>
      </c>
      <c r="AP4" s="273" t="s">
        <v>90</v>
      </c>
      <c r="AQ4" s="273" t="s">
        <v>91</v>
      </c>
      <c r="AR4" s="142" t="s">
        <v>92</v>
      </c>
      <c r="AS4" s="84" t="s">
        <v>93</v>
      </c>
      <c r="AT4" s="142" t="s">
        <v>94</v>
      </c>
      <c r="AU4" s="213" t="s">
        <v>95</v>
      </c>
      <c r="AV4" s="214" t="s">
        <v>2263</v>
      </c>
      <c r="AW4" s="214" t="s">
        <v>1149</v>
      </c>
      <c r="AX4" s="233" t="s">
        <v>2326</v>
      </c>
      <c r="AY4" s="214" t="s">
        <v>2273</v>
      </c>
      <c r="BA4" s="315" t="s">
        <v>2321</v>
      </c>
      <c r="BB4" s="317" t="s">
        <v>2322</v>
      </c>
      <c r="BC4" s="316" t="s">
        <v>2323</v>
      </c>
      <c r="BD4" s="315" t="s">
        <v>2321</v>
      </c>
      <c r="BE4" s="317" t="s">
        <v>2322</v>
      </c>
      <c r="BF4" s="316" t="s">
        <v>2323</v>
      </c>
      <c r="BG4" s="315" t="s">
        <v>2321</v>
      </c>
      <c r="BH4" s="317" t="s">
        <v>2322</v>
      </c>
      <c r="BI4" s="316" t="s">
        <v>2323</v>
      </c>
      <c r="BJ4" s="315" t="s">
        <v>2321</v>
      </c>
      <c r="BK4" s="317" t="s">
        <v>2322</v>
      </c>
      <c r="BL4" s="316" t="s">
        <v>2323</v>
      </c>
      <c r="BM4" s="318" t="s">
        <v>2321</v>
      </c>
      <c r="BN4" s="216" t="s">
        <v>2322</v>
      </c>
      <c r="BO4" s="216" t="s">
        <v>2323</v>
      </c>
      <c r="BP4" s="216" t="s">
        <v>2321</v>
      </c>
      <c r="BQ4" s="216" t="s">
        <v>2322</v>
      </c>
      <c r="BR4" s="216" t="s">
        <v>2323</v>
      </c>
      <c r="BS4" s="216" t="s">
        <v>2321</v>
      </c>
      <c r="BT4" s="216" t="s">
        <v>2322</v>
      </c>
      <c r="BU4" s="216" t="s">
        <v>2323</v>
      </c>
      <c r="BV4" s="216" t="s">
        <v>2321</v>
      </c>
      <c r="BW4" s="216" t="s">
        <v>2322</v>
      </c>
      <c r="BX4" s="216" t="s">
        <v>2323</v>
      </c>
      <c r="BY4" s="217" t="s">
        <v>2324</v>
      </c>
      <c r="BZ4" s="217" t="s">
        <v>2360</v>
      </c>
      <c r="CA4" s="217" t="s">
        <v>2325</v>
      </c>
      <c r="CB4" s="175"/>
      <c r="CC4" s="215" t="s">
        <v>2321</v>
      </c>
      <c r="CD4" s="215" t="s">
        <v>2322</v>
      </c>
      <c r="CE4" s="215" t="s">
        <v>2323</v>
      </c>
      <c r="CF4" s="215" t="s">
        <v>2321</v>
      </c>
      <c r="CG4" s="215" t="s">
        <v>2322</v>
      </c>
      <c r="CH4" s="215" t="s">
        <v>2323</v>
      </c>
      <c r="CI4" s="215" t="s">
        <v>2321</v>
      </c>
      <c r="CJ4" s="215" t="s">
        <v>2322</v>
      </c>
      <c r="CK4" s="215" t="s">
        <v>2323</v>
      </c>
      <c r="CL4" s="215" t="s">
        <v>2321</v>
      </c>
      <c r="CM4" s="215" t="s">
        <v>2322</v>
      </c>
      <c r="CN4" s="215" t="s">
        <v>2323</v>
      </c>
      <c r="CO4" s="175"/>
      <c r="CP4" s="215" t="s">
        <v>2321</v>
      </c>
      <c r="CQ4" s="215" t="s">
        <v>2322</v>
      </c>
      <c r="CR4" s="215" t="s">
        <v>2323</v>
      </c>
      <c r="CS4" s="218" t="s">
        <v>2325</v>
      </c>
      <c r="CT4" s="175"/>
      <c r="CU4" s="262" t="s">
        <v>2321</v>
      </c>
      <c r="CV4" s="262" t="s">
        <v>2322</v>
      </c>
      <c r="CW4" s="262" t="s">
        <v>2323</v>
      </c>
      <c r="CX4" s="263" t="s">
        <v>2321</v>
      </c>
      <c r="CY4" s="263" t="s">
        <v>2322</v>
      </c>
      <c r="CZ4" s="263" t="s">
        <v>2323</v>
      </c>
      <c r="DA4" s="262" t="s">
        <v>2321</v>
      </c>
      <c r="DB4" s="262" t="s">
        <v>2322</v>
      </c>
      <c r="DC4" s="262" t="s">
        <v>2323</v>
      </c>
      <c r="DD4" s="263" t="s">
        <v>2321</v>
      </c>
      <c r="DE4" s="263" t="s">
        <v>2322</v>
      </c>
      <c r="DF4" s="263" t="s">
        <v>2323</v>
      </c>
      <c r="DG4" s="175"/>
      <c r="DH4" s="215" t="s">
        <v>2321</v>
      </c>
      <c r="DI4" s="215" t="s">
        <v>2322</v>
      </c>
      <c r="DJ4" s="215" t="s">
        <v>2323</v>
      </c>
      <c r="DK4" s="264" t="s">
        <v>2325</v>
      </c>
    </row>
    <row r="5" spans="1:117" ht="28.8" customHeight="1" x14ac:dyDescent="0.3">
      <c r="A5" s="245">
        <v>1</v>
      </c>
      <c r="B5" s="26" t="s">
        <v>96</v>
      </c>
      <c r="C5" s="26" t="s">
        <v>97</v>
      </c>
      <c r="D5" s="26" t="s">
        <v>98</v>
      </c>
      <c r="E5" s="26" t="s">
        <v>99</v>
      </c>
      <c r="F5" s="26" t="s">
        <v>100</v>
      </c>
      <c r="G5" s="26" t="s">
        <v>101</v>
      </c>
      <c r="H5" s="26" t="s">
        <v>102</v>
      </c>
      <c r="I5" s="26" t="s">
        <v>103</v>
      </c>
      <c r="J5" s="86" t="s">
        <v>835</v>
      </c>
      <c r="K5" s="122" t="s">
        <v>104</v>
      </c>
      <c r="L5" s="122" t="s">
        <v>105</v>
      </c>
      <c r="M5" s="26" t="s">
        <v>106</v>
      </c>
      <c r="N5" s="26" t="s">
        <v>107</v>
      </c>
      <c r="O5" s="26" t="s">
        <v>108</v>
      </c>
      <c r="P5" s="26" t="s">
        <v>109</v>
      </c>
      <c r="Q5" s="87" t="s">
        <v>110</v>
      </c>
      <c r="R5" s="130">
        <v>29</v>
      </c>
      <c r="S5" s="88" t="s">
        <v>111</v>
      </c>
      <c r="T5" s="89">
        <v>29</v>
      </c>
      <c r="U5" s="81"/>
      <c r="V5" s="25" t="e">
        <f t="shared" ref="V5:V8" si="0">T5/U5*100</f>
        <v>#DIV/0!</v>
      </c>
      <c r="W5" s="81">
        <v>29</v>
      </c>
      <c r="X5" s="81"/>
      <c r="Y5" s="25">
        <f t="shared" ref="Y5:Y259" si="1">X5/W5*100</f>
        <v>0</v>
      </c>
      <c r="Z5" s="81">
        <v>29</v>
      </c>
      <c r="AA5" s="81"/>
      <c r="AB5" s="25">
        <f t="shared" ref="AB5:AB259" si="2">AA5/Z5*100</f>
        <v>0</v>
      </c>
      <c r="AC5" s="81">
        <v>29</v>
      </c>
      <c r="AD5" s="81"/>
      <c r="AE5" s="25">
        <f t="shared" ref="AE5:AE259" si="3">AD5/AC5*100</f>
        <v>0</v>
      </c>
      <c r="AF5" s="137">
        <f>R5</f>
        <v>29</v>
      </c>
      <c r="AG5" s="137">
        <f t="shared" ref="AG5:AG23" si="4">U5+X5+AA5+AD5</f>
        <v>0</v>
      </c>
      <c r="AH5" s="128">
        <f t="shared" ref="AH5:AH134" si="5">IF(COUNT(U5,X5,AA5,AD5)=1,(U5/T5*100),IF(COUNT(U5,X5,AA5,AD5)=2,((U5+X5)/(T5+W5)*100),IF(COUNT(U5,X5,AA5,AD5)=3,((U5+X5+AA5)/(T5+W5+Z5)*100),(AG5/AF5*100))))</f>
        <v>0</v>
      </c>
      <c r="AI5" s="90">
        <v>46113</v>
      </c>
      <c r="AJ5" s="90">
        <v>46477</v>
      </c>
      <c r="AK5" s="91" t="s">
        <v>112</v>
      </c>
      <c r="AL5" s="91" t="s">
        <v>113</v>
      </c>
      <c r="AM5" s="92" t="s">
        <v>114</v>
      </c>
      <c r="AN5" s="93">
        <v>4344000000</v>
      </c>
      <c r="AO5" s="93">
        <v>4344000000</v>
      </c>
      <c r="AP5" s="93">
        <v>4344000000</v>
      </c>
      <c r="AQ5" s="94">
        <v>0</v>
      </c>
      <c r="AR5" s="26" t="s">
        <v>115</v>
      </c>
      <c r="AS5" s="91" t="s">
        <v>112</v>
      </c>
      <c r="AT5" s="149" t="s">
        <v>116</v>
      </c>
      <c r="AU5" s="165" t="s">
        <v>2264</v>
      </c>
      <c r="AV5" s="232" t="s">
        <v>2234</v>
      </c>
      <c r="AW5" s="126" t="s">
        <v>2252</v>
      </c>
      <c r="BA5" s="255">
        <v>15</v>
      </c>
      <c r="BB5" s="256">
        <v>15</v>
      </c>
      <c r="BC5" s="223">
        <f>+BB5/BA5</f>
        <v>1</v>
      </c>
      <c r="BD5" s="255">
        <v>29</v>
      </c>
      <c r="BE5" s="256">
        <v>0</v>
      </c>
      <c r="BF5" s="223">
        <f>+BE5/BD5</f>
        <v>0</v>
      </c>
      <c r="BG5" s="255">
        <v>29</v>
      </c>
      <c r="BH5" s="256">
        <v>18</v>
      </c>
      <c r="BI5" s="223">
        <f>+BH5/BG5</f>
        <v>0.62068965517241381</v>
      </c>
      <c r="BJ5" s="224">
        <f>+BA5+BD5+BG5</f>
        <v>73</v>
      </c>
      <c r="BK5" s="225">
        <f>+BB5+BE5+BH5</f>
        <v>33</v>
      </c>
      <c r="BL5" s="223">
        <f>+BK5/BJ5</f>
        <v>0.45205479452054792</v>
      </c>
      <c r="BM5" s="255">
        <v>29</v>
      </c>
      <c r="BN5" s="256">
        <v>18</v>
      </c>
      <c r="BO5" s="223">
        <f>+BN5/BM5</f>
        <v>0.62068965517241381</v>
      </c>
      <c r="BP5" s="255">
        <v>29</v>
      </c>
      <c r="BQ5" s="256">
        <v>25</v>
      </c>
      <c r="BR5" s="223">
        <f>+BQ5/BP5</f>
        <v>0.86206896551724133</v>
      </c>
      <c r="BS5" s="255">
        <v>29</v>
      </c>
      <c r="BT5" s="255">
        <v>29</v>
      </c>
      <c r="BU5" s="223">
        <f>+BT5/BS5</f>
        <v>1</v>
      </c>
      <c r="BV5" s="224">
        <f>+BM5+BP5+BS5</f>
        <v>87</v>
      </c>
      <c r="BW5" s="224">
        <f>+BN5+BQ5+BT5</f>
        <v>72</v>
      </c>
      <c r="BX5" s="223">
        <f>+BW5/BV5</f>
        <v>0.82758620689655171</v>
      </c>
      <c r="BY5" s="223">
        <f>+(BK5+BW5)/R5</f>
        <v>3.6206896551724137</v>
      </c>
      <c r="BZ5" s="223">
        <f>+$BZ$2-BY5</f>
        <v>-3.6206896551724137</v>
      </c>
      <c r="CA5" s="226"/>
      <c r="CB5" s="175"/>
      <c r="CC5" s="191"/>
      <c r="CD5" s="192"/>
      <c r="CE5" s="193" t="e">
        <f>+CD5/CC5</f>
        <v>#DIV/0!</v>
      </c>
      <c r="CF5" s="191"/>
      <c r="CG5" s="192"/>
      <c r="CH5" s="193" t="e">
        <f>+CG5/CF5</f>
        <v>#DIV/0!</v>
      </c>
      <c r="CI5" s="197"/>
      <c r="CJ5" s="198"/>
      <c r="CK5" s="193" t="e">
        <f>+CJ5/CI5</f>
        <v>#DIV/0!</v>
      </c>
      <c r="CL5" s="195">
        <f>+CC5+CF5+CI5</f>
        <v>0</v>
      </c>
      <c r="CM5" s="194">
        <f>+CD5+CG5+CJ5</f>
        <v>0</v>
      </c>
      <c r="CN5" s="193" t="e">
        <f>+CM5/CL5</f>
        <v>#DIV/0!</v>
      </c>
      <c r="CO5" s="175"/>
      <c r="CP5" s="196">
        <f>+BJ5+BV5+CL5</f>
        <v>160</v>
      </c>
      <c r="CQ5" s="196">
        <f>+BK5+BW5+CM5</f>
        <v>105</v>
      </c>
      <c r="CR5" s="199">
        <f>+CQ5/CP5</f>
        <v>0.65625</v>
      </c>
      <c r="CS5" s="261">
        <f>+R5-CQ5</f>
        <v>-76</v>
      </c>
      <c r="CT5" s="175"/>
      <c r="CU5" s="196">
        <f>+CS5*$CU$3</f>
        <v>-22.8</v>
      </c>
      <c r="CV5" s="259"/>
      <c r="CW5" s="199">
        <f>+CV5/CU5</f>
        <v>0</v>
      </c>
      <c r="CX5" s="196">
        <f>+CS5*$CX$3</f>
        <v>-22.8</v>
      </c>
      <c r="CY5" s="259"/>
      <c r="CZ5" s="199">
        <f>+CY5/CX5</f>
        <v>0</v>
      </c>
      <c r="DA5" s="196">
        <f>+CS5*$DA$3</f>
        <v>-22.8</v>
      </c>
      <c r="DB5" s="259"/>
      <c r="DC5" s="199">
        <f>+DB5/DA5</f>
        <v>0</v>
      </c>
      <c r="DD5" s="196">
        <f>+CS5*$DD$3</f>
        <v>-7.6000000000000005</v>
      </c>
      <c r="DE5" s="259"/>
      <c r="DF5" s="199">
        <f>+DE5/DD5</f>
        <v>0</v>
      </c>
      <c r="DG5" s="175"/>
      <c r="DH5" s="196">
        <f>R5</f>
        <v>29</v>
      </c>
      <c r="DI5" s="196">
        <f>+CQ5+CV5+CY5+DB5+DE5</f>
        <v>105</v>
      </c>
      <c r="DJ5" s="199">
        <f>+DI5/DH5</f>
        <v>3.6206896551724137</v>
      </c>
      <c r="DK5" s="265">
        <f>+DH5-DI5</f>
        <v>-76</v>
      </c>
      <c r="DL5" s="243">
        <v>1</v>
      </c>
      <c r="DM5">
        <f t="shared" ref="DM5:DM36" si="6">+A5-DL5</f>
        <v>0</v>
      </c>
    </row>
    <row r="6" spans="1:117" x14ac:dyDescent="0.3">
      <c r="A6" s="245">
        <v>2</v>
      </c>
      <c r="B6" s="26" t="s">
        <v>117</v>
      </c>
      <c r="C6" s="26" t="s">
        <v>118</v>
      </c>
      <c r="D6" s="26" t="s">
        <v>119</v>
      </c>
      <c r="E6" s="26" t="s">
        <v>120</v>
      </c>
      <c r="F6" s="26" t="s">
        <v>121</v>
      </c>
      <c r="G6" s="26" t="s">
        <v>122</v>
      </c>
      <c r="H6" s="26" t="s">
        <v>123</v>
      </c>
      <c r="I6" s="26" t="s">
        <v>124</v>
      </c>
      <c r="J6" s="26" t="s">
        <v>125</v>
      </c>
      <c r="K6" s="122" t="s">
        <v>104</v>
      </c>
      <c r="L6" s="122" t="s">
        <v>105</v>
      </c>
      <c r="M6" s="26" t="s">
        <v>106</v>
      </c>
      <c r="N6" s="26" t="s">
        <v>126</v>
      </c>
      <c r="O6" s="26" t="s">
        <v>127</v>
      </c>
      <c r="P6" s="95" t="s">
        <v>128</v>
      </c>
      <c r="Q6" s="87" t="s">
        <v>129</v>
      </c>
      <c r="R6" s="130">
        <v>397</v>
      </c>
      <c r="S6" s="88" t="s">
        <v>111</v>
      </c>
      <c r="T6" s="89">
        <v>66</v>
      </c>
      <c r="U6" s="81">
        <v>66</v>
      </c>
      <c r="V6" s="25">
        <f t="shared" si="0"/>
        <v>100</v>
      </c>
      <c r="W6" s="81">
        <v>131</v>
      </c>
      <c r="X6" s="81">
        <v>159</v>
      </c>
      <c r="Y6" s="25">
        <f t="shared" si="1"/>
        <v>121.37404580152671</v>
      </c>
      <c r="Z6" s="81">
        <v>100</v>
      </c>
      <c r="AA6" s="81"/>
      <c r="AB6" s="25">
        <f t="shared" si="2"/>
        <v>0</v>
      </c>
      <c r="AC6" s="81">
        <v>100</v>
      </c>
      <c r="AD6" s="81"/>
      <c r="AE6" s="25">
        <f t="shared" si="3"/>
        <v>0</v>
      </c>
      <c r="AF6" s="137">
        <f t="shared" ref="AF6:AF23" si="7">R6</f>
        <v>397</v>
      </c>
      <c r="AG6" s="137">
        <f t="shared" si="4"/>
        <v>225</v>
      </c>
      <c r="AH6" s="128">
        <f t="shared" si="5"/>
        <v>114.21319796954315</v>
      </c>
      <c r="AI6" s="90">
        <v>46113</v>
      </c>
      <c r="AJ6" s="90">
        <v>46477</v>
      </c>
      <c r="AK6" s="91" t="s">
        <v>112</v>
      </c>
      <c r="AL6" s="91" t="s">
        <v>113</v>
      </c>
      <c r="AM6" s="92" t="s">
        <v>114</v>
      </c>
      <c r="AN6" s="93"/>
      <c r="AO6" s="93"/>
      <c r="AP6" s="93"/>
      <c r="AQ6" s="94"/>
      <c r="AR6" s="26" t="s">
        <v>130</v>
      </c>
      <c r="AS6" s="91" t="s">
        <v>112</v>
      </c>
      <c r="AT6" s="150" t="s">
        <v>131</v>
      </c>
      <c r="AU6" s="165" t="s">
        <v>2264</v>
      </c>
      <c r="AV6" s="232" t="s">
        <v>2234</v>
      </c>
      <c r="AW6" s="126" t="s">
        <v>2258</v>
      </c>
      <c r="BA6" s="255"/>
      <c r="BB6" s="256"/>
      <c r="BC6" s="223" t="e">
        <f t="shared" ref="BC6:BC69" si="8">+BB6/BA6</f>
        <v>#DIV/0!</v>
      </c>
      <c r="BD6" s="255"/>
      <c r="BE6" s="256"/>
      <c r="BF6" s="223" t="e">
        <f t="shared" ref="BF6:BF69" si="9">+BE6/BD6</f>
        <v>#DIV/0!</v>
      </c>
      <c r="BG6" s="255"/>
      <c r="BH6" s="256"/>
      <c r="BI6" s="223" t="e">
        <f t="shared" ref="BI6:BI69" si="10">+BH6/BG6</f>
        <v>#DIV/0!</v>
      </c>
      <c r="BJ6" s="224">
        <f t="shared" ref="BJ6:BJ69" si="11">+BA6+BD6+BG6</f>
        <v>0</v>
      </c>
      <c r="BK6" s="225">
        <f t="shared" ref="BK6:BK69" si="12">+BB6+BE6+BH6</f>
        <v>0</v>
      </c>
      <c r="BL6" s="223" t="e">
        <f t="shared" ref="BL6:BL69" si="13">+BK6/BJ6</f>
        <v>#DIV/0!</v>
      </c>
      <c r="BM6" s="255"/>
      <c r="BN6" s="256"/>
      <c r="BO6" s="223" t="e">
        <f t="shared" ref="BO6:BO23" si="14">+BN6/BM6</f>
        <v>#DIV/0!</v>
      </c>
      <c r="BP6" s="255"/>
      <c r="BQ6" s="256"/>
      <c r="BR6" s="223" t="e">
        <f t="shared" ref="BR6:BR23" si="15">+BQ6/BP6</f>
        <v>#DIV/0!</v>
      </c>
      <c r="BS6" s="255"/>
      <c r="BT6" s="255"/>
      <c r="BU6" s="223" t="e">
        <f t="shared" ref="BU6:BU23" si="16">+BT6/BS6</f>
        <v>#DIV/0!</v>
      </c>
      <c r="BV6" s="224">
        <f t="shared" ref="BV6:BV69" si="17">+BM6+BP6+BS6</f>
        <v>0</v>
      </c>
      <c r="BW6" s="224">
        <f t="shared" ref="BW6:BW69" si="18">+BN6+BQ6+BT6</f>
        <v>0</v>
      </c>
      <c r="BX6" s="223" t="e">
        <f t="shared" ref="BX6:BX69" si="19">+BW6/BV6</f>
        <v>#DIV/0!</v>
      </c>
      <c r="BY6" s="223">
        <f t="shared" ref="BY6:BY69" si="20">+(BK6+BW6)/R6</f>
        <v>0</v>
      </c>
      <c r="BZ6" s="223">
        <f t="shared" ref="BZ6:BZ69" si="21">+$BZ$2-BY6</f>
        <v>0</v>
      </c>
      <c r="CA6" s="226"/>
      <c r="CB6" s="175"/>
      <c r="CC6" s="191"/>
      <c r="CD6" s="192"/>
      <c r="CE6" s="193" t="e">
        <f t="shared" ref="CE6:CE22" si="22">+CD6/CC6</f>
        <v>#DIV/0!</v>
      </c>
      <c r="CF6" s="191"/>
      <c r="CG6" s="192"/>
      <c r="CH6" s="193" t="e">
        <f t="shared" ref="CH6:CH22" si="23">+CG6/CF6</f>
        <v>#DIV/0!</v>
      </c>
      <c r="CI6" s="197"/>
      <c r="CJ6" s="198"/>
      <c r="CK6" s="193" t="e">
        <f t="shared" ref="CK6:CK22" si="24">+CJ6/CI6</f>
        <v>#DIV/0!</v>
      </c>
      <c r="CL6" s="194">
        <f t="shared" ref="CL6:CM23" si="25">+CC6+CF6+CI6</f>
        <v>0</v>
      </c>
      <c r="CM6" s="194">
        <f t="shared" si="25"/>
        <v>0</v>
      </c>
      <c r="CN6" s="193" t="e">
        <f t="shared" ref="CN6:CN23" si="26">+CM6/CL6</f>
        <v>#DIV/0!</v>
      </c>
      <c r="CO6" s="175"/>
      <c r="CP6" s="196">
        <f t="shared" ref="CP6:CQ23" si="27">+BJ6+BV6+CL6</f>
        <v>0</v>
      </c>
      <c r="CQ6" s="196">
        <f t="shared" si="27"/>
        <v>0</v>
      </c>
      <c r="CR6" s="199" t="e">
        <f t="shared" ref="CR6:CR23" si="28">+CQ6/CP6</f>
        <v>#DIV/0!</v>
      </c>
      <c r="CS6" s="261">
        <f t="shared" ref="CS6:CS69" si="29">+R6-CQ6</f>
        <v>397</v>
      </c>
      <c r="CT6" s="175"/>
      <c r="CU6" s="196">
        <f t="shared" ref="CU6:CU69" si="30">+CS6*$CU$3</f>
        <v>119.1</v>
      </c>
      <c r="CV6" s="259"/>
      <c r="CW6" s="199">
        <f t="shared" ref="CW6:CW69" si="31">+CV6/CU6</f>
        <v>0</v>
      </c>
      <c r="CX6" s="196">
        <f t="shared" ref="CX6:CX69" si="32">+CS6*$CX$3</f>
        <v>119.1</v>
      </c>
      <c r="CY6" s="259"/>
      <c r="CZ6" s="199">
        <f t="shared" ref="CZ6:CZ69" si="33">+CY6/CX6</f>
        <v>0</v>
      </c>
      <c r="DA6" s="196">
        <f t="shared" ref="DA6:DA69" si="34">+CS6*$DA$3</f>
        <v>119.1</v>
      </c>
      <c r="DB6" s="259"/>
      <c r="DC6" s="199">
        <f t="shared" ref="DC6:DC69" si="35">+DB6/DA6</f>
        <v>0</v>
      </c>
      <c r="DD6" s="196">
        <f t="shared" ref="DD6:DD69" si="36">+CS6*$DD$3</f>
        <v>39.700000000000003</v>
      </c>
      <c r="DE6" s="259"/>
      <c r="DF6" s="199">
        <f t="shared" ref="DF6:DF69" si="37">+DE6/DD6</f>
        <v>0</v>
      </c>
      <c r="DG6" s="175"/>
      <c r="DH6" s="196">
        <f t="shared" ref="DH6:DH69" si="38">R6</f>
        <v>397</v>
      </c>
      <c r="DI6" s="196">
        <f t="shared" ref="DI6:DI69" si="39">+CQ6+CV6+CY6+DB6+DE6</f>
        <v>0</v>
      </c>
      <c r="DJ6" s="199">
        <f t="shared" ref="DJ6:DJ69" si="40">+DI6/DH6</f>
        <v>0</v>
      </c>
      <c r="DK6" s="265">
        <f t="shared" ref="DK6:DK69" si="41">+DH6-DI6</f>
        <v>397</v>
      </c>
      <c r="DL6" s="244">
        <v>2</v>
      </c>
      <c r="DM6">
        <f t="shared" si="6"/>
        <v>0</v>
      </c>
    </row>
    <row r="7" spans="1:117" x14ac:dyDescent="0.3">
      <c r="A7" s="245">
        <v>3</v>
      </c>
      <c r="B7" s="26" t="s">
        <v>132</v>
      </c>
      <c r="C7" s="26" t="s">
        <v>133</v>
      </c>
      <c r="D7" s="26" t="s">
        <v>119</v>
      </c>
      <c r="E7" s="26" t="s">
        <v>134</v>
      </c>
      <c r="F7" s="26" t="s">
        <v>135</v>
      </c>
      <c r="G7" s="26" t="s">
        <v>136</v>
      </c>
      <c r="H7" s="26" t="s">
        <v>137</v>
      </c>
      <c r="I7" s="26" t="s">
        <v>138</v>
      </c>
      <c r="J7" s="26" t="s">
        <v>139</v>
      </c>
      <c r="K7" s="122" t="s">
        <v>104</v>
      </c>
      <c r="L7" s="122" t="s">
        <v>105</v>
      </c>
      <c r="M7" s="26" t="s">
        <v>106</v>
      </c>
      <c r="N7" s="26" t="s">
        <v>140</v>
      </c>
      <c r="O7" s="26" t="s">
        <v>127</v>
      </c>
      <c r="P7" s="240" t="s">
        <v>141</v>
      </c>
      <c r="Q7" s="87" t="s">
        <v>129</v>
      </c>
      <c r="R7" s="130">
        <v>1</v>
      </c>
      <c r="S7" s="88" t="s">
        <v>111</v>
      </c>
      <c r="T7" s="89">
        <v>1</v>
      </c>
      <c r="U7" s="81">
        <v>1</v>
      </c>
      <c r="V7" s="25">
        <f t="shared" si="0"/>
        <v>100</v>
      </c>
      <c r="W7" s="81">
        <v>0</v>
      </c>
      <c r="X7" s="81">
        <v>0</v>
      </c>
      <c r="Y7" s="25" t="e">
        <f t="shared" si="1"/>
        <v>#DIV/0!</v>
      </c>
      <c r="Z7" s="81">
        <v>0</v>
      </c>
      <c r="AA7" s="81">
        <v>0</v>
      </c>
      <c r="AB7" s="25" t="e">
        <f t="shared" si="2"/>
        <v>#DIV/0!</v>
      </c>
      <c r="AC7" s="81">
        <v>0</v>
      </c>
      <c r="AD7" s="81">
        <v>0</v>
      </c>
      <c r="AE7" s="25" t="e">
        <f t="shared" si="3"/>
        <v>#DIV/0!</v>
      </c>
      <c r="AF7" s="137">
        <f t="shared" si="7"/>
        <v>1</v>
      </c>
      <c r="AG7" s="137">
        <f t="shared" si="4"/>
        <v>1</v>
      </c>
      <c r="AH7" s="128">
        <f t="shared" si="5"/>
        <v>100</v>
      </c>
      <c r="AI7" s="90">
        <v>46113</v>
      </c>
      <c r="AJ7" s="90">
        <v>46477</v>
      </c>
      <c r="AK7" s="91" t="s">
        <v>112</v>
      </c>
      <c r="AL7" s="91" t="s">
        <v>113</v>
      </c>
      <c r="AM7" s="92" t="s">
        <v>114</v>
      </c>
      <c r="AN7" s="93">
        <v>30000000</v>
      </c>
      <c r="AO7" s="93">
        <v>30000000</v>
      </c>
      <c r="AP7" s="93">
        <v>30000000</v>
      </c>
      <c r="AQ7" s="94">
        <f>AO7</f>
        <v>30000000</v>
      </c>
      <c r="AR7" s="26" t="s">
        <v>130</v>
      </c>
      <c r="AS7" s="91" t="s">
        <v>112</v>
      </c>
      <c r="AT7" s="150" t="s">
        <v>131</v>
      </c>
      <c r="AU7" s="165" t="s">
        <v>2264</v>
      </c>
      <c r="AV7" s="232" t="s">
        <v>2234</v>
      </c>
      <c r="AW7" s="126" t="s">
        <v>2258</v>
      </c>
      <c r="BA7" s="255">
        <v>0</v>
      </c>
      <c r="BB7" s="256">
        <v>0</v>
      </c>
      <c r="BC7" s="223" t="e">
        <f t="shared" si="8"/>
        <v>#DIV/0!</v>
      </c>
      <c r="BD7" s="255">
        <v>0</v>
      </c>
      <c r="BE7" s="256">
        <v>0</v>
      </c>
      <c r="BF7" s="223" t="e">
        <f t="shared" si="9"/>
        <v>#DIV/0!</v>
      </c>
      <c r="BG7" s="255">
        <v>29</v>
      </c>
      <c r="BH7" s="256">
        <v>29</v>
      </c>
      <c r="BI7" s="223">
        <f t="shared" si="10"/>
        <v>1</v>
      </c>
      <c r="BJ7" s="224">
        <f t="shared" si="11"/>
        <v>29</v>
      </c>
      <c r="BK7" s="225">
        <f t="shared" si="12"/>
        <v>29</v>
      </c>
      <c r="BL7" s="223">
        <f t="shared" si="13"/>
        <v>1</v>
      </c>
      <c r="BM7" s="255"/>
      <c r="BN7" s="256"/>
      <c r="BO7" s="223" t="e">
        <f t="shared" si="14"/>
        <v>#DIV/0!</v>
      </c>
      <c r="BP7" s="255"/>
      <c r="BQ7" s="256"/>
      <c r="BR7" s="223" t="e">
        <f t="shared" si="15"/>
        <v>#DIV/0!</v>
      </c>
      <c r="BS7" s="255"/>
      <c r="BT7" s="255"/>
      <c r="BU7" s="223" t="e">
        <f t="shared" si="16"/>
        <v>#DIV/0!</v>
      </c>
      <c r="BV7" s="224">
        <f t="shared" si="17"/>
        <v>0</v>
      </c>
      <c r="BW7" s="224">
        <f t="shared" si="18"/>
        <v>0</v>
      </c>
      <c r="BX7" s="223" t="e">
        <f t="shared" si="19"/>
        <v>#DIV/0!</v>
      </c>
      <c r="BY7" s="223">
        <f t="shared" si="20"/>
        <v>29</v>
      </c>
      <c r="BZ7" s="223">
        <f t="shared" si="21"/>
        <v>-29</v>
      </c>
      <c r="CA7" s="226"/>
      <c r="CB7" s="175"/>
      <c r="CC7" s="191"/>
      <c r="CD7" s="192"/>
      <c r="CE7" s="193" t="e">
        <f t="shared" si="22"/>
        <v>#DIV/0!</v>
      </c>
      <c r="CF7" s="191"/>
      <c r="CG7" s="192"/>
      <c r="CH7" s="193" t="e">
        <f t="shared" si="23"/>
        <v>#DIV/0!</v>
      </c>
      <c r="CI7" s="197"/>
      <c r="CJ7" s="198"/>
      <c r="CK7" s="193" t="e">
        <f t="shared" si="24"/>
        <v>#DIV/0!</v>
      </c>
      <c r="CL7" s="194">
        <f t="shared" si="25"/>
        <v>0</v>
      </c>
      <c r="CM7" s="194">
        <f t="shared" si="25"/>
        <v>0</v>
      </c>
      <c r="CN7" s="193" t="e">
        <f t="shared" si="26"/>
        <v>#DIV/0!</v>
      </c>
      <c r="CO7" s="175"/>
      <c r="CP7" s="196">
        <f t="shared" si="27"/>
        <v>29</v>
      </c>
      <c r="CQ7" s="196">
        <f t="shared" si="27"/>
        <v>29</v>
      </c>
      <c r="CR7" s="199">
        <f t="shared" si="28"/>
        <v>1</v>
      </c>
      <c r="CS7" s="261">
        <f t="shared" si="29"/>
        <v>-28</v>
      </c>
      <c r="CT7" s="175"/>
      <c r="CU7" s="196">
        <f t="shared" si="30"/>
        <v>-8.4</v>
      </c>
      <c r="CV7" s="259"/>
      <c r="CW7" s="199">
        <f t="shared" si="31"/>
        <v>0</v>
      </c>
      <c r="CX7" s="196">
        <f t="shared" si="32"/>
        <v>-8.4</v>
      </c>
      <c r="CY7" s="259"/>
      <c r="CZ7" s="199">
        <f t="shared" si="33"/>
        <v>0</v>
      </c>
      <c r="DA7" s="196">
        <f t="shared" si="34"/>
        <v>-8.4</v>
      </c>
      <c r="DB7" s="259"/>
      <c r="DC7" s="199">
        <f t="shared" si="35"/>
        <v>0</v>
      </c>
      <c r="DD7" s="196">
        <f t="shared" si="36"/>
        <v>-2.8000000000000003</v>
      </c>
      <c r="DE7" s="259"/>
      <c r="DF7" s="199">
        <f t="shared" si="37"/>
        <v>0</v>
      </c>
      <c r="DG7" s="175"/>
      <c r="DH7" s="196">
        <f t="shared" si="38"/>
        <v>1</v>
      </c>
      <c r="DI7" s="196">
        <f t="shared" si="39"/>
        <v>29</v>
      </c>
      <c r="DJ7" s="199">
        <f t="shared" si="40"/>
        <v>29</v>
      </c>
      <c r="DK7" s="265">
        <f t="shared" si="41"/>
        <v>-28</v>
      </c>
      <c r="DL7" s="244">
        <v>3</v>
      </c>
      <c r="DM7">
        <f t="shared" si="6"/>
        <v>0</v>
      </c>
    </row>
    <row r="8" spans="1:117" x14ac:dyDescent="0.3">
      <c r="A8" s="245">
        <v>4</v>
      </c>
      <c r="B8" s="26" t="s">
        <v>132</v>
      </c>
      <c r="C8" s="26" t="s">
        <v>133</v>
      </c>
      <c r="D8" s="26" t="s">
        <v>119</v>
      </c>
      <c r="E8" s="26" t="s">
        <v>142</v>
      </c>
      <c r="F8" s="26" t="s">
        <v>143</v>
      </c>
      <c r="G8" s="26" t="s">
        <v>144</v>
      </c>
      <c r="H8" s="26" t="s">
        <v>145</v>
      </c>
      <c r="I8" s="26" t="s">
        <v>146</v>
      </c>
      <c r="J8" s="26" t="s">
        <v>147</v>
      </c>
      <c r="K8" s="122" t="s">
        <v>104</v>
      </c>
      <c r="L8" s="122" t="s">
        <v>105</v>
      </c>
      <c r="M8" s="26" t="s">
        <v>106</v>
      </c>
      <c r="N8" s="26" t="s">
        <v>148</v>
      </c>
      <c r="O8" s="26" t="s">
        <v>127</v>
      </c>
      <c r="P8" s="240" t="s">
        <v>149</v>
      </c>
      <c r="Q8" s="87" t="s">
        <v>129</v>
      </c>
      <c r="R8" s="130">
        <v>1</v>
      </c>
      <c r="S8" s="88" t="s">
        <v>111</v>
      </c>
      <c r="T8" s="89">
        <v>0</v>
      </c>
      <c r="U8" s="81">
        <v>0</v>
      </c>
      <c r="V8" s="25" t="e">
        <f t="shared" si="0"/>
        <v>#DIV/0!</v>
      </c>
      <c r="W8" s="81">
        <v>1</v>
      </c>
      <c r="X8" s="81">
        <v>1</v>
      </c>
      <c r="Y8" s="25">
        <f t="shared" si="1"/>
        <v>100</v>
      </c>
      <c r="Z8" s="81"/>
      <c r="AA8" s="81"/>
      <c r="AB8" s="25" t="e">
        <f t="shared" si="2"/>
        <v>#DIV/0!</v>
      </c>
      <c r="AC8" s="81">
        <v>0</v>
      </c>
      <c r="AD8" s="81"/>
      <c r="AE8" s="25" t="e">
        <f t="shared" si="3"/>
        <v>#DIV/0!</v>
      </c>
      <c r="AF8" s="137">
        <f t="shared" si="7"/>
        <v>1</v>
      </c>
      <c r="AG8" s="137">
        <f t="shared" si="4"/>
        <v>1</v>
      </c>
      <c r="AH8" s="128">
        <f t="shared" si="5"/>
        <v>100</v>
      </c>
      <c r="AI8" s="90">
        <v>46113</v>
      </c>
      <c r="AJ8" s="90">
        <v>46477</v>
      </c>
      <c r="AK8" s="91" t="s">
        <v>112</v>
      </c>
      <c r="AL8" s="91" t="s">
        <v>113</v>
      </c>
      <c r="AM8" s="92" t="s">
        <v>114</v>
      </c>
      <c r="AN8" s="93">
        <v>30000000</v>
      </c>
      <c r="AO8" s="93">
        <v>30000000</v>
      </c>
      <c r="AP8" s="93">
        <v>30000000</v>
      </c>
      <c r="AQ8" s="94">
        <f>AO8</f>
        <v>30000000</v>
      </c>
      <c r="AR8" s="26" t="s">
        <v>130</v>
      </c>
      <c r="AS8" s="91" t="s">
        <v>112</v>
      </c>
      <c r="AT8" s="150" t="s">
        <v>131</v>
      </c>
      <c r="AU8" s="165" t="s">
        <v>2264</v>
      </c>
      <c r="AV8" s="232" t="s">
        <v>2234</v>
      </c>
      <c r="AW8" s="126" t="s">
        <v>2258</v>
      </c>
      <c r="BA8" s="255"/>
      <c r="BB8" s="256"/>
      <c r="BC8" s="223" t="e">
        <f t="shared" si="8"/>
        <v>#DIV/0!</v>
      </c>
      <c r="BD8" s="255"/>
      <c r="BE8" s="256"/>
      <c r="BF8" s="223" t="e">
        <f t="shared" si="9"/>
        <v>#DIV/0!</v>
      </c>
      <c r="BG8" s="255"/>
      <c r="BH8" s="256"/>
      <c r="BI8" s="223" t="e">
        <f t="shared" si="10"/>
        <v>#DIV/0!</v>
      </c>
      <c r="BJ8" s="224">
        <f t="shared" si="11"/>
        <v>0</v>
      </c>
      <c r="BK8" s="225">
        <f t="shared" si="12"/>
        <v>0</v>
      </c>
      <c r="BL8" s="223" t="e">
        <f t="shared" si="13"/>
        <v>#DIV/0!</v>
      </c>
      <c r="BM8" s="255">
        <v>29</v>
      </c>
      <c r="BN8" s="256">
        <v>29</v>
      </c>
      <c r="BO8" s="223">
        <f t="shared" si="14"/>
        <v>1</v>
      </c>
      <c r="BP8" s="255"/>
      <c r="BQ8" s="256"/>
      <c r="BR8" s="223" t="e">
        <f t="shared" si="15"/>
        <v>#DIV/0!</v>
      </c>
      <c r="BS8" s="255"/>
      <c r="BT8" s="255"/>
      <c r="BU8" s="223" t="e">
        <f t="shared" si="16"/>
        <v>#DIV/0!</v>
      </c>
      <c r="BV8" s="224">
        <f t="shared" si="17"/>
        <v>29</v>
      </c>
      <c r="BW8" s="224">
        <f t="shared" si="18"/>
        <v>29</v>
      </c>
      <c r="BX8" s="223">
        <f t="shared" si="19"/>
        <v>1</v>
      </c>
      <c r="BY8" s="223">
        <f t="shared" si="20"/>
        <v>29</v>
      </c>
      <c r="BZ8" s="223">
        <f t="shared" si="21"/>
        <v>-29</v>
      </c>
      <c r="CA8" s="226"/>
      <c r="CB8" s="175"/>
      <c r="CC8" s="191"/>
      <c r="CD8" s="192"/>
      <c r="CE8" s="193" t="e">
        <f t="shared" si="22"/>
        <v>#DIV/0!</v>
      </c>
      <c r="CF8" s="191"/>
      <c r="CG8" s="192"/>
      <c r="CH8" s="193" t="e">
        <f t="shared" si="23"/>
        <v>#DIV/0!</v>
      </c>
      <c r="CI8" s="197"/>
      <c r="CJ8" s="198"/>
      <c r="CK8" s="193" t="e">
        <f t="shared" si="24"/>
        <v>#DIV/0!</v>
      </c>
      <c r="CL8" s="194">
        <f t="shared" si="25"/>
        <v>0</v>
      </c>
      <c r="CM8" s="194">
        <f t="shared" si="25"/>
        <v>0</v>
      </c>
      <c r="CN8" s="193" t="e">
        <f t="shared" si="26"/>
        <v>#DIV/0!</v>
      </c>
      <c r="CO8" s="175"/>
      <c r="CP8" s="196">
        <f t="shared" si="27"/>
        <v>29</v>
      </c>
      <c r="CQ8" s="196">
        <f t="shared" si="27"/>
        <v>29</v>
      </c>
      <c r="CR8" s="199">
        <f t="shared" si="28"/>
        <v>1</v>
      </c>
      <c r="CS8" s="261">
        <f t="shared" si="29"/>
        <v>-28</v>
      </c>
      <c r="CT8" s="175"/>
      <c r="CU8" s="196">
        <f t="shared" si="30"/>
        <v>-8.4</v>
      </c>
      <c r="CV8" s="259"/>
      <c r="CW8" s="199">
        <f t="shared" si="31"/>
        <v>0</v>
      </c>
      <c r="CX8" s="196">
        <f t="shared" si="32"/>
        <v>-8.4</v>
      </c>
      <c r="CY8" s="259"/>
      <c r="CZ8" s="199">
        <f t="shared" si="33"/>
        <v>0</v>
      </c>
      <c r="DA8" s="196">
        <f t="shared" si="34"/>
        <v>-8.4</v>
      </c>
      <c r="DB8" s="259"/>
      <c r="DC8" s="199">
        <f t="shared" si="35"/>
        <v>0</v>
      </c>
      <c r="DD8" s="196">
        <f t="shared" si="36"/>
        <v>-2.8000000000000003</v>
      </c>
      <c r="DE8" s="259"/>
      <c r="DF8" s="199">
        <f t="shared" si="37"/>
        <v>0</v>
      </c>
      <c r="DG8" s="175"/>
      <c r="DH8" s="196">
        <f t="shared" si="38"/>
        <v>1</v>
      </c>
      <c r="DI8" s="196">
        <f t="shared" si="39"/>
        <v>29</v>
      </c>
      <c r="DJ8" s="199">
        <f t="shared" si="40"/>
        <v>29</v>
      </c>
      <c r="DK8" s="265">
        <f t="shared" si="41"/>
        <v>-28</v>
      </c>
      <c r="DL8" s="244">
        <v>4</v>
      </c>
      <c r="DM8">
        <f t="shared" si="6"/>
        <v>0</v>
      </c>
    </row>
    <row r="9" spans="1:117" x14ac:dyDescent="0.3">
      <c r="A9" s="246">
        <v>5</v>
      </c>
      <c r="B9" s="91" t="s">
        <v>150</v>
      </c>
      <c r="C9" s="91" t="s">
        <v>133</v>
      </c>
      <c r="D9" s="91" t="s">
        <v>119</v>
      </c>
      <c r="E9" s="91" t="s">
        <v>134</v>
      </c>
      <c r="F9" s="91" t="s">
        <v>151</v>
      </c>
      <c r="G9" s="87" t="s">
        <v>144</v>
      </c>
      <c r="H9" s="87" t="s">
        <v>152</v>
      </c>
      <c r="I9" s="87" t="s">
        <v>153</v>
      </c>
      <c r="J9" s="87" t="s">
        <v>153</v>
      </c>
      <c r="K9" s="85" t="s">
        <v>104</v>
      </c>
      <c r="L9" s="85" t="s">
        <v>105</v>
      </c>
      <c r="M9" s="87" t="s">
        <v>106</v>
      </c>
      <c r="N9" s="87" t="s">
        <v>126</v>
      </c>
      <c r="O9" s="87" t="s">
        <v>127</v>
      </c>
      <c r="P9" s="241" t="s">
        <v>154</v>
      </c>
      <c r="Q9" s="87" t="s">
        <v>129</v>
      </c>
      <c r="R9" s="130">
        <v>1</v>
      </c>
      <c r="S9" s="88" t="s">
        <v>111</v>
      </c>
      <c r="T9" s="81">
        <v>0</v>
      </c>
      <c r="U9" s="81">
        <v>0</v>
      </c>
      <c r="V9" s="25" t="e">
        <f t="shared" ref="V9:V24" si="42">U9/T9*100</f>
        <v>#DIV/0!</v>
      </c>
      <c r="W9" s="81">
        <v>1</v>
      </c>
      <c r="X9" s="81">
        <v>1</v>
      </c>
      <c r="Y9" s="25">
        <f t="shared" si="1"/>
        <v>100</v>
      </c>
      <c r="Z9" s="81">
        <v>0</v>
      </c>
      <c r="AA9" s="81"/>
      <c r="AB9" s="25" t="e">
        <f t="shared" si="2"/>
        <v>#DIV/0!</v>
      </c>
      <c r="AC9" s="81">
        <v>0</v>
      </c>
      <c r="AD9" s="81"/>
      <c r="AE9" s="25" t="e">
        <f t="shared" si="3"/>
        <v>#DIV/0!</v>
      </c>
      <c r="AF9" s="137">
        <f t="shared" si="7"/>
        <v>1</v>
      </c>
      <c r="AG9" s="137">
        <f t="shared" si="4"/>
        <v>1</v>
      </c>
      <c r="AH9" s="128">
        <f t="shared" si="5"/>
        <v>100</v>
      </c>
      <c r="AI9" s="90">
        <v>46113</v>
      </c>
      <c r="AJ9" s="90">
        <v>46477</v>
      </c>
      <c r="AK9" s="91" t="s">
        <v>112</v>
      </c>
      <c r="AL9" s="91" t="s">
        <v>113</v>
      </c>
      <c r="AM9" s="92" t="s">
        <v>114</v>
      </c>
      <c r="AN9" s="93">
        <v>30000000</v>
      </c>
      <c r="AO9" s="93">
        <v>30000000</v>
      </c>
      <c r="AP9" s="93">
        <v>30000000</v>
      </c>
      <c r="AQ9" s="94">
        <f>AO9</f>
        <v>30000000</v>
      </c>
      <c r="AR9" s="91" t="s">
        <v>115</v>
      </c>
      <c r="AS9" s="91" t="s">
        <v>112</v>
      </c>
      <c r="AT9" s="150" t="s">
        <v>131</v>
      </c>
      <c r="AU9" s="165" t="s">
        <v>2264</v>
      </c>
      <c r="AV9" s="232" t="s">
        <v>2234</v>
      </c>
      <c r="AW9" s="126" t="s">
        <v>2258</v>
      </c>
      <c r="BA9" s="255"/>
      <c r="BB9" s="256"/>
      <c r="BC9" s="223" t="e">
        <f t="shared" si="8"/>
        <v>#DIV/0!</v>
      </c>
      <c r="BD9" s="255"/>
      <c r="BE9" s="256"/>
      <c r="BF9" s="223" t="e">
        <f t="shared" si="9"/>
        <v>#DIV/0!</v>
      </c>
      <c r="BG9" s="255"/>
      <c r="BH9" s="256"/>
      <c r="BI9" s="223" t="e">
        <f t="shared" si="10"/>
        <v>#DIV/0!</v>
      </c>
      <c r="BJ9" s="224">
        <f t="shared" si="11"/>
        <v>0</v>
      </c>
      <c r="BK9" s="225">
        <f t="shared" si="12"/>
        <v>0</v>
      </c>
      <c r="BL9" s="223" t="e">
        <f t="shared" si="13"/>
        <v>#DIV/0!</v>
      </c>
      <c r="BM9" s="255"/>
      <c r="BN9" s="256"/>
      <c r="BO9" s="223" t="e">
        <f t="shared" si="14"/>
        <v>#DIV/0!</v>
      </c>
      <c r="BP9" s="255"/>
      <c r="BQ9" s="256"/>
      <c r="BR9" s="223" t="e">
        <f t="shared" si="15"/>
        <v>#DIV/0!</v>
      </c>
      <c r="BS9" s="255">
        <v>29</v>
      </c>
      <c r="BT9" s="255">
        <v>29</v>
      </c>
      <c r="BU9" s="223">
        <f t="shared" si="16"/>
        <v>1</v>
      </c>
      <c r="BV9" s="224">
        <f t="shared" si="17"/>
        <v>29</v>
      </c>
      <c r="BW9" s="224">
        <f t="shared" si="18"/>
        <v>29</v>
      </c>
      <c r="BX9" s="223">
        <f t="shared" si="19"/>
        <v>1</v>
      </c>
      <c r="BY9" s="223">
        <f t="shared" si="20"/>
        <v>29</v>
      </c>
      <c r="BZ9" s="223">
        <f t="shared" si="21"/>
        <v>-29</v>
      </c>
      <c r="CA9" s="226"/>
      <c r="CB9" s="175"/>
      <c r="CC9" s="191"/>
      <c r="CD9" s="192"/>
      <c r="CE9" s="193" t="e">
        <f t="shared" si="22"/>
        <v>#DIV/0!</v>
      </c>
      <c r="CF9" s="191"/>
      <c r="CG9" s="192"/>
      <c r="CH9" s="193" t="e">
        <f t="shared" si="23"/>
        <v>#DIV/0!</v>
      </c>
      <c r="CI9" s="197"/>
      <c r="CJ9" s="198"/>
      <c r="CK9" s="193" t="e">
        <f t="shared" si="24"/>
        <v>#DIV/0!</v>
      </c>
      <c r="CL9" s="194">
        <f t="shared" si="25"/>
        <v>0</v>
      </c>
      <c r="CM9" s="194">
        <f t="shared" si="25"/>
        <v>0</v>
      </c>
      <c r="CN9" s="193" t="e">
        <f t="shared" si="26"/>
        <v>#DIV/0!</v>
      </c>
      <c r="CO9" s="175"/>
      <c r="CP9" s="196">
        <f t="shared" si="27"/>
        <v>29</v>
      </c>
      <c r="CQ9" s="196">
        <f t="shared" si="27"/>
        <v>29</v>
      </c>
      <c r="CR9" s="199">
        <f t="shared" si="28"/>
        <v>1</v>
      </c>
      <c r="CS9" s="261">
        <f t="shared" si="29"/>
        <v>-28</v>
      </c>
      <c r="CT9" s="175"/>
      <c r="CU9" s="196">
        <f t="shared" si="30"/>
        <v>-8.4</v>
      </c>
      <c r="CV9" s="259"/>
      <c r="CW9" s="199">
        <f t="shared" si="31"/>
        <v>0</v>
      </c>
      <c r="CX9" s="196">
        <f t="shared" si="32"/>
        <v>-8.4</v>
      </c>
      <c r="CY9" s="259"/>
      <c r="CZ9" s="199">
        <f t="shared" si="33"/>
        <v>0</v>
      </c>
      <c r="DA9" s="196">
        <f t="shared" si="34"/>
        <v>-8.4</v>
      </c>
      <c r="DB9" s="259"/>
      <c r="DC9" s="199">
        <f t="shared" si="35"/>
        <v>0</v>
      </c>
      <c r="DD9" s="196">
        <f t="shared" si="36"/>
        <v>-2.8000000000000003</v>
      </c>
      <c r="DE9" s="259"/>
      <c r="DF9" s="199">
        <f t="shared" si="37"/>
        <v>0</v>
      </c>
      <c r="DG9" s="175"/>
      <c r="DH9" s="196">
        <f t="shared" si="38"/>
        <v>1</v>
      </c>
      <c r="DI9" s="196">
        <f t="shared" si="39"/>
        <v>29</v>
      </c>
      <c r="DJ9" s="199">
        <f t="shared" si="40"/>
        <v>29</v>
      </c>
      <c r="DK9" s="265">
        <f t="shared" si="41"/>
        <v>-28</v>
      </c>
      <c r="DL9" s="244">
        <v>5</v>
      </c>
      <c r="DM9">
        <f t="shared" si="6"/>
        <v>0</v>
      </c>
    </row>
    <row r="10" spans="1:117" x14ac:dyDescent="0.3">
      <c r="A10" s="246">
        <v>6</v>
      </c>
      <c r="B10" s="91" t="s">
        <v>150</v>
      </c>
      <c r="C10" s="91" t="s">
        <v>118</v>
      </c>
      <c r="D10" s="91" t="s">
        <v>119</v>
      </c>
      <c r="E10" s="91" t="s">
        <v>155</v>
      </c>
      <c r="F10" s="91" t="s">
        <v>156</v>
      </c>
      <c r="G10" s="87" t="s">
        <v>122</v>
      </c>
      <c r="H10" s="87" t="s">
        <v>123</v>
      </c>
      <c r="I10" s="87" t="s">
        <v>153</v>
      </c>
      <c r="J10" s="87" t="s">
        <v>153</v>
      </c>
      <c r="K10" s="85" t="s">
        <v>104</v>
      </c>
      <c r="L10" s="85" t="s">
        <v>105</v>
      </c>
      <c r="M10" s="87" t="s">
        <v>106</v>
      </c>
      <c r="N10" s="87" t="s">
        <v>126</v>
      </c>
      <c r="O10" s="87" t="s">
        <v>127</v>
      </c>
      <c r="P10" s="97" t="s">
        <v>157</v>
      </c>
      <c r="Q10" s="87" t="s">
        <v>129</v>
      </c>
      <c r="R10" s="130">
        <v>1</v>
      </c>
      <c r="S10" s="88" t="s">
        <v>158</v>
      </c>
      <c r="T10" s="81">
        <v>1</v>
      </c>
      <c r="U10" s="81">
        <v>1</v>
      </c>
      <c r="V10" s="25">
        <f t="shared" si="42"/>
        <v>100</v>
      </c>
      <c r="W10" s="81">
        <v>0</v>
      </c>
      <c r="X10" s="81"/>
      <c r="Y10" s="25" t="e">
        <f t="shared" si="1"/>
        <v>#DIV/0!</v>
      </c>
      <c r="Z10" s="81">
        <v>0</v>
      </c>
      <c r="AA10" s="81"/>
      <c r="AB10" s="25" t="e">
        <f t="shared" si="2"/>
        <v>#DIV/0!</v>
      </c>
      <c r="AC10" s="81">
        <v>0</v>
      </c>
      <c r="AD10" s="81"/>
      <c r="AE10" s="25" t="e">
        <f t="shared" si="3"/>
        <v>#DIV/0!</v>
      </c>
      <c r="AF10" s="137">
        <f t="shared" si="7"/>
        <v>1</v>
      </c>
      <c r="AG10" s="137">
        <f t="shared" si="4"/>
        <v>1</v>
      </c>
      <c r="AH10" s="128">
        <f t="shared" si="5"/>
        <v>100</v>
      </c>
      <c r="AI10" s="90">
        <v>46113</v>
      </c>
      <c r="AJ10" s="90">
        <v>46477</v>
      </c>
      <c r="AK10" s="91" t="s">
        <v>112</v>
      </c>
      <c r="AL10" s="91" t="s">
        <v>113</v>
      </c>
      <c r="AM10" s="92" t="s">
        <v>114</v>
      </c>
      <c r="AN10" s="93"/>
      <c r="AO10" s="93"/>
      <c r="AP10" s="93"/>
      <c r="AQ10" s="94"/>
      <c r="AR10" s="91" t="s">
        <v>159</v>
      </c>
      <c r="AS10" s="91" t="s">
        <v>112</v>
      </c>
      <c r="AT10" s="150" t="s">
        <v>131</v>
      </c>
      <c r="AU10" s="165" t="s">
        <v>2264</v>
      </c>
      <c r="AV10" s="232" t="s">
        <v>2234</v>
      </c>
      <c r="AW10" s="126" t="s">
        <v>2258</v>
      </c>
      <c r="BA10" s="255"/>
      <c r="BB10" s="256"/>
      <c r="BC10" s="223" t="e">
        <f t="shared" si="8"/>
        <v>#DIV/0!</v>
      </c>
      <c r="BD10" s="255"/>
      <c r="BE10" s="256"/>
      <c r="BF10" s="223" t="e">
        <f t="shared" si="9"/>
        <v>#DIV/0!</v>
      </c>
      <c r="BG10" s="255"/>
      <c r="BH10" s="256"/>
      <c r="BI10" s="223" t="e">
        <f t="shared" si="10"/>
        <v>#DIV/0!</v>
      </c>
      <c r="BJ10" s="224">
        <f t="shared" si="11"/>
        <v>0</v>
      </c>
      <c r="BK10" s="225">
        <f t="shared" si="12"/>
        <v>0</v>
      </c>
      <c r="BL10" s="223" t="e">
        <f t="shared" si="13"/>
        <v>#DIV/0!</v>
      </c>
      <c r="BM10" s="255">
        <v>10</v>
      </c>
      <c r="BN10" s="256">
        <v>10</v>
      </c>
      <c r="BO10" s="223">
        <f t="shared" si="14"/>
        <v>1</v>
      </c>
      <c r="BP10" s="255"/>
      <c r="BQ10" s="256"/>
      <c r="BR10" s="223" t="e">
        <f t="shared" si="15"/>
        <v>#DIV/0!</v>
      </c>
      <c r="BS10" s="255"/>
      <c r="BT10" s="255"/>
      <c r="BU10" s="223" t="e">
        <f t="shared" si="16"/>
        <v>#DIV/0!</v>
      </c>
      <c r="BV10" s="224">
        <f t="shared" si="17"/>
        <v>10</v>
      </c>
      <c r="BW10" s="224">
        <f t="shared" si="18"/>
        <v>10</v>
      </c>
      <c r="BX10" s="223">
        <f t="shared" si="19"/>
        <v>1</v>
      </c>
      <c r="BY10" s="223">
        <f t="shared" si="20"/>
        <v>10</v>
      </c>
      <c r="BZ10" s="223">
        <f t="shared" si="21"/>
        <v>-10</v>
      </c>
      <c r="CA10" s="226"/>
      <c r="CB10" s="175"/>
      <c r="CC10" s="191">
        <v>45</v>
      </c>
      <c r="CD10" s="192"/>
      <c r="CE10" s="193">
        <f t="shared" si="22"/>
        <v>0</v>
      </c>
      <c r="CF10" s="191"/>
      <c r="CG10" s="192"/>
      <c r="CH10" s="193" t="e">
        <f t="shared" si="23"/>
        <v>#DIV/0!</v>
      </c>
      <c r="CI10" s="197"/>
      <c r="CJ10" s="198"/>
      <c r="CK10" s="193" t="e">
        <f t="shared" si="24"/>
        <v>#DIV/0!</v>
      </c>
      <c r="CL10" s="194">
        <f t="shared" si="25"/>
        <v>45</v>
      </c>
      <c r="CM10" s="194">
        <f t="shared" si="25"/>
        <v>0</v>
      </c>
      <c r="CN10" s="193">
        <f t="shared" si="26"/>
        <v>0</v>
      </c>
      <c r="CO10" s="175"/>
      <c r="CP10" s="196">
        <f t="shared" si="27"/>
        <v>55</v>
      </c>
      <c r="CQ10" s="196">
        <f t="shared" si="27"/>
        <v>10</v>
      </c>
      <c r="CR10" s="199">
        <f t="shared" si="28"/>
        <v>0.18181818181818182</v>
      </c>
      <c r="CS10" s="261">
        <f t="shared" si="29"/>
        <v>-9</v>
      </c>
      <c r="CT10" s="175"/>
      <c r="CU10" s="196">
        <f t="shared" si="30"/>
        <v>-2.6999999999999997</v>
      </c>
      <c r="CV10" s="259"/>
      <c r="CW10" s="199">
        <f t="shared" si="31"/>
        <v>0</v>
      </c>
      <c r="CX10" s="196">
        <f t="shared" si="32"/>
        <v>-2.6999999999999997</v>
      </c>
      <c r="CY10" s="259"/>
      <c r="CZ10" s="199">
        <f t="shared" si="33"/>
        <v>0</v>
      </c>
      <c r="DA10" s="196">
        <f t="shared" si="34"/>
        <v>-2.6999999999999997</v>
      </c>
      <c r="DB10" s="259"/>
      <c r="DC10" s="199">
        <f t="shared" si="35"/>
        <v>0</v>
      </c>
      <c r="DD10" s="196">
        <f t="shared" si="36"/>
        <v>-0.9</v>
      </c>
      <c r="DE10" s="259"/>
      <c r="DF10" s="199">
        <f t="shared" si="37"/>
        <v>0</v>
      </c>
      <c r="DG10" s="175"/>
      <c r="DH10" s="196">
        <f t="shared" si="38"/>
        <v>1</v>
      </c>
      <c r="DI10" s="196">
        <f t="shared" si="39"/>
        <v>10</v>
      </c>
      <c r="DJ10" s="199">
        <f t="shared" si="40"/>
        <v>10</v>
      </c>
      <c r="DK10" s="265">
        <f t="shared" si="41"/>
        <v>-9</v>
      </c>
      <c r="DL10" s="244">
        <v>6</v>
      </c>
      <c r="DM10">
        <f t="shared" si="6"/>
        <v>0</v>
      </c>
    </row>
    <row r="11" spans="1:117" x14ac:dyDescent="0.3">
      <c r="A11" s="246">
        <v>7</v>
      </c>
      <c r="B11" s="91" t="s">
        <v>150</v>
      </c>
      <c r="C11" s="91" t="s">
        <v>118</v>
      </c>
      <c r="D11" s="91" t="s">
        <v>119</v>
      </c>
      <c r="E11" s="91" t="s">
        <v>120</v>
      </c>
      <c r="F11" s="91" t="s">
        <v>160</v>
      </c>
      <c r="G11" s="87" t="s">
        <v>122</v>
      </c>
      <c r="H11" s="87" t="s">
        <v>161</v>
      </c>
      <c r="I11" s="87" t="s">
        <v>124</v>
      </c>
      <c r="J11" s="87" t="s">
        <v>124</v>
      </c>
      <c r="K11" s="85" t="s">
        <v>104</v>
      </c>
      <c r="L11" s="85" t="s">
        <v>105</v>
      </c>
      <c r="M11" s="87" t="s">
        <v>106</v>
      </c>
      <c r="N11" s="87" t="s">
        <v>126</v>
      </c>
      <c r="O11" s="87" t="s">
        <v>127</v>
      </c>
      <c r="P11" s="241" t="s">
        <v>162</v>
      </c>
      <c r="Q11" s="87" t="s">
        <v>129</v>
      </c>
      <c r="R11" s="130">
        <v>30</v>
      </c>
      <c r="S11" s="88" t="s">
        <v>111</v>
      </c>
      <c r="T11" s="81">
        <v>0</v>
      </c>
      <c r="U11" s="81">
        <v>0</v>
      </c>
      <c r="V11" s="25" t="e">
        <f t="shared" si="42"/>
        <v>#DIV/0!</v>
      </c>
      <c r="W11" s="81">
        <v>0</v>
      </c>
      <c r="X11" s="81">
        <v>0</v>
      </c>
      <c r="Y11" s="25" t="e">
        <f t="shared" si="1"/>
        <v>#DIV/0!</v>
      </c>
      <c r="Z11" s="81">
        <v>0</v>
      </c>
      <c r="AA11" s="81"/>
      <c r="AB11" s="25" t="e">
        <f t="shared" si="2"/>
        <v>#DIV/0!</v>
      </c>
      <c r="AC11" s="81">
        <v>30</v>
      </c>
      <c r="AD11" s="81"/>
      <c r="AE11" s="25">
        <f t="shared" si="3"/>
        <v>0</v>
      </c>
      <c r="AF11" s="137">
        <f t="shared" si="7"/>
        <v>30</v>
      </c>
      <c r="AG11" s="137">
        <f t="shared" si="4"/>
        <v>0</v>
      </c>
      <c r="AH11" s="128" t="e">
        <f t="shared" si="5"/>
        <v>#DIV/0!</v>
      </c>
      <c r="AI11" s="90">
        <v>46113</v>
      </c>
      <c r="AJ11" s="90">
        <v>46477</v>
      </c>
      <c r="AK11" s="91" t="s">
        <v>112</v>
      </c>
      <c r="AL11" s="91" t="s">
        <v>113</v>
      </c>
      <c r="AM11" s="92" t="s">
        <v>114</v>
      </c>
      <c r="AN11" s="93">
        <v>200000000</v>
      </c>
      <c r="AO11" s="93">
        <v>200000000</v>
      </c>
      <c r="AP11" s="93">
        <v>200000000</v>
      </c>
      <c r="AQ11" s="94">
        <v>0</v>
      </c>
      <c r="AR11" s="91" t="s">
        <v>159</v>
      </c>
      <c r="AS11" s="91" t="s">
        <v>112</v>
      </c>
      <c r="AT11" s="150" t="s">
        <v>131</v>
      </c>
      <c r="AU11" s="165" t="s">
        <v>2264</v>
      </c>
      <c r="AV11" s="232" t="s">
        <v>2234</v>
      </c>
      <c r="AW11" s="126" t="s">
        <v>2258</v>
      </c>
      <c r="BA11" s="255">
        <v>0</v>
      </c>
      <c r="BB11" s="256">
        <v>0</v>
      </c>
      <c r="BC11" s="223" t="e">
        <f t="shared" si="8"/>
        <v>#DIV/0!</v>
      </c>
      <c r="BD11" s="255">
        <v>0</v>
      </c>
      <c r="BE11" s="256">
        <v>0</v>
      </c>
      <c r="BF11" s="223" t="e">
        <f t="shared" si="9"/>
        <v>#DIV/0!</v>
      </c>
      <c r="BG11" s="255">
        <v>0</v>
      </c>
      <c r="BH11" s="256">
        <v>0</v>
      </c>
      <c r="BI11" s="223" t="e">
        <f t="shared" si="10"/>
        <v>#DIV/0!</v>
      </c>
      <c r="BJ11" s="224">
        <f t="shared" si="11"/>
        <v>0</v>
      </c>
      <c r="BK11" s="225">
        <f t="shared" si="12"/>
        <v>0</v>
      </c>
      <c r="BL11" s="223" t="e">
        <f t="shared" si="13"/>
        <v>#DIV/0!</v>
      </c>
      <c r="BM11" s="255">
        <v>0</v>
      </c>
      <c r="BN11" s="256">
        <v>0</v>
      </c>
      <c r="BO11" s="223" t="e">
        <f t="shared" si="14"/>
        <v>#DIV/0!</v>
      </c>
      <c r="BP11" s="255">
        <v>0</v>
      </c>
      <c r="BQ11" s="256">
        <v>0</v>
      </c>
      <c r="BR11" s="223" t="e">
        <f t="shared" si="15"/>
        <v>#DIV/0!</v>
      </c>
      <c r="BS11" s="255">
        <v>0</v>
      </c>
      <c r="BT11" s="255">
        <v>0</v>
      </c>
      <c r="BU11" s="223" t="e">
        <f t="shared" si="16"/>
        <v>#DIV/0!</v>
      </c>
      <c r="BV11" s="224">
        <f t="shared" si="17"/>
        <v>0</v>
      </c>
      <c r="BW11" s="224">
        <f t="shared" si="18"/>
        <v>0</v>
      </c>
      <c r="BX11" s="223" t="e">
        <f t="shared" si="19"/>
        <v>#DIV/0!</v>
      </c>
      <c r="BY11" s="223">
        <f t="shared" si="20"/>
        <v>0</v>
      </c>
      <c r="BZ11" s="223">
        <f t="shared" si="21"/>
        <v>0</v>
      </c>
      <c r="CA11" s="226"/>
      <c r="CB11" s="175"/>
      <c r="CC11" s="191">
        <v>0</v>
      </c>
      <c r="CD11" s="192">
        <v>0</v>
      </c>
      <c r="CE11" s="193" t="e">
        <f t="shared" si="22"/>
        <v>#DIV/0!</v>
      </c>
      <c r="CF11" s="191">
        <v>15</v>
      </c>
      <c r="CG11" s="192">
        <v>15</v>
      </c>
      <c r="CH11" s="193">
        <f t="shared" si="23"/>
        <v>1</v>
      </c>
      <c r="CI11" s="197"/>
      <c r="CJ11" s="198"/>
      <c r="CK11" s="193" t="e">
        <f t="shared" si="24"/>
        <v>#DIV/0!</v>
      </c>
      <c r="CL11" s="194">
        <f t="shared" si="25"/>
        <v>15</v>
      </c>
      <c r="CM11" s="194">
        <f t="shared" si="25"/>
        <v>15</v>
      </c>
      <c r="CN11" s="193">
        <f t="shared" si="26"/>
        <v>1</v>
      </c>
      <c r="CO11" s="175"/>
      <c r="CP11" s="196">
        <f t="shared" si="27"/>
        <v>15</v>
      </c>
      <c r="CQ11" s="196">
        <f t="shared" si="27"/>
        <v>15</v>
      </c>
      <c r="CR11" s="199">
        <f t="shared" si="28"/>
        <v>1</v>
      </c>
      <c r="CS11" s="261">
        <f t="shared" si="29"/>
        <v>15</v>
      </c>
      <c r="CT11" s="175"/>
      <c r="CU11" s="196">
        <f t="shared" si="30"/>
        <v>4.5</v>
      </c>
      <c r="CV11" s="259"/>
      <c r="CW11" s="199">
        <f t="shared" si="31"/>
        <v>0</v>
      </c>
      <c r="CX11" s="196">
        <f t="shared" si="32"/>
        <v>4.5</v>
      </c>
      <c r="CY11" s="259"/>
      <c r="CZ11" s="199">
        <f t="shared" si="33"/>
        <v>0</v>
      </c>
      <c r="DA11" s="196">
        <f t="shared" si="34"/>
        <v>4.5</v>
      </c>
      <c r="DB11" s="259"/>
      <c r="DC11" s="199">
        <f t="shared" si="35"/>
        <v>0</v>
      </c>
      <c r="DD11" s="196">
        <f t="shared" si="36"/>
        <v>1.5</v>
      </c>
      <c r="DE11" s="259"/>
      <c r="DF11" s="199">
        <f t="shared" si="37"/>
        <v>0</v>
      </c>
      <c r="DG11" s="175"/>
      <c r="DH11" s="196">
        <f t="shared" si="38"/>
        <v>30</v>
      </c>
      <c r="DI11" s="196">
        <f t="shared" si="39"/>
        <v>15</v>
      </c>
      <c r="DJ11" s="199">
        <f t="shared" si="40"/>
        <v>0.5</v>
      </c>
      <c r="DK11" s="265">
        <f t="shared" si="41"/>
        <v>15</v>
      </c>
      <c r="DL11" s="244">
        <v>7</v>
      </c>
      <c r="DM11">
        <f t="shared" si="6"/>
        <v>0</v>
      </c>
    </row>
    <row r="12" spans="1:117" x14ac:dyDescent="0.3">
      <c r="A12" s="246">
        <v>8</v>
      </c>
      <c r="B12" s="91" t="s">
        <v>150</v>
      </c>
      <c r="C12" s="91" t="s">
        <v>118</v>
      </c>
      <c r="D12" s="91" t="s">
        <v>119</v>
      </c>
      <c r="E12" s="91" t="s">
        <v>155</v>
      </c>
      <c r="F12" s="91" t="s">
        <v>160</v>
      </c>
      <c r="G12" s="87" t="s">
        <v>122</v>
      </c>
      <c r="H12" s="87" t="s">
        <v>123</v>
      </c>
      <c r="I12" s="87" t="s">
        <v>124</v>
      </c>
      <c r="J12" s="87" t="s">
        <v>124</v>
      </c>
      <c r="K12" s="85" t="s">
        <v>104</v>
      </c>
      <c r="L12" s="85" t="s">
        <v>105</v>
      </c>
      <c r="M12" s="87" t="s">
        <v>106</v>
      </c>
      <c r="N12" s="87" t="s">
        <v>126</v>
      </c>
      <c r="O12" s="87" t="s">
        <v>127</v>
      </c>
      <c r="P12" s="241" t="s">
        <v>163</v>
      </c>
      <c r="Q12" s="87" t="s">
        <v>129</v>
      </c>
      <c r="R12" s="130">
        <v>100</v>
      </c>
      <c r="S12" s="88" t="s">
        <v>158</v>
      </c>
      <c r="T12" s="81">
        <v>0</v>
      </c>
      <c r="U12" s="81">
        <v>0</v>
      </c>
      <c r="V12" s="25" t="e">
        <f t="shared" si="42"/>
        <v>#DIV/0!</v>
      </c>
      <c r="W12" s="81">
        <v>0</v>
      </c>
      <c r="X12" s="81">
        <v>0</v>
      </c>
      <c r="Y12" s="25" t="e">
        <f t="shared" si="1"/>
        <v>#DIV/0!</v>
      </c>
      <c r="Z12" s="81">
        <v>0</v>
      </c>
      <c r="AA12" s="81"/>
      <c r="AB12" s="25" t="e">
        <f t="shared" si="2"/>
        <v>#DIV/0!</v>
      </c>
      <c r="AC12" s="81">
        <v>100</v>
      </c>
      <c r="AD12" s="81"/>
      <c r="AE12" s="25">
        <f t="shared" si="3"/>
        <v>0</v>
      </c>
      <c r="AF12" s="137">
        <f t="shared" si="7"/>
        <v>100</v>
      </c>
      <c r="AG12" s="137">
        <f t="shared" si="4"/>
        <v>0</v>
      </c>
      <c r="AH12" s="128" t="e">
        <f t="shared" si="5"/>
        <v>#DIV/0!</v>
      </c>
      <c r="AI12" s="90">
        <v>46113</v>
      </c>
      <c r="AJ12" s="90">
        <v>46477</v>
      </c>
      <c r="AK12" s="91" t="s">
        <v>112</v>
      </c>
      <c r="AL12" s="91" t="s">
        <v>113</v>
      </c>
      <c r="AM12" s="92" t="s">
        <v>114</v>
      </c>
      <c r="AN12" s="93">
        <v>45000000</v>
      </c>
      <c r="AO12" s="93">
        <v>45000000</v>
      </c>
      <c r="AP12" s="93">
        <v>45000000</v>
      </c>
      <c r="AQ12" s="94">
        <v>0</v>
      </c>
      <c r="AR12" s="91" t="s">
        <v>159</v>
      </c>
      <c r="AS12" s="91" t="s">
        <v>112</v>
      </c>
      <c r="AT12" s="150" t="s">
        <v>131</v>
      </c>
      <c r="AU12" s="165" t="s">
        <v>2264</v>
      </c>
      <c r="AV12" s="232" t="s">
        <v>2234</v>
      </c>
      <c r="AW12" s="126" t="s">
        <v>2258</v>
      </c>
      <c r="BA12" s="255">
        <v>0</v>
      </c>
      <c r="BB12" s="256">
        <v>0</v>
      </c>
      <c r="BC12" s="223" t="e">
        <f t="shared" si="8"/>
        <v>#DIV/0!</v>
      </c>
      <c r="BD12" s="255">
        <v>0</v>
      </c>
      <c r="BE12" s="256">
        <v>0</v>
      </c>
      <c r="BF12" s="223" t="e">
        <f t="shared" si="9"/>
        <v>#DIV/0!</v>
      </c>
      <c r="BG12" s="255">
        <v>0</v>
      </c>
      <c r="BH12" s="256">
        <v>0</v>
      </c>
      <c r="BI12" s="223" t="e">
        <f t="shared" si="10"/>
        <v>#DIV/0!</v>
      </c>
      <c r="BJ12" s="224">
        <f t="shared" si="11"/>
        <v>0</v>
      </c>
      <c r="BK12" s="225">
        <f t="shared" si="12"/>
        <v>0</v>
      </c>
      <c r="BL12" s="223" t="e">
        <f t="shared" si="13"/>
        <v>#DIV/0!</v>
      </c>
      <c r="BM12" s="255">
        <v>0</v>
      </c>
      <c r="BN12" s="256">
        <v>0</v>
      </c>
      <c r="BO12" s="223" t="e">
        <f t="shared" si="14"/>
        <v>#DIV/0!</v>
      </c>
      <c r="BP12" s="255">
        <v>0</v>
      </c>
      <c r="BQ12" s="256">
        <v>0</v>
      </c>
      <c r="BR12" s="223" t="e">
        <f t="shared" si="15"/>
        <v>#DIV/0!</v>
      </c>
      <c r="BS12" s="255">
        <v>0</v>
      </c>
      <c r="BT12" s="255">
        <v>0</v>
      </c>
      <c r="BU12" s="223" t="e">
        <f t="shared" si="16"/>
        <v>#DIV/0!</v>
      </c>
      <c r="BV12" s="224">
        <f t="shared" si="17"/>
        <v>0</v>
      </c>
      <c r="BW12" s="224">
        <f t="shared" si="18"/>
        <v>0</v>
      </c>
      <c r="BX12" s="223" t="e">
        <f t="shared" si="19"/>
        <v>#DIV/0!</v>
      </c>
      <c r="BY12" s="223">
        <f t="shared" si="20"/>
        <v>0</v>
      </c>
      <c r="BZ12" s="223">
        <f t="shared" si="21"/>
        <v>0</v>
      </c>
      <c r="CA12" s="226"/>
      <c r="CB12" s="175"/>
      <c r="CC12" s="191"/>
      <c r="CD12" s="192"/>
      <c r="CE12" s="193" t="e">
        <f t="shared" si="22"/>
        <v>#DIV/0!</v>
      </c>
      <c r="CF12" s="191">
        <v>100</v>
      </c>
      <c r="CG12" s="192">
        <v>100</v>
      </c>
      <c r="CH12" s="193">
        <f t="shared" si="23"/>
        <v>1</v>
      </c>
      <c r="CI12" s="197"/>
      <c r="CJ12" s="198"/>
      <c r="CK12" s="193" t="e">
        <f t="shared" si="24"/>
        <v>#DIV/0!</v>
      </c>
      <c r="CL12" s="194">
        <f t="shared" si="25"/>
        <v>100</v>
      </c>
      <c r="CM12" s="194">
        <f t="shared" si="25"/>
        <v>100</v>
      </c>
      <c r="CN12" s="193">
        <f t="shared" si="26"/>
        <v>1</v>
      </c>
      <c r="CO12" s="175"/>
      <c r="CP12" s="196">
        <f t="shared" si="27"/>
        <v>100</v>
      </c>
      <c r="CQ12" s="196">
        <f t="shared" si="27"/>
        <v>100</v>
      </c>
      <c r="CR12" s="199">
        <f t="shared" si="28"/>
        <v>1</v>
      </c>
      <c r="CS12" s="261">
        <f t="shared" si="29"/>
        <v>0</v>
      </c>
      <c r="CT12" s="175"/>
      <c r="CU12" s="196">
        <f t="shared" si="30"/>
        <v>0</v>
      </c>
      <c r="CV12" s="259"/>
      <c r="CW12" s="199" t="e">
        <f t="shared" si="31"/>
        <v>#DIV/0!</v>
      </c>
      <c r="CX12" s="196">
        <f t="shared" si="32"/>
        <v>0</v>
      </c>
      <c r="CY12" s="259"/>
      <c r="CZ12" s="199" t="e">
        <f t="shared" si="33"/>
        <v>#DIV/0!</v>
      </c>
      <c r="DA12" s="196">
        <f t="shared" si="34"/>
        <v>0</v>
      </c>
      <c r="DB12" s="259"/>
      <c r="DC12" s="199" t="e">
        <f t="shared" si="35"/>
        <v>#DIV/0!</v>
      </c>
      <c r="DD12" s="196">
        <f t="shared" si="36"/>
        <v>0</v>
      </c>
      <c r="DE12" s="259"/>
      <c r="DF12" s="199" t="e">
        <f t="shared" si="37"/>
        <v>#DIV/0!</v>
      </c>
      <c r="DG12" s="175"/>
      <c r="DH12" s="196">
        <f t="shared" si="38"/>
        <v>100</v>
      </c>
      <c r="DI12" s="196">
        <f t="shared" si="39"/>
        <v>100</v>
      </c>
      <c r="DJ12" s="199">
        <f t="shared" si="40"/>
        <v>1</v>
      </c>
      <c r="DK12" s="265">
        <f t="shared" si="41"/>
        <v>0</v>
      </c>
      <c r="DL12" s="244">
        <v>8</v>
      </c>
      <c r="DM12">
        <f t="shared" si="6"/>
        <v>0</v>
      </c>
    </row>
    <row r="13" spans="1:117" x14ac:dyDescent="0.3">
      <c r="A13" s="246">
        <v>9</v>
      </c>
      <c r="B13" s="91" t="s">
        <v>150</v>
      </c>
      <c r="C13" s="91" t="s">
        <v>133</v>
      </c>
      <c r="D13" s="91" t="s">
        <v>119</v>
      </c>
      <c r="E13" s="91" t="s">
        <v>134</v>
      </c>
      <c r="F13" s="91" t="s">
        <v>151</v>
      </c>
      <c r="G13" s="87" t="s">
        <v>164</v>
      </c>
      <c r="H13" s="87" t="s">
        <v>165</v>
      </c>
      <c r="I13" s="87" t="s">
        <v>153</v>
      </c>
      <c r="J13" s="87" t="s">
        <v>153</v>
      </c>
      <c r="K13" s="85" t="s">
        <v>104</v>
      </c>
      <c r="L13" s="85" t="s">
        <v>105</v>
      </c>
      <c r="M13" s="87" t="s">
        <v>106</v>
      </c>
      <c r="N13" s="87" t="s">
        <v>126</v>
      </c>
      <c r="O13" s="87" t="s">
        <v>127</v>
      </c>
      <c r="P13" s="87" t="s">
        <v>166</v>
      </c>
      <c r="Q13" s="87" t="s">
        <v>129</v>
      </c>
      <c r="R13" s="130">
        <v>1</v>
      </c>
      <c r="S13" s="88" t="s">
        <v>111</v>
      </c>
      <c r="T13" s="81">
        <v>0</v>
      </c>
      <c r="U13" s="81">
        <v>0</v>
      </c>
      <c r="V13" s="25" t="e">
        <f t="shared" si="42"/>
        <v>#DIV/0!</v>
      </c>
      <c r="W13" s="81">
        <v>1</v>
      </c>
      <c r="X13" s="81">
        <v>1</v>
      </c>
      <c r="Y13" s="25">
        <f t="shared" si="1"/>
        <v>100</v>
      </c>
      <c r="Z13" s="81">
        <v>0</v>
      </c>
      <c r="AA13" s="81"/>
      <c r="AB13" s="25" t="e">
        <f t="shared" si="2"/>
        <v>#DIV/0!</v>
      </c>
      <c r="AC13" s="81">
        <v>0</v>
      </c>
      <c r="AD13" s="81"/>
      <c r="AE13" s="25" t="e">
        <f t="shared" si="3"/>
        <v>#DIV/0!</v>
      </c>
      <c r="AF13" s="137">
        <f t="shared" si="7"/>
        <v>1</v>
      </c>
      <c r="AG13" s="137">
        <f t="shared" si="4"/>
        <v>1</v>
      </c>
      <c r="AH13" s="128">
        <f t="shared" si="5"/>
        <v>100</v>
      </c>
      <c r="AI13" s="90">
        <v>46113</v>
      </c>
      <c r="AJ13" s="90">
        <v>46477</v>
      </c>
      <c r="AK13" s="91" t="s">
        <v>112</v>
      </c>
      <c r="AL13" s="91" t="s">
        <v>113</v>
      </c>
      <c r="AM13" s="92" t="s">
        <v>114</v>
      </c>
      <c r="AN13" s="93">
        <v>30000000</v>
      </c>
      <c r="AO13" s="93">
        <v>30000000</v>
      </c>
      <c r="AP13" s="93">
        <v>30000000</v>
      </c>
      <c r="AQ13" s="94">
        <f>AO13</f>
        <v>30000000</v>
      </c>
      <c r="AR13" s="91" t="s">
        <v>159</v>
      </c>
      <c r="AS13" s="91" t="s">
        <v>112</v>
      </c>
      <c r="AT13" s="150" t="s">
        <v>131</v>
      </c>
      <c r="AU13" s="165" t="s">
        <v>2264</v>
      </c>
      <c r="AV13" s="232" t="s">
        <v>2234</v>
      </c>
      <c r="AW13" s="126" t="s">
        <v>2258</v>
      </c>
      <c r="BA13" s="255">
        <v>0</v>
      </c>
      <c r="BB13" s="256">
        <v>0</v>
      </c>
      <c r="BC13" s="223" t="e">
        <f t="shared" si="8"/>
        <v>#DIV/0!</v>
      </c>
      <c r="BD13" s="255">
        <v>0</v>
      </c>
      <c r="BE13" s="256">
        <v>0</v>
      </c>
      <c r="BF13" s="223" t="e">
        <f t="shared" si="9"/>
        <v>#DIV/0!</v>
      </c>
      <c r="BG13" s="255">
        <v>0</v>
      </c>
      <c r="BH13" s="256">
        <v>0</v>
      </c>
      <c r="BI13" s="223" t="e">
        <f t="shared" si="10"/>
        <v>#DIV/0!</v>
      </c>
      <c r="BJ13" s="224">
        <f t="shared" si="11"/>
        <v>0</v>
      </c>
      <c r="BK13" s="225">
        <f t="shared" si="12"/>
        <v>0</v>
      </c>
      <c r="BL13" s="223" t="e">
        <f t="shared" si="13"/>
        <v>#DIV/0!</v>
      </c>
      <c r="BM13" s="255">
        <v>1</v>
      </c>
      <c r="BN13" s="256">
        <v>1</v>
      </c>
      <c r="BO13" s="223">
        <f t="shared" si="14"/>
        <v>1</v>
      </c>
      <c r="BP13" s="255"/>
      <c r="BQ13" s="256"/>
      <c r="BR13" s="223" t="e">
        <f t="shared" si="15"/>
        <v>#DIV/0!</v>
      </c>
      <c r="BS13" s="255"/>
      <c r="BT13" s="255"/>
      <c r="BU13" s="223" t="e">
        <f t="shared" si="16"/>
        <v>#DIV/0!</v>
      </c>
      <c r="BV13" s="224">
        <f t="shared" si="17"/>
        <v>1</v>
      </c>
      <c r="BW13" s="224">
        <f t="shared" si="18"/>
        <v>1</v>
      </c>
      <c r="BX13" s="223">
        <f t="shared" si="19"/>
        <v>1</v>
      </c>
      <c r="BY13" s="223">
        <f t="shared" si="20"/>
        <v>1</v>
      </c>
      <c r="BZ13" s="223">
        <f t="shared" si="21"/>
        <v>-1</v>
      </c>
      <c r="CA13" s="226"/>
      <c r="CB13" s="175"/>
      <c r="CC13" s="191"/>
      <c r="CD13" s="192"/>
      <c r="CE13" s="193" t="e">
        <f t="shared" si="22"/>
        <v>#DIV/0!</v>
      </c>
      <c r="CF13" s="191"/>
      <c r="CG13" s="192"/>
      <c r="CH13" s="193" t="e">
        <f t="shared" si="23"/>
        <v>#DIV/0!</v>
      </c>
      <c r="CI13" s="197"/>
      <c r="CJ13" s="198"/>
      <c r="CK13" s="193" t="e">
        <f t="shared" si="24"/>
        <v>#DIV/0!</v>
      </c>
      <c r="CL13" s="195">
        <f t="shared" si="25"/>
        <v>0</v>
      </c>
      <c r="CM13" s="194">
        <f t="shared" si="25"/>
        <v>0</v>
      </c>
      <c r="CN13" s="193" t="e">
        <f t="shared" si="26"/>
        <v>#DIV/0!</v>
      </c>
      <c r="CO13" s="175"/>
      <c r="CP13" s="196">
        <f t="shared" si="27"/>
        <v>1</v>
      </c>
      <c r="CQ13" s="196">
        <f t="shared" si="27"/>
        <v>1</v>
      </c>
      <c r="CR13" s="199">
        <f t="shared" si="28"/>
        <v>1</v>
      </c>
      <c r="CS13" s="261">
        <f t="shared" si="29"/>
        <v>0</v>
      </c>
      <c r="CT13" s="175"/>
      <c r="CU13" s="196">
        <f t="shared" si="30"/>
        <v>0</v>
      </c>
      <c r="CV13" s="259"/>
      <c r="CW13" s="199" t="e">
        <f t="shared" si="31"/>
        <v>#DIV/0!</v>
      </c>
      <c r="CX13" s="196">
        <f t="shared" si="32"/>
        <v>0</v>
      </c>
      <c r="CY13" s="259"/>
      <c r="CZ13" s="199" t="e">
        <f t="shared" si="33"/>
        <v>#DIV/0!</v>
      </c>
      <c r="DA13" s="196">
        <f t="shared" si="34"/>
        <v>0</v>
      </c>
      <c r="DB13" s="259"/>
      <c r="DC13" s="199" t="e">
        <f t="shared" si="35"/>
        <v>#DIV/0!</v>
      </c>
      <c r="DD13" s="196">
        <f t="shared" si="36"/>
        <v>0</v>
      </c>
      <c r="DE13" s="259"/>
      <c r="DF13" s="199" t="e">
        <f t="shared" si="37"/>
        <v>#DIV/0!</v>
      </c>
      <c r="DG13" s="175"/>
      <c r="DH13" s="196">
        <f t="shared" si="38"/>
        <v>1</v>
      </c>
      <c r="DI13" s="196">
        <f t="shared" si="39"/>
        <v>1</v>
      </c>
      <c r="DJ13" s="199">
        <f t="shared" si="40"/>
        <v>1</v>
      </c>
      <c r="DK13" s="265">
        <f t="shared" si="41"/>
        <v>0</v>
      </c>
      <c r="DL13" s="244">
        <v>9</v>
      </c>
      <c r="DM13">
        <f t="shared" si="6"/>
        <v>0</v>
      </c>
    </row>
    <row r="14" spans="1:117" x14ac:dyDescent="0.3">
      <c r="A14" s="246">
        <v>10</v>
      </c>
      <c r="B14" s="91" t="s">
        <v>150</v>
      </c>
      <c r="C14" s="91" t="s">
        <v>118</v>
      </c>
      <c r="D14" s="91" t="s">
        <v>119</v>
      </c>
      <c r="E14" s="91" t="s">
        <v>120</v>
      </c>
      <c r="F14" s="91" t="s">
        <v>160</v>
      </c>
      <c r="G14" s="87" t="s">
        <v>122</v>
      </c>
      <c r="H14" s="87" t="s">
        <v>123</v>
      </c>
      <c r="I14" s="87" t="s">
        <v>153</v>
      </c>
      <c r="J14" s="87" t="s">
        <v>153</v>
      </c>
      <c r="K14" s="85" t="s">
        <v>104</v>
      </c>
      <c r="L14" s="85" t="s">
        <v>105</v>
      </c>
      <c r="M14" s="87" t="s">
        <v>106</v>
      </c>
      <c r="N14" s="87" t="s">
        <v>126</v>
      </c>
      <c r="O14" s="87" t="s">
        <v>127</v>
      </c>
      <c r="P14" s="97" t="s">
        <v>167</v>
      </c>
      <c r="Q14" s="87" t="s">
        <v>129</v>
      </c>
      <c r="R14" s="130">
        <v>100</v>
      </c>
      <c r="S14" s="88" t="s">
        <v>158</v>
      </c>
      <c r="T14" s="81">
        <v>10</v>
      </c>
      <c r="U14" s="81">
        <v>25</v>
      </c>
      <c r="V14" s="25">
        <f t="shared" si="42"/>
        <v>250</v>
      </c>
      <c r="W14" s="81">
        <v>30</v>
      </c>
      <c r="X14" s="81">
        <v>30</v>
      </c>
      <c r="Y14" s="25">
        <f t="shared" si="1"/>
        <v>100</v>
      </c>
      <c r="Z14" s="81">
        <v>30</v>
      </c>
      <c r="AA14" s="81"/>
      <c r="AB14" s="25">
        <f t="shared" si="2"/>
        <v>0</v>
      </c>
      <c r="AC14" s="81">
        <v>30</v>
      </c>
      <c r="AD14" s="81"/>
      <c r="AE14" s="25">
        <f t="shared" si="3"/>
        <v>0</v>
      </c>
      <c r="AF14" s="137">
        <f t="shared" si="7"/>
        <v>100</v>
      </c>
      <c r="AG14" s="137">
        <f t="shared" si="4"/>
        <v>55</v>
      </c>
      <c r="AH14" s="128">
        <f t="shared" si="5"/>
        <v>137.5</v>
      </c>
      <c r="AI14" s="90">
        <v>46054</v>
      </c>
      <c r="AJ14" s="90">
        <v>46477</v>
      </c>
      <c r="AK14" s="91" t="s">
        <v>112</v>
      </c>
      <c r="AL14" s="91" t="s">
        <v>113</v>
      </c>
      <c r="AM14" s="92" t="s">
        <v>114</v>
      </c>
      <c r="AN14" s="93"/>
      <c r="AO14" s="93"/>
      <c r="AP14" s="93"/>
      <c r="AQ14" s="94"/>
      <c r="AR14" s="91" t="s">
        <v>115</v>
      </c>
      <c r="AS14" s="91" t="s">
        <v>112</v>
      </c>
      <c r="AT14" s="150" t="s">
        <v>131</v>
      </c>
      <c r="AU14" s="165" t="s">
        <v>2264</v>
      </c>
      <c r="AV14" s="232" t="s">
        <v>2234</v>
      </c>
      <c r="AW14" s="126" t="s">
        <v>2258</v>
      </c>
      <c r="BA14" s="255">
        <v>0</v>
      </c>
      <c r="BB14" s="256">
        <v>0</v>
      </c>
      <c r="BC14" s="223" t="e">
        <f t="shared" si="8"/>
        <v>#DIV/0!</v>
      </c>
      <c r="BD14" s="255">
        <v>0</v>
      </c>
      <c r="BE14" s="256">
        <v>0</v>
      </c>
      <c r="BF14" s="223" t="e">
        <f t="shared" si="9"/>
        <v>#DIV/0!</v>
      </c>
      <c r="BG14" s="255">
        <v>10</v>
      </c>
      <c r="BH14" s="256">
        <v>10</v>
      </c>
      <c r="BI14" s="223">
        <f t="shared" si="10"/>
        <v>1</v>
      </c>
      <c r="BJ14" s="224">
        <f t="shared" si="11"/>
        <v>10</v>
      </c>
      <c r="BK14" s="225">
        <f t="shared" si="12"/>
        <v>10</v>
      </c>
      <c r="BL14" s="223">
        <f t="shared" si="13"/>
        <v>1</v>
      </c>
      <c r="BM14" s="255">
        <v>10</v>
      </c>
      <c r="BN14" s="256">
        <v>10</v>
      </c>
      <c r="BO14" s="223">
        <f t="shared" si="14"/>
        <v>1</v>
      </c>
      <c r="BP14" s="255">
        <v>10</v>
      </c>
      <c r="BQ14" s="256">
        <v>10</v>
      </c>
      <c r="BR14" s="223">
        <f t="shared" si="15"/>
        <v>1</v>
      </c>
      <c r="BS14" s="255">
        <v>10</v>
      </c>
      <c r="BT14" s="255">
        <v>10</v>
      </c>
      <c r="BU14" s="223">
        <f t="shared" si="16"/>
        <v>1</v>
      </c>
      <c r="BV14" s="224">
        <f t="shared" si="17"/>
        <v>30</v>
      </c>
      <c r="BW14" s="224">
        <f t="shared" si="18"/>
        <v>30</v>
      </c>
      <c r="BX14" s="223">
        <f t="shared" si="19"/>
        <v>1</v>
      </c>
      <c r="BY14" s="223">
        <f>+(BK14+BW14)/R14</f>
        <v>0.4</v>
      </c>
      <c r="BZ14" s="223">
        <f t="shared" si="21"/>
        <v>-0.4</v>
      </c>
      <c r="CA14" s="226"/>
      <c r="CB14" s="175"/>
      <c r="CC14" s="191">
        <v>10</v>
      </c>
      <c r="CD14" s="192">
        <v>10</v>
      </c>
      <c r="CE14" s="193">
        <f t="shared" si="22"/>
        <v>1</v>
      </c>
      <c r="CF14" s="191">
        <v>10</v>
      </c>
      <c r="CG14" s="192">
        <v>10</v>
      </c>
      <c r="CH14" s="193">
        <f t="shared" si="23"/>
        <v>1</v>
      </c>
      <c r="CI14" s="197"/>
      <c r="CJ14" s="198"/>
      <c r="CK14" s="193" t="e">
        <f t="shared" si="24"/>
        <v>#DIV/0!</v>
      </c>
      <c r="CL14" s="195">
        <f t="shared" si="25"/>
        <v>20</v>
      </c>
      <c r="CM14" s="194">
        <f t="shared" si="25"/>
        <v>20</v>
      </c>
      <c r="CN14" s="193">
        <f t="shared" si="26"/>
        <v>1</v>
      </c>
      <c r="CO14" s="175"/>
      <c r="CP14" s="196">
        <f t="shared" si="27"/>
        <v>60</v>
      </c>
      <c r="CQ14" s="196">
        <f t="shared" si="27"/>
        <v>60</v>
      </c>
      <c r="CR14" s="199">
        <f t="shared" si="28"/>
        <v>1</v>
      </c>
      <c r="CS14" s="261">
        <f t="shared" si="29"/>
        <v>40</v>
      </c>
      <c r="CT14" s="175"/>
      <c r="CU14" s="196">
        <f t="shared" si="30"/>
        <v>12</v>
      </c>
      <c r="CV14" s="259"/>
      <c r="CW14" s="199">
        <f t="shared" si="31"/>
        <v>0</v>
      </c>
      <c r="CX14" s="196">
        <f t="shared" si="32"/>
        <v>12</v>
      </c>
      <c r="CY14" s="259"/>
      <c r="CZ14" s="199">
        <f t="shared" si="33"/>
        <v>0</v>
      </c>
      <c r="DA14" s="196">
        <f t="shared" si="34"/>
        <v>12</v>
      </c>
      <c r="DB14" s="259"/>
      <c r="DC14" s="199">
        <f t="shared" si="35"/>
        <v>0</v>
      </c>
      <c r="DD14" s="196">
        <f t="shared" si="36"/>
        <v>4</v>
      </c>
      <c r="DE14" s="259"/>
      <c r="DF14" s="199">
        <f t="shared" si="37"/>
        <v>0</v>
      </c>
      <c r="DG14" s="175"/>
      <c r="DH14" s="196">
        <f t="shared" si="38"/>
        <v>100</v>
      </c>
      <c r="DI14" s="196">
        <f t="shared" si="39"/>
        <v>60</v>
      </c>
      <c r="DJ14" s="199">
        <f t="shared" si="40"/>
        <v>0.6</v>
      </c>
      <c r="DK14" s="265">
        <f t="shared" si="41"/>
        <v>40</v>
      </c>
      <c r="DL14" s="244">
        <v>10</v>
      </c>
      <c r="DM14">
        <f t="shared" si="6"/>
        <v>0</v>
      </c>
    </row>
    <row r="15" spans="1:117" x14ac:dyDescent="0.3">
      <c r="A15" s="246">
        <v>11</v>
      </c>
      <c r="B15" s="91" t="s">
        <v>150</v>
      </c>
      <c r="C15" s="91" t="s">
        <v>118</v>
      </c>
      <c r="D15" s="91" t="s">
        <v>119</v>
      </c>
      <c r="E15" s="91" t="s">
        <v>120</v>
      </c>
      <c r="F15" s="91" t="s">
        <v>160</v>
      </c>
      <c r="G15" s="87" t="s">
        <v>122</v>
      </c>
      <c r="H15" s="87" t="s">
        <v>123</v>
      </c>
      <c r="I15" s="87" t="s">
        <v>153</v>
      </c>
      <c r="J15" s="87" t="s">
        <v>153</v>
      </c>
      <c r="K15" s="85" t="s">
        <v>104</v>
      </c>
      <c r="L15" s="85" t="s">
        <v>105</v>
      </c>
      <c r="M15" s="87" t="s">
        <v>106</v>
      </c>
      <c r="N15" s="87" t="s">
        <v>126</v>
      </c>
      <c r="O15" s="87" t="s">
        <v>127</v>
      </c>
      <c r="P15" s="241" t="s">
        <v>168</v>
      </c>
      <c r="Q15" s="87" t="s">
        <v>129</v>
      </c>
      <c r="R15" s="130">
        <v>100</v>
      </c>
      <c r="S15" s="88" t="s">
        <v>158</v>
      </c>
      <c r="T15" s="81">
        <v>0</v>
      </c>
      <c r="U15" s="81">
        <v>10</v>
      </c>
      <c r="V15" s="25" t="e">
        <f t="shared" si="42"/>
        <v>#DIV/0!</v>
      </c>
      <c r="W15" s="81">
        <v>30</v>
      </c>
      <c r="X15" s="81">
        <v>30</v>
      </c>
      <c r="Y15" s="25">
        <f t="shared" si="1"/>
        <v>100</v>
      </c>
      <c r="Z15" s="81">
        <v>40</v>
      </c>
      <c r="AA15" s="81"/>
      <c r="AB15" s="25">
        <f t="shared" si="2"/>
        <v>0</v>
      </c>
      <c r="AC15" s="81">
        <v>30</v>
      </c>
      <c r="AD15" s="81"/>
      <c r="AE15" s="25">
        <f t="shared" si="3"/>
        <v>0</v>
      </c>
      <c r="AF15" s="137">
        <f t="shared" si="7"/>
        <v>100</v>
      </c>
      <c r="AG15" s="137">
        <f t="shared" si="4"/>
        <v>40</v>
      </c>
      <c r="AH15" s="128">
        <f t="shared" si="5"/>
        <v>133.33333333333331</v>
      </c>
      <c r="AI15" s="90">
        <v>46113</v>
      </c>
      <c r="AJ15" s="90">
        <v>46477</v>
      </c>
      <c r="AK15" s="91" t="s">
        <v>112</v>
      </c>
      <c r="AL15" s="91" t="s">
        <v>113</v>
      </c>
      <c r="AM15" s="92" t="s">
        <v>114</v>
      </c>
      <c r="AN15" s="93">
        <v>260000000</v>
      </c>
      <c r="AO15" s="93">
        <v>260000000</v>
      </c>
      <c r="AP15" s="93">
        <v>260000000</v>
      </c>
      <c r="AQ15" s="94">
        <v>0</v>
      </c>
      <c r="AR15" s="91" t="s">
        <v>115</v>
      </c>
      <c r="AS15" s="91" t="s">
        <v>112</v>
      </c>
      <c r="AT15" s="150" t="s">
        <v>131</v>
      </c>
      <c r="AU15" s="165" t="s">
        <v>2264</v>
      </c>
      <c r="AV15" s="232" t="s">
        <v>2234</v>
      </c>
      <c r="AW15" s="126" t="s">
        <v>2258</v>
      </c>
      <c r="BA15" s="255"/>
      <c r="BB15" s="256"/>
      <c r="BC15" s="223" t="e">
        <f t="shared" si="8"/>
        <v>#DIV/0!</v>
      </c>
      <c r="BD15" s="255"/>
      <c r="BE15" s="256"/>
      <c r="BF15" s="223" t="e">
        <f t="shared" si="9"/>
        <v>#DIV/0!</v>
      </c>
      <c r="BG15" s="255"/>
      <c r="BH15" s="256"/>
      <c r="BI15" s="223" t="e">
        <f t="shared" si="10"/>
        <v>#DIV/0!</v>
      </c>
      <c r="BJ15" s="224">
        <f t="shared" si="11"/>
        <v>0</v>
      </c>
      <c r="BK15" s="225">
        <f t="shared" si="12"/>
        <v>0</v>
      </c>
      <c r="BL15" s="223" t="e">
        <f t="shared" si="13"/>
        <v>#DIV/0!</v>
      </c>
      <c r="BM15" s="255"/>
      <c r="BN15" s="256"/>
      <c r="BO15" s="223" t="e">
        <f t="shared" si="14"/>
        <v>#DIV/0!</v>
      </c>
      <c r="BP15" s="255"/>
      <c r="BQ15" s="256"/>
      <c r="BR15" s="223" t="e">
        <f t="shared" si="15"/>
        <v>#DIV/0!</v>
      </c>
      <c r="BS15" s="255"/>
      <c r="BT15" s="255"/>
      <c r="BU15" s="223" t="e">
        <f t="shared" si="16"/>
        <v>#DIV/0!</v>
      </c>
      <c r="BV15" s="224">
        <f t="shared" si="17"/>
        <v>0</v>
      </c>
      <c r="BW15" s="224">
        <f t="shared" si="18"/>
        <v>0</v>
      </c>
      <c r="BX15" s="223" t="e">
        <f t="shared" si="19"/>
        <v>#DIV/0!</v>
      </c>
      <c r="BY15" s="223">
        <f t="shared" si="20"/>
        <v>0</v>
      </c>
      <c r="BZ15" s="223">
        <f t="shared" si="21"/>
        <v>0</v>
      </c>
      <c r="CA15" s="226"/>
      <c r="CB15" s="175"/>
      <c r="CC15" s="191"/>
      <c r="CD15" s="192"/>
      <c r="CE15" s="193" t="e">
        <f t="shared" si="22"/>
        <v>#DIV/0!</v>
      </c>
      <c r="CF15" s="191"/>
      <c r="CG15" s="192"/>
      <c r="CH15" s="193" t="e">
        <f t="shared" si="23"/>
        <v>#DIV/0!</v>
      </c>
      <c r="CI15" s="197"/>
      <c r="CJ15" s="198"/>
      <c r="CK15" s="193" t="e">
        <f t="shared" si="24"/>
        <v>#DIV/0!</v>
      </c>
      <c r="CL15" s="195">
        <f t="shared" si="25"/>
        <v>0</v>
      </c>
      <c r="CM15" s="194">
        <f t="shared" si="25"/>
        <v>0</v>
      </c>
      <c r="CN15" s="193" t="e">
        <f t="shared" si="26"/>
        <v>#DIV/0!</v>
      </c>
      <c r="CO15" s="175"/>
      <c r="CP15" s="196">
        <f t="shared" si="27"/>
        <v>0</v>
      </c>
      <c r="CQ15" s="196">
        <f t="shared" si="27"/>
        <v>0</v>
      </c>
      <c r="CR15" s="199" t="e">
        <f t="shared" si="28"/>
        <v>#DIV/0!</v>
      </c>
      <c r="CS15" s="261">
        <f t="shared" si="29"/>
        <v>100</v>
      </c>
      <c r="CT15" s="175"/>
      <c r="CU15" s="196">
        <f t="shared" si="30"/>
        <v>30</v>
      </c>
      <c r="CV15" s="259"/>
      <c r="CW15" s="199">
        <f t="shared" si="31"/>
        <v>0</v>
      </c>
      <c r="CX15" s="196">
        <f t="shared" si="32"/>
        <v>30</v>
      </c>
      <c r="CY15" s="259"/>
      <c r="CZ15" s="199">
        <f t="shared" si="33"/>
        <v>0</v>
      </c>
      <c r="DA15" s="196">
        <f t="shared" si="34"/>
        <v>30</v>
      </c>
      <c r="DB15" s="259"/>
      <c r="DC15" s="199">
        <f t="shared" si="35"/>
        <v>0</v>
      </c>
      <c r="DD15" s="196">
        <f t="shared" si="36"/>
        <v>10</v>
      </c>
      <c r="DE15" s="259"/>
      <c r="DF15" s="199">
        <f t="shared" si="37"/>
        <v>0</v>
      </c>
      <c r="DG15" s="175"/>
      <c r="DH15" s="196">
        <f t="shared" si="38"/>
        <v>100</v>
      </c>
      <c r="DI15" s="196">
        <f t="shared" si="39"/>
        <v>0</v>
      </c>
      <c r="DJ15" s="199">
        <f t="shared" si="40"/>
        <v>0</v>
      </c>
      <c r="DK15" s="265">
        <f t="shared" si="41"/>
        <v>100</v>
      </c>
      <c r="DL15" s="244">
        <v>11</v>
      </c>
      <c r="DM15">
        <f t="shared" si="6"/>
        <v>0</v>
      </c>
    </row>
    <row r="16" spans="1:117" x14ac:dyDescent="0.3">
      <c r="A16" s="246">
        <v>12</v>
      </c>
      <c r="B16" s="91" t="s">
        <v>150</v>
      </c>
      <c r="C16" s="91" t="s">
        <v>118</v>
      </c>
      <c r="D16" s="91" t="s">
        <v>119</v>
      </c>
      <c r="E16" s="91" t="s">
        <v>155</v>
      </c>
      <c r="F16" s="91" t="s">
        <v>169</v>
      </c>
      <c r="G16" s="87" t="s">
        <v>122</v>
      </c>
      <c r="H16" s="87" t="s">
        <v>123</v>
      </c>
      <c r="I16" s="87" t="s">
        <v>153</v>
      </c>
      <c r="J16" s="87" t="s">
        <v>153</v>
      </c>
      <c r="K16" s="85" t="s">
        <v>104</v>
      </c>
      <c r="L16" s="85" t="s">
        <v>105</v>
      </c>
      <c r="M16" s="87" t="s">
        <v>106</v>
      </c>
      <c r="N16" s="87" t="s">
        <v>126</v>
      </c>
      <c r="O16" s="87" t="s">
        <v>127</v>
      </c>
      <c r="P16" s="87" t="s">
        <v>170</v>
      </c>
      <c r="Q16" s="87" t="s">
        <v>129</v>
      </c>
      <c r="R16" s="130">
        <v>32</v>
      </c>
      <c r="S16" s="88" t="s">
        <v>111</v>
      </c>
      <c r="T16" s="81">
        <v>8</v>
      </c>
      <c r="U16" s="81">
        <v>6</v>
      </c>
      <c r="V16" s="25">
        <f t="shared" si="42"/>
        <v>75</v>
      </c>
      <c r="W16" s="81">
        <v>8</v>
      </c>
      <c r="X16" s="81">
        <v>8</v>
      </c>
      <c r="Y16" s="25">
        <f t="shared" si="1"/>
        <v>100</v>
      </c>
      <c r="Z16" s="81">
        <v>8</v>
      </c>
      <c r="AA16" s="81">
        <v>0</v>
      </c>
      <c r="AB16" s="25">
        <f t="shared" si="2"/>
        <v>0</v>
      </c>
      <c r="AC16" s="81">
        <v>8</v>
      </c>
      <c r="AD16" s="81"/>
      <c r="AE16" s="25">
        <f t="shared" si="3"/>
        <v>0</v>
      </c>
      <c r="AF16" s="137">
        <f t="shared" si="7"/>
        <v>32</v>
      </c>
      <c r="AG16" s="137">
        <f t="shared" si="4"/>
        <v>14</v>
      </c>
      <c r="AH16" s="128">
        <f t="shared" si="5"/>
        <v>58.333333333333336</v>
      </c>
      <c r="AI16" s="90">
        <v>46113</v>
      </c>
      <c r="AJ16" s="90">
        <v>46477</v>
      </c>
      <c r="AK16" s="91" t="s">
        <v>112</v>
      </c>
      <c r="AL16" s="91" t="s">
        <v>113</v>
      </c>
      <c r="AM16" s="92" t="s">
        <v>114</v>
      </c>
      <c r="AN16" s="93"/>
      <c r="AO16" s="93"/>
      <c r="AP16" s="93"/>
      <c r="AQ16" s="94"/>
      <c r="AR16" s="91" t="s">
        <v>115</v>
      </c>
      <c r="AS16" s="91" t="s">
        <v>112</v>
      </c>
      <c r="AT16" s="150" t="s">
        <v>131</v>
      </c>
      <c r="AU16" s="165" t="s">
        <v>2264</v>
      </c>
      <c r="AV16" s="232" t="s">
        <v>2234</v>
      </c>
      <c r="AW16" s="126" t="s">
        <v>2258</v>
      </c>
      <c r="BA16" s="255">
        <v>0</v>
      </c>
      <c r="BB16" s="256">
        <v>0</v>
      </c>
      <c r="BC16" s="223" t="e">
        <f t="shared" si="8"/>
        <v>#DIV/0!</v>
      </c>
      <c r="BD16" s="255">
        <v>0</v>
      </c>
      <c r="BE16" s="256">
        <v>0</v>
      </c>
      <c r="BF16" s="223" t="e">
        <f t="shared" si="9"/>
        <v>#DIV/0!</v>
      </c>
      <c r="BG16" s="255">
        <v>8</v>
      </c>
      <c r="BH16" s="256">
        <v>8</v>
      </c>
      <c r="BI16" s="223">
        <f t="shared" si="10"/>
        <v>1</v>
      </c>
      <c r="BJ16" s="224">
        <f t="shared" si="11"/>
        <v>8</v>
      </c>
      <c r="BK16" s="225">
        <f t="shared" si="12"/>
        <v>8</v>
      </c>
      <c r="BL16" s="223">
        <f t="shared" si="13"/>
        <v>1</v>
      </c>
      <c r="BM16" s="255">
        <v>8</v>
      </c>
      <c r="BN16" s="256">
        <v>8</v>
      </c>
      <c r="BO16" s="223">
        <f t="shared" si="14"/>
        <v>1</v>
      </c>
      <c r="BP16" s="255">
        <v>0</v>
      </c>
      <c r="BQ16" s="256">
        <v>0</v>
      </c>
      <c r="BR16" s="223" t="e">
        <f t="shared" si="15"/>
        <v>#DIV/0!</v>
      </c>
      <c r="BS16" s="255">
        <v>0</v>
      </c>
      <c r="BT16" s="255">
        <v>0</v>
      </c>
      <c r="BU16" s="223" t="e">
        <f t="shared" si="16"/>
        <v>#DIV/0!</v>
      </c>
      <c r="BV16" s="224">
        <f t="shared" si="17"/>
        <v>8</v>
      </c>
      <c r="BW16" s="224">
        <f t="shared" si="18"/>
        <v>8</v>
      </c>
      <c r="BX16" s="223">
        <f t="shared" si="19"/>
        <v>1</v>
      </c>
      <c r="BY16" s="223">
        <f t="shared" si="20"/>
        <v>0.5</v>
      </c>
      <c r="BZ16" s="223">
        <f t="shared" si="21"/>
        <v>-0.5</v>
      </c>
      <c r="CA16" s="226"/>
      <c r="CB16" s="175"/>
      <c r="CC16" s="191">
        <v>8</v>
      </c>
      <c r="CD16" s="192">
        <v>8</v>
      </c>
      <c r="CE16" s="193">
        <f t="shared" si="22"/>
        <v>1</v>
      </c>
      <c r="CF16" s="191">
        <v>0</v>
      </c>
      <c r="CG16" s="192">
        <v>0</v>
      </c>
      <c r="CH16" s="193" t="e">
        <f t="shared" si="23"/>
        <v>#DIV/0!</v>
      </c>
      <c r="CI16" s="197"/>
      <c r="CJ16" s="198"/>
      <c r="CK16" s="193" t="e">
        <f t="shared" si="24"/>
        <v>#DIV/0!</v>
      </c>
      <c r="CL16" s="195">
        <f t="shared" si="25"/>
        <v>8</v>
      </c>
      <c r="CM16" s="194">
        <f t="shared" si="25"/>
        <v>8</v>
      </c>
      <c r="CN16" s="193">
        <f t="shared" si="26"/>
        <v>1</v>
      </c>
      <c r="CO16" s="175"/>
      <c r="CP16" s="196">
        <f t="shared" si="27"/>
        <v>24</v>
      </c>
      <c r="CQ16" s="196">
        <f t="shared" si="27"/>
        <v>24</v>
      </c>
      <c r="CR16" s="199">
        <f t="shared" si="28"/>
        <v>1</v>
      </c>
      <c r="CS16" s="261">
        <f t="shared" si="29"/>
        <v>8</v>
      </c>
      <c r="CT16" s="175"/>
      <c r="CU16" s="196">
        <f t="shared" si="30"/>
        <v>2.4</v>
      </c>
      <c r="CV16" s="259"/>
      <c r="CW16" s="199">
        <f t="shared" si="31"/>
        <v>0</v>
      </c>
      <c r="CX16" s="196">
        <f t="shared" si="32"/>
        <v>2.4</v>
      </c>
      <c r="CY16" s="259"/>
      <c r="CZ16" s="199">
        <f t="shared" si="33"/>
        <v>0</v>
      </c>
      <c r="DA16" s="196">
        <f t="shared" si="34"/>
        <v>2.4</v>
      </c>
      <c r="DB16" s="259"/>
      <c r="DC16" s="199">
        <f t="shared" si="35"/>
        <v>0</v>
      </c>
      <c r="DD16" s="196">
        <f t="shared" si="36"/>
        <v>0.8</v>
      </c>
      <c r="DE16" s="259"/>
      <c r="DF16" s="199">
        <f t="shared" si="37"/>
        <v>0</v>
      </c>
      <c r="DG16" s="175"/>
      <c r="DH16" s="196">
        <f t="shared" si="38"/>
        <v>32</v>
      </c>
      <c r="DI16" s="196">
        <f t="shared" si="39"/>
        <v>24</v>
      </c>
      <c r="DJ16" s="199">
        <f t="shared" si="40"/>
        <v>0.75</v>
      </c>
      <c r="DK16" s="265">
        <f t="shared" si="41"/>
        <v>8</v>
      </c>
      <c r="DL16" s="244">
        <v>12</v>
      </c>
      <c r="DM16">
        <f t="shared" si="6"/>
        <v>0</v>
      </c>
    </row>
    <row r="17" spans="1:117" x14ac:dyDescent="0.3">
      <c r="A17" s="246">
        <v>13</v>
      </c>
      <c r="B17" s="91" t="s">
        <v>150</v>
      </c>
      <c r="C17" s="91" t="s">
        <v>118</v>
      </c>
      <c r="D17" s="91" t="s">
        <v>119</v>
      </c>
      <c r="E17" s="91" t="s">
        <v>155</v>
      </c>
      <c r="F17" s="91" t="s">
        <v>169</v>
      </c>
      <c r="G17" s="87" t="s">
        <v>122</v>
      </c>
      <c r="H17" s="87" t="s">
        <v>123</v>
      </c>
      <c r="I17" s="87" t="s">
        <v>153</v>
      </c>
      <c r="J17" s="87" t="s">
        <v>153</v>
      </c>
      <c r="K17" s="85" t="s">
        <v>104</v>
      </c>
      <c r="L17" s="85" t="s">
        <v>105</v>
      </c>
      <c r="M17" s="87" t="s">
        <v>106</v>
      </c>
      <c r="N17" s="87" t="s">
        <v>126</v>
      </c>
      <c r="O17" s="87" t="s">
        <v>127</v>
      </c>
      <c r="P17" s="87" t="s">
        <v>171</v>
      </c>
      <c r="Q17" s="87" t="s">
        <v>129</v>
      </c>
      <c r="R17" s="130">
        <v>100</v>
      </c>
      <c r="S17" s="88" t="s">
        <v>158</v>
      </c>
      <c r="T17" s="81">
        <v>10</v>
      </c>
      <c r="U17" s="81">
        <v>25</v>
      </c>
      <c r="V17" s="25">
        <f t="shared" si="42"/>
        <v>250</v>
      </c>
      <c r="W17" s="81">
        <v>30</v>
      </c>
      <c r="X17" s="81">
        <v>30</v>
      </c>
      <c r="Y17" s="25">
        <f t="shared" si="1"/>
        <v>100</v>
      </c>
      <c r="Z17" s="81">
        <v>30</v>
      </c>
      <c r="AA17" s="81"/>
      <c r="AB17" s="25">
        <f t="shared" si="2"/>
        <v>0</v>
      </c>
      <c r="AC17" s="81">
        <v>30</v>
      </c>
      <c r="AD17" s="81"/>
      <c r="AE17" s="25">
        <f t="shared" si="3"/>
        <v>0</v>
      </c>
      <c r="AF17" s="137">
        <f t="shared" si="7"/>
        <v>100</v>
      </c>
      <c r="AG17" s="137">
        <f t="shared" si="4"/>
        <v>55</v>
      </c>
      <c r="AH17" s="128">
        <f t="shared" si="5"/>
        <v>137.5</v>
      </c>
      <c r="AI17" s="90">
        <v>46113</v>
      </c>
      <c r="AJ17" s="90">
        <v>46477</v>
      </c>
      <c r="AK17" s="91" t="s">
        <v>112</v>
      </c>
      <c r="AL17" s="91" t="s">
        <v>113</v>
      </c>
      <c r="AM17" s="92" t="s">
        <v>114</v>
      </c>
      <c r="AN17" s="93"/>
      <c r="AO17" s="93"/>
      <c r="AP17" s="93"/>
      <c r="AQ17" s="94"/>
      <c r="AR17" s="91" t="s">
        <v>115</v>
      </c>
      <c r="AS17" s="91" t="s">
        <v>112</v>
      </c>
      <c r="AT17" s="150" t="s">
        <v>131</v>
      </c>
      <c r="AU17" s="165" t="s">
        <v>2264</v>
      </c>
      <c r="AV17" s="232" t="s">
        <v>2234</v>
      </c>
      <c r="AW17" s="126" t="s">
        <v>2258</v>
      </c>
      <c r="BA17" s="255">
        <v>0</v>
      </c>
      <c r="BB17" s="256">
        <v>0</v>
      </c>
      <c r="BC17" s="223" t="e">
        <f t="shared" si="8"/>
        <v>#DIV/0!</v>
      </c>
      <c r="BD17" s="255">
        <v>0</v>
      </c>
      <c r="BE17" s="256">
        <v>0</v>
      </c>
      <c r="BF17" s="223" t="e">
        <f t="shared" si="9"/>
        <v>#DIV/0!</v>
      </c>
      <c r="BG17" s="255">
        <v>10</v>
      </c>
      <c r="BH17" s="256">
        <v>10</v>
      </c>
      <c r="BI17" s="223">
        <f t="shared" si="10"/>
        <v>1</v>
      </c>
      <c r="BJ17" s="224">
        <f t="shared" si="11"/>
        <v>10</v>
      </c>
      <c r="BK17" s="225">
        <f t="shared" si="12"/>
        <v>10</v>
      </c>
      <c r="BL17" s="223">
        <f t="shared" si="13"/>
        <v>1</v>
      </c>
      <c r="BM17" s="255">
        <v>10</v>
      </c>
      <c r="BN17" s="256">
        <v>10</v>
      </c>
      <c r="BO17" s="223">
        <f t="shared" si="14"/>
        <v>1</v>
      </c>
      <c r="BP17" s="255">
        <v>10</v>
      </c>
      <c r="BQ17" s="256">
        <v>10</v>
      </c>
      <c r="BR17" s="223">
        <f t="shared" si="15"/>
        <v>1</v>
      </c>
      <c r="BS17" s="255">
        <v>10</v>
      </c>
      <c r="BT17" s="255">
        <v>10</v>
      </c>
      <c r="BU17" s="223">
        <f t="shared" si="16"/>
        <v>1</v>
      </c>
      <c r="BV17" s="224">
        <f t="shared" si="17"/>
        <v>30</v>
      </c>
      <c r="BW17" s="224">
        <f t="shared" si="18"/>
        <v>30</v>
      </c>
      <c r="BX17" s="223">
        <f t="shared" si="19"/>
        <v>1</v>
      </c>
      <c r="BY17" s="223">
        <f t="shared" si="20"/>
        <v>0.4</v>
      </c>
      <c r="BZ17" s="223">
        <f t="shared" si="21"/>
        <v>-0.4</v>
      </c>
      <c r="CA17" s="226"/>
      <c r="CB17" s="175"/>
      <c r="CC17" s="191">
        <v>10</v>
      </c>
      <c r="CD17" s="192">
        <v>10</v>
      </c>
      <c r="CE17" s="193">
        <f t="shared" si="22"/>
        <v>1</v>
      </c>
      <c r="CF17" s="191">
        <v>10</v>
      </c>
      <c r="CG17" s="192">
        <v>10</v>
      </c>
      <c r="CH17" s="193">
        <f t="shared" si="23"/>
        <v>1</v>
      </c>
      <c r="CI17" s="197"/>
      <c r="CJ17" s="198"/>
      <c r="CK17" s="193" t="e">
        <f t="shared" si="24"/>
        <v>#DIV/0!</v>
      </c>
      <c r="CL17" s="195">
        <f t="shared" si="25"/>
        <v>20</v>
      </c>
      <c r="CM17" s="194">
        <f t="shared" si="25"/>
        <v>20</v>
      </c>
      <c r="CN17" s="193">
        <f t="shared" si="26"/>
        <v>1</v>
      </c>
      <c r="CO17" s="175"/>
      <c r="CP17" s="196">
        <f t="shared" si="27"/>
        <v>60</v>
      </c>
      <c r="CQ17" s="196">
        <f t="shared" si="27"/>
        <v>60</v>
      </c>
      <c r="CR17" s="199">
        <f t="shared" si="28"/>
        <v>1</v>
      </c>
      <c r="CS17" s="261">
        <f t="shared" si="29"/>
        <v>40</v>
      </c>
      <c r="CT17" s="175"/>
      <c r="CU17" s="196">
        <f t="shared" si="30"/>
        <v>12</v>
      </c>
      <c r="CV17" s="259"/>
      <c r="CW17" s="199">
        <f t="shared" si="31"/>
        <v>0</v>
      </c>
      <c r="CX17" s="196">
        <f t="shared" si="32"/>
        <v>12</v>
      </c>
      <c r="CY17" s="259"/>
      <c r="CZ17" s="199">
        <f t="shared" si="33"/>
        <v>0</v>
      </c>
      <c r="DA17" s="196">
        <f t="shared" si="34"/>
        <v>12</v>
      </c>
      <c r="DB17" s="259"/>
      <c r="DC17" s="199">
        <f t="shared" si="35"/>
        <v>0</v>
      </c>
      <c r="DD17" s="196">
        <f t="shared" si="36"/>
        <v>4</v>
      </c>
      <c r="DE17" s="259"/>
      <c r="DF17" s="199">
        <f t="shared" si="37"/>
        <v>0</v>
      </c>
      <c r="DG17" s="175"/>
      <c r="DH17" s="196">
        <f t="shared" si="38"/>
        <v>100</v>
      </c>
      <c r="DI17" s="196">
        <f t="shared" si="39"/>
        <v>60</v>
      </c>
      <c r="DJ17" s="199">
        <f t="shared" si="40"/>
        <v>0.6</v>
      </c>
      <c r="DK17" s="265">
        <f t="shared" si="41"/>
        <v>40</v>
      </c>
      <c r="DL17" s="244">
        <v>13</v>
      </c>
      <c r="DM17">
        <f t="shared" si="6"/>
        <v>0</v>
      </c>
    </row>
    <row r="18" spans="1:117" x14ac:dyDescent="0.3">
      <c r="A18" s="246">
        <v>14</v>
      </c>
      <c r="B18" s="91" t="s">
        <v>150</v>
      </c>
      <c r="C18" s="91" t="s">
        <v>97</v>
      </c>
      <c r="D18" s="91" t="s">
        <v>98</v>
      </c>
      <c r="E18" s="91" t="s">
        <v>99</v>
      </c>
      <c r="F18" s="91" t="s">
        <v>172</v>
      </c>
      <c r="G18" s="87" t="s">
        <v>122</v>
      </c>
      <c r="H18" s="87" t="s">
        <v>123</v>
      </c>
      <c r="I18" s="87" t="s">
        <v>173</v>
      </c>
      <c r="J18" s="87" t="s">
        <v>173</v>
      </c>
      <c r="K18" s="85" t="s">
        <v>104</v>
      </c>
      <c r="L18" s="85" t="s">
        <v>105</v>
      </c>
      <c r="M18" s="87" t="s">
        <v>106</v>
      </c>
      <c r="N18" s="87" t="s">
        <v>174</v>
      </c>
      <c r="O18" s="87" t="s">
        <v>108</v>
      </c>
      <c r="P18" s="87" t="s">
        <v>175</v>
      </c>
      <c r="Q18" s="87" t="s">
        <v>110</v>
      </c>
      <c r="R18" s="130">
        <v>30000</v>
      </c>
      <c r="S18" s="88" t="s">
        <v>111</v>
      </c>
      <c r="T18" s="81">
        <v>10</v>
      </c>
      <c r="U18" s="81">
        <v>0</v>
      </c>
      <c r="V18" s="25">
        <f t="shared" si="42"/>
        <v>0</v>
      </c>
      <c r="W18" s="81">
        <v>30</v>
      </c>
      <c r="X18" s="81">
        <v>0</v>
      </c>
      <c r="Y18" s="25">
        <f t="shared" si="1"/>
        <v>0</v>
      </c>
      <c r="Z18" s="81">
        <v>30</v>
      </c>
      <c r="AA18" s="81">
        <v>0</v>
      </c>
      <c r="AB18" s="25">
        <f t="shared" si="2"/>
        <v>0</v>
      </c>
      <c r="AC18" s="81">
        <v>30</v>
      </c>
      <c r="AD18" s="81">
        <v>0</v>
      </c>
      <c r="AE18" s="25">
        <f t="shared" si="3"/>
        <v>0</v>
      </c>
      <c r="AF18" s="137">
        <f t="shared" si="7"/>
        <v>30000</v>
      </c>
      <c r="AG18" s="137">
        <f t="shared" si="4"/>
        <v>0</v>
      </c>
      <c r="AH18" s="128">
        <f t="shared" si="5"/>
        <v>0</v>
      </c>
      <c r="AI18" s="90">
        <v>46054</v>
      </c>
      <c r="AJ18" s="90">
        <v>46477</v>
      </c>
      <c r="AK18" s="91" t="s">
        <v>112</v>
      </c>
      <c r="AL18" s="91" t="s">
        <v>113</v>
      </c>
      <c r="AM18" s="92" t="s">
        <v>114</v>
      </c>
      <c r="AN18" s="93">
        <v>400000000</v>
      </c>
      <c r="AO18" s="93">
        <v>400000000</v>
      </c>
      <c r="AP18" s="93">
        <v>400000000</v>
      </c>
      <c r="AQ18" s="94">
        <v>0</v>
      </c>
      <c r="AR18" s="91" t="s">
        <v>115</v>
      </c>
      <c r="AS18" s="91" t="s">
        <v>112</v>
      </c>
      <c r="AT18" s="150" t="s">
        <v>131</v>
      </c>
      <c r="AU18" s="165" t="s">
        <v>2264</v>
      </c>
      <c r="AV18" s="232" t="s">
        <v>2234</v>
      </c>
      <c r="AW18" s="126" t="s">
        <v>2258</v>
      </c>
      <c r="BA18" s="255"/>
      <c r="BB18" s="256"/>
      <c r="BC18" s="223" t="e">
        <f t="shared" si="8"/>
        <v>#DIV/0!</v>
      </c>
      <c r="BD18" s="255"/>
      <c r="BE18" s="256"/>
      <c r="BF18" s="223" t="e">
        <f t="shared" si="9"/>
        <v>#DIV/0!</v>
      </c>
      <c r="BG18" s="255"/>
      <c r="BH18" s="256"/>
      <c r="BI18" s="223" t="e">
        <f t="shared" si="10"/>
        <v>#DIV/0!</v>
      </c>
      <c r="BJ18" s="224">
        <f t="shared" si="11"/>
        <v>0</v>
      </c>
      <c r="BK18" s="225">
        <f t="shared" si="12"/>
        <v>0</v>
      </c>
      <c r="BL18" s="223" t="e">
        <f t="shared" si="13"/>
        <v>#DIV/0!</v>
      </c>
      <c r="BM18" s="255"/>
      <c r="BN18" s="256"/>
      <c r="BO18" s="223" t="e">
        <f t="shared" si="14"/>
        <v>#DIV/0!</v>
      </c>
      <c r="BP18" s="255"/>
      <c r="BQ18" s="256"/>
      <c r="BR18" s="223" t="e">
        <f t="shared" si="15"/>
        <v>#DIV/0!</v>
      </c>
      <c r="BS18" s="255"/>
      <c r="BT18" s="255"/>
      <c r="BU18" s="223" t="e">
        <f t="shared" si="16"/>
        <v>#DIV/0!</v>
      </c>
      <c r="BV18" s="224">
        <f t="shared" si="17"/>
        <v>0</v>
      </c>
      <c r="BW18" s="224">
        <f t="shared" si="18"/>
        <v>0</v>
      </c>
      <c r="BX18" s="223" t="e">
        <f t="shared" si="19"/>
        <v>#DIV/0!</v>
      </c>
      <c r="BY18" s="223">
        <f t="shared" si="20"/>
        <v>0</v>
      </c>
      <c r="BZ18" s="223">
        <f t="shared" si="21"/>
        <v>0</v>
      </c>
      <c r="CA18" s="226"/>
      <c r="CB18" s="175"/>
      <c r="CC18" s="191"/>
      <c r="CD18" s="192"/>
      <c r="CE18" s="193" t="e">
        <f t="shared" si="22"/>
        <v>#DIV/0!</v>
      </c>
      <c r="CF18" s="191"/>
      <c r="CG18" s="192"/>
      <c r="CH18" s="193" t="e">
        <f t="shared" si="23"/>
        <v>#DIV/0!</v>
      </c>
      <c r="CI18" s="197"/>
      <c r="CJ18" s="198"/>
      <c r="CK18" s="193" t="e">
        <f t="shared" si="24"/>
        <v>#DIV/0!</v>
      </c>
      <c r="CL18" s="195">
        <f t="shared" si="25"/>
        <v>0</v>
      </c>
      <c r="CM18" s="194">
        <f t="shared" si="25"/>
        <v>0</v>
      </c>
      <c r="CN18" s="193" t="e">
        <f t="shared" si="26"/>
        <v>#DIV/0!</v>
      </c>
      <c r="CO18" s="175"/>
      <c r="CP18" s="196">
        <f t="shared" si="27"/>
        <v>0</v>
      </c>
      <c r="CQ18" s="196">
        <f t="shared" si="27"/>
        <v>0</v>
      </c>
      <c r="CR18" s="199" t="e">
        <f t="shared" si="28"/>
        <v>#DIV/0!</v>
      </c>
      <c r="CS18" s="261">
        <f t="shared" si="29"/>
        <v>30000</v>
      </c>
      <c r="CT18" s="175"/>
      <c r="CU18" s="196">
        <f t="shared" si="30"/>
        <v>9000</v>
      </c>
      <c r="CV18" s="259"/>
      <c r="CW18" s="199">
        <f t="shared" si="31"/>
        <v>0</v>
      </c>
      <c r="CX18" s="196">
        <f t="shared" si="32"/>
        <v>9000</v>
      </c>
      <c r="CY18" s="259"/>
      <c r="CZ18" s="199">
        <f t="shared" si="33"/>
        <v>0</v>
      </c>
      <c r="DA18" s="196">
        <f t="shared" si="34"/>
        <v>9000</v>
      </c>
      <c r="DB18" s="259"/>
      <c r="DC18" s="199">
        <f t="shared" si="35"/>
        <v>0</v>
      </c>
      <c r="DD18" s="196">
        <f t="shared" si="36"/>
        <v>3000</v>
      </c>
      <c r="DE18" s="259"/>
      <c r="DF18" s="199">
        <f t="shared" si="37"/>
        <v>0</v>
      </c>
      <c r="DG18" s="175"/>
      <c r="DH18" s="196">
        <f t="shared" si="38"/>
        <v>30000</v>
      </c>
      <c r="DI18" s="196">
        <f t="shared" si="39"/>
        <v>0</v>
      </c>
      <c r="DJ18" s="199">
        <f t="shared" si="40"/>
        <v>0</v>
      </c>
      <c r="DK18" s="265">
        <f t="shared" si="41"/>
        <v>30000</v>
      </c>
      <c r="DL18" s="244">
        <v>14</v>
      </c>
      <c r="DM18">
        <f t="shared" si="6"/>
        <v>0</v>
      </c>
    </row>
    <row r="19" spans="1:117" ht="26.4" x14ac:dyDescent="0.3">
      <c r="A19" s="246">
        <v>15</v>
      </c>
      <c r="B19" s="91" t="s">
        <v>150</v>
      </c>
      <c r="C19" s="91" t="s">
        <v>133</v>
      </c>
      <c r="D19" s="91" t="s">
        <v>119</v>
      </c>
      <c r="E19" s="91" t="s">
        <v>134</v>
      </c>
      <c r="F19" s="91" t="s">
        <v>176</v>
      </c>
      <c r="G19" s="87" t="s">
        <v>177</v>
      </c>
      <c r="H19" s="87" t="s">
        <v>178</v>
      </c>
      <c r="I19" s="87" t="s">
        <v>173</v>
      </c>
      <c r="J19" s="87" t="s">
        <v>173</v>
      </c>
      <c r="K19" s="85" t="s">
        <v>104</v>
      </c>
      <c r="L19" s="85" t="s">
        <v>105</v>
      </c>
      <c r="M19" s="87" t="s">
        <v>106</v>
      </c>
      <c r="N19" s="87" t="s">
        <v>126</v>
      </c>
      <c r="O19" s="87" t="s">
        <v>127</v>
      </c>
      <c r="P19" s="242" t="s">
        <v>179</v>
      </c>
      <c r="Q19" s="87" t="s">
        <v>129</v>
      </c>
      <c r="R19" s="130">
        <v>1</v>
      </c>
      <c r="S19" s="88" t="s">
        <v>111</v>
      </c>
      <c r="T19" s="81">
        <v>0</v>
      </c>
      <c r="U19" s="81">
        <v>0</v>
      </c>
      <c r="V19" s="25" t="e">
        <f t="shared" si="42"/>
        <v>#DIV/0!</v>
      </c>
      <c r="W19" s="81">
        <v>30</v>
      </c>
      <c r="X19" s="81">
        <v>0</v>
      </c>
      <c r="Y19" s="25">
        <f t="shared" si="1"/>
        <v>0</v>
      </c>
      <c r="Z19" s="81">
        <v>40</v>
      </c>
      <c r="AA19" s="81"/>
      <c r="AB19" s="25">
        <f t="shared" si="2"/>
        <v>0</v>
      </c>
      <c r="AC19" s="81">
        <v>30</v>
      </c>
      <c r="AD19" s="81"/>
      <c r="AE19" s="25">
        <f t="shared" si="3"/>
        <v>0</v>
      </c>
      <c r="AF19" s="137">
        <f t="shared" si="7"/>
        <v>1</v>
      </c>
      <c r="AG19" s="137">
        <f t="shared" si="4"/>
        <v>0</v>
      </c>
      <c r="AH19" s="128">
        <f t="shared" si="5"/>
        <v>0</v>
      </c>
      <c r="AI19" s="90">
        <v>46113</v>
      </c>
      <c r="AJ19" s="90">
        <v>46477</v>
      </c>
      <c r="AK19" s="91" t="s">
        <v>112</v>
      </c>
      <c r="AL19" s="91" t="s">
        <v>113</v>
      </c>
      <c r="AM19" s="92" t="s">
        <v>114</v>
      </c>
      <c r="AN19" s="93">
        <v>26000000</v>
      </c>
      <c r="AO19" s="93">
        <v>26000000</v>
      </c>
      <c r="AP19" s="93">
        <v>26000000</v>
      </c>
      <c r="AQ19" s="94">
        <v>0</v>
      </c>
      <c r="AR19" s="91" t="s">
        <v>115</v>
      </c>
      <c r="AS19" s="91" t="s">
        <v>112</v>
      </c>
      <c r="AT19" s="150" t="s">
        <v>131</v>
      </c>
      <c r="AU19" s="165" t="s">
        <v>2264</v>
      </c>
      <c r="AV19" s="232" t="s">
        <v>2234</v>
      </c>
      <c r="AW19" s="126" t="s">
        <v>2258</v>
      </c>
      <c r="BA19" s="255">
        <v>0</v>
      </c>
      <c r="BB19" s="256">
        <v>0</v>
      </c>
      <c r="BC19" s="223" t="e">
        <f t="shared" si="8"/>
        <v>#DIV/0!</v>
      </c>
      <c r="BD19" s="255">
        <v>0</v>
      </c>
      <c r="BE19" s="256">
        <v>0</v>
      </c>
      <c r="BF19" s="223" t="e">
        <f t="shared" si="9"/>
        <v>#DIV/0!</v>
      </c>
      <c r="BG19" s="255">
        <v>0</v>
      </c>
      <c r="BH19" s="256">
        <v>0</v>
      </c>
      <c r="BI19" s="223" t="e">
        <f t="shared" si="10"/>
        <v>#DIV/0!</v>
      </c>
      <c r="BJ19" s="224">
        <f t="shared" si="11"/>
        <v>0</v>
      </c>
      <c r="BK19" s="225">
        <f t="shared" si="12"/>
        <v>0</v>
      </c>
      <c r="BL19" s="223" t="e">
        <f t="shared" si="13"/>
        <v>#DIV/0!</v>
      </c>
      <c r="BM19" s="255">
        <v>1</v>
      </c>
      <c r="BN19" s="256">
        <v>1</v>
      </c>
      <c r="BO19" s="223">
        <f t="shared" si="14"/>
        <v>1</v>
      </c>
      <c r="BP19" s="255"/>
      <c r="BQ19" s="256"/>
      <c r="BR19" s="223" t="e">
        <f t="shared" si="15"/>
        <v>#DIV/0!</v>
      </c>
      <c r="BS19" s="255"/>
      <c r="BT19" s="255"/>
      <c r="BU19" s="223" t="e">
        <f t="shared" si="16"/>
        <v>#DIV/0!</v>
      </c>
      <c r="BV19" s="224">
        <f t="shared" si="17"/>
        <v>1</v>
      </c>
      <c r="BW19" s="224">
        <f t="shared" si="18"/>
        <v>1</v>
      </c>
      <c r="BX19" s="223">
        <f t="shared" si="19"/>
        <v>1</v>
      </c>
      <c r="BY19" s="223">
        <f t="shared" si="20"/>
        <v>1</v>
      </c>
      <c r="BZ19" s="223">
        <f t="shared" si="21"/>
        <v>-1</v>
      </c>
      <c r="CA19" s="226"/>
      <c r="CB19" s="175"/>
      <c r="CC19" s="191"/>
      <c r="CD19" s="192"/>
      <c r="CE19" s="193" t="e">
        <f t="shared" si="22"/>
        <v>#DIV/0!</v>
      </c>
      <c r="CF19" s="191"/>
      <c r="CG19" s="192"/>
      <c r="CH19" s="193" t="e">
        <f t="shared" si="23"/>
        <v>#DIV/0!</v>
      </c>
      <c r="CI19" s="197"/>
      <c r="CJ19" s="198"/>
      <c r="CK19" s="193" t="e">
        <f t="shared" si="24"/>
        <v>#DIV/0!</v>
      </c>
      <c r="CL19" s="195">
        <f t="shared" si="25"/>
        <v>0</v>
      </c>
      <c r="CM19" s="194">
        <f t="shared" si="25"/>
        <v>0</v>
      </c>
      <c r="CN19" s="193" t="e">
        <f t="shared" si="26"/>
        <v>#DIV/0!</v>
      </c>
      <c r="CO19" s="175"/>
      <c r="CP19" s="196">
        <f t="shared" si="27"/>
        <v>1</v>
      </c>
      <c r="CQ19" s="196">
        <f t="shared" si="27"/>
        <v>1</v>
      </c>
      <c r="CR19" s="199">
        <f t="shared" si="28"/>
        <v>1</v>
      </c>
      <c r="CS19" s="261">
        <f t="shared" si="29"/>
        <v>0</v>
      </c>
      <c r="CT19" s="175"/>
      <c r="CU19" s="196">
        <f t="shared" si="30"/>
        <v>0</v>
      </c>
      <c r="CV19" s="259"/>
      <c r="CW19" s="199" t="e">
        <f t="shared" si="31"/>
        <v>#DIV/0!</v>
      </c>
      <c r="CX19" s="196">
        <f t="shared" si="32"/>
        <v>0</v>
      </c>
      <c r="CY19" s="259"/>
      <c r="CZ19" s="199" t="e">
        <f t="shared" si="33"/>
        <v>#DIV/0!</v>
      </c>
      <c r="DA19" s="196">
        <f t="shared" si="34"/>
        <v>0</v>
      </c>
      <c r="DB19" s="259"/>
      <c r="DC19" s="199" t="e">
        <f t="shared" si="35"/>
        <v>#DIV/0!</v>
      </c>
      <c r="DD19" s="196">
        <f t="shared" si="36"/>
        <v>0</v>
      </c>
      <c r="DE19" s="259"/>
      <c r="DF19" s="199" t="e">
        <f t="shared" si="37"/>
        <v>#DIV/0!</v>
      </c>
      <c r="DG19" s="175"/>
      <c r="DH19" s="196">
        <f t="shared" si="38"/>
        <v>1</v>
      </c>
      <c r="DI19" s="196">
        <f t="shared" si="39"/>
        <v>1</v>
      </c>
      <c r="DJ19" s="199">
        <f t="shared" si="40"/>
        <v>1</v>
      </c>
      <c r="DK19" s="265">
        <f t="shared" si="41"/>
        <v>0</v>
      </c>
      <c r="DL19" s="244">
        <v>15</v>
      </c>
      <c r="DM19">
        <f t="shared" si="6"/>
        <v>0</v>
      </c>
    </row>
    <row r="20" spans="1:117" x14ac:dyDescent="0.3">
      <c r="A20" s="246">
        <v>16</v>
      </c>
      <c r="B20" s="91" t="s">
        <v>150</v>
      </c>
      <c r="C20" s="91" t="s">
        <v>118</v>
      </c>
      <c r="D20" s="91" t="s">
        <v>119</v>
      </c>
      <c r="E20" s="91" t="s">
        <v>155</v>
      </c>
      <c r="F20" s="91" t="s">
        <v>180</v>
      </c>
      <c r="G20" s="87" t="s">
        <v>122</v>
      </c>
      <c r="H20" s="87" t="s">
        <v>123</v>
      </c>
      <c r="I20" s="87" t="s">
        <v>153</v>
      </c>
      <c r="J20" s="87" t="s">
        <v>153</v>
      </c>
      <c r="K20" s="85" t="s">
        <v>104</v>
      </c>
      <c r="L20" s="85" t="s">
        <v>105</v>
      </c>
      <c r="M20" s="87" t="s">
        <v>106</v>
      </c>
      <c r="N20" s="87" t="s">
        <v>126</v>
      </c>
      <c r="O20" s="87" t="s">
        <v>127</v>
      </c>
      <c r="P20" s="241" t="s">
        <v>181</v>
      </c>
      <c r="Q20" s="87" t="s">
        <v>129</v>
      </c>
      <c r="R20" s="130">
        <v>1</v>
      </c>
      <c r="S20" s="88" t="s">
        <v>111</v>
      </c>
      <c r="T20" s="81">
        <v>0</v>
      </c>
      <c r="U20" s="81">
        <v>0</v>
      </c>
      <c r="V20" s="25" t="e">
        <f t="shared" si="42"/>
        <v>#DIV/0!</v>
      </c>
      <c r="W20" s="81">
        <v>0</v>
      </c>
      <c r="X20" s="81">
        <v>0</v>
      </c>
      <c r="Y20" s="25" t="e">
        <f t="shared" si="1"/>
        <v>#DIV/0!</v>
      </c>
      <c r="Z20" s="81">
        <v>1</v>
      </c>
      <c r="AA20" s="81"/>
      <c r="AB20" s="25">
        <f t="shared" si="2"/>
        <v>0</v>
      </c>
      <c r="AC20" s="81">
        <v>0</v>
      </c>
      <c r="AD20" s="81"/>
      <c r="AE20" s="25" t="e">
        <f t="shared" si="3"/>
        <v>#DIV/0!</v>
      </c>
      <c r="AF20" s="137">
        <f t="shared" si="7"/>
        <v>1</v>
      </c>
      <c r="AG20" s="137">
        <f t="shared" si="4"/>
        <v>0</v>
      </c>
      <c r="AH20" s="128" t="e">
        <f t="shared" si="5"/>
        <v>#DIV/0!</v>
      </c>
      <c r="AI20" s="90">
        <v>46054</v>
      </c>
      <c r="AJ20" s="90">
        <v>46477</v>
      </c>
      <c r="AK20" s="91" t="s">
        <v>112</v>
      </c>
      <c r="AL20" s="91" t="s">
        <v>113</v>
      </c>
      <c r="AM20" s="92" t="s">
        <v>114</v>
      </c>
      <c r="AN20" s="93">
        <v>50000000</v>
      </c>
      <c r="AO20" s="93">
        <v>50000000</v>
      </c>
      <c r="AP20" s="93">
        <v>50000000</v>
      </c>
      <c r="AQ20" s="94">
        <v>0</v>
      </c>
      <c r="AR20" s="91" t="s">
        <v>159</v>
      </c>
      <c r="AS20" s="91" t="s">
        <v>112</v>
      </c>
      <c r="AT20" s="150" t="s">
        <v>131</v>
      </c>
      <c r="AU20" s="165" t="s">
        <v>2264</v>
      </c>
      <c r="AV20" s="232" t="s">
        <v>2234</v>
      </c>
      <c r="AW20" s="126" t="s">
        <v>2258</v>
      </c>
      <c r="BA20" s="255"/>
      <c r="BB20" s="256"/>
      <c r="BC20" s="223" t="e">
        <f t="shared" si="8"/>
        <v>#DIV/0!</v>
      </c>
      <c r="BD20" s="255"/>
      <c r="BE20" s="256"/>
      <c r="BF20" s="223" t="e">
        <f t="shared" si="9"/>
        <v>#DIV/0!</v>
      </c>
      <c r="BG20" s="255"/>
      <c r="BH20" s="256"/>
      <c r="BI20" s="223" t="e">
        <f t="shared" si="10"/>
        <v>#DIV/0!</v>
      </c>
      <c r="BJ20" s="224">
        <f t="shared" si="11"/>
        <v>0</v>
      </c>
      <c r="BK20" s="225">
        <f t="shared" si="12"/>
        <v>0</v>
      </c>
      <c r="BL20" s="223" t="e">
        <f t="shared" si="13"/>
        <v>#DIV/0!</v>
      </c>
      <c r="BM20" s="255"/>
      <c r="BN20" s="256"/>
      <c r="BO20" s="223" t="e">
        <f t="shared" si="14"/>
        <v>#DIV/0!</v>
      </c>
      <c r="BP20" s="255"/>
      <c r="BQ20" s="256"/>
      <c r="BR20" s="223" t="e">
        <f t="shared" si="15"/>
        <v>#DIV/0!</v>
      </c>
      <c r="BS20" s="255"/>
      <c r="BT20" s="255"/>
      <c r="BU20" s="223" t="e">
        <f t="shared" si="16"/>
        <v>#DIV/0!</v>
      </c>
      <c r="BV20" s="224">
        <f t="shared" si="17"/>
        <v>0</v>
      </c>
      <c r="BW20" s="224">
        <f t="shared" si="18"/>
        <v>0</v>
      </c>
      <c r="BX20" s="223" t="e">
        <f t="shared" si="19"/>
        <v>#DIV/0!</v>
      </c>
      <c r="BY20" s="223">
        <f t="shared" si="20"/>
        <v>0</v>
      </c>
      <c r="BZ20" s="223">
        <f t="shared" si="21"/>
        <v>0</v>
      </c>
      <c r="CA20" s="226"/>
      <c r="CB20" s="175"/>
      <c r="CC20" s="191"/>
      <c r="CD20" s="192"/>
      <c r="CE20" s="193" t="e">
        <f t="shared" si="22"/>
        <v>#DIV/0!</v>
      </c>
      <c r="CF20" s="191">
        <v>1</v>
      </c>
      <c r="CG20" s="192">
        <v>1</v>
      </c>
      <c r="CH20" s="193">
        <f t="shared" si="23"/>
        <v>1</v>
      </c>
      <c r="CI20" s="197"/>
      <c r="CJ20" s="198"/>
      <c r="CK20" s="193" t="e">
        <f t="shared" si="24"/>
        <v>#DIV/0!</v>
      </c>
      <c r="CL20" s="195">
        <f t="shared" si="25"/>
        <v>1</v>
      </c>
      <c r="CM20" s="194">
        <f t="shared" si="25"/>
        <v>1</v>
      </c>
      <c r="CN20" s="193">
        <f t="shared" si="26"/>
        <v>1</v>
      </c>
      <c r="CO20" s="175"/>
      <c r="CP20" s="196">
        <f t="shared" si="27"/>
        <v>1</v>
      </c>
      <c r="CQ20" s="196">
        <f t="shared" si="27"/>
        <v>1</v>
      </c>
      <c r="CR20" s="199">
        <f t="shared" si="28"/>
        <v>1</v>
      </c>
      <c r="CS20" s="261">
        <f t="shared" si="29"/>
        <v>0</v>
      </c>
      <c r="CT20" s="175"/>
      <c r="CU20" s="196">
        <f t="shared" si="30"/>
        <v>0</v>
      </c>
      <c r="CV20" s="259"/>
      <c r="CW20" s="199" t="e">
        <f t="shared" si="31"/>
        <v>#DIV/0!</v>
      </c>
      <c r="CX20" s="196">
        <f t="shared" si="32"/>
        <v>0</v>
      </c>
      <c r="CY20" s="259"/>
      <c r="CZ20" s="199" t="e">
        <f t="shared" si="33"/>
        <v>#DIV/0!</v>
      </c>
      <c r="DA20" s="196">
        <f t="shared" si="34"/>
        <v>0</v>
      </c>
      <c r="DB20" s="259"/>
      <c r="DC20" s="199" t="e">
        <f t="shared" si="35"/>
        <v>#DIV/0!</v>
      </c>
      <c r="DD20" s="196">
        <f t="shared" si="36"/>
        <v>0</v>
      </c>
      <c r="DE20" s="259"/>
      <c r="DF20" s="199" t="e">
        <f t="shared" si="37"/>
        <v>#DIV/0!</v>
      </c>
      <c r="DG20" s="175"/>
      <c r="DH20" s="196">
        <f t="shared" si="38"/>
        <v>1</v>
      </c>
      <c r="DI20" s="196">
        <f t="shared" si="39"/>
        <v>1</v>
      </c>
      <c r="DJ20" s="199">
        <f t="shared" si="40"/>
        <v>1</v>
      </c>
      <c r="DK20" s="265">
        <f t="shared" si="41"/>
        <v>0</v>
      </c>
      <c r="DL20" s="244">
        <v>16</v>
      </c>
      <c r="DM20">
        <f t="shared" si="6"/>
        <v>0</v>
      </c>
    </row>
    <row r="21" spans="1:117" x14ac:dyDescent="0.3">
      <c r="A21" s="246">
        <v>17</v>
      </c>
      <c r="B21" s="91" t="s">
        <v>182</v>
      </c>
      <c r="C21" s="91" t="s">
        <v>133</v>
      </c>
      <c r="D21" s="91" t="s">
        <v>119</v>
      </c>
      <c r="E21" s="91" t="s">
        <v>134</v>
      </c>
      <c r="F21" s="91" t="s">
        <v>176</v>
      </c>
      <c r="G21" s="87" t="s">
        <v>122</v>
      </c>
      <c r="H21" s="87" t="s">
        <v>123</v>
      </c>
      <c r="I21" s="87" t="s">
        <v>173</v>
      </c>
      <c r="J21" s="87" t="s">
        <v>173</v>
      </c>
      <c r="K21" s="85" t="s">
        <v>183</v>
      </c>
      <c r="L21" s="85" t="s">
        <v>105</v>
      </c>
      <c r="M21" s="87" t="s">
        <v>106</v>
      </c>
      <c r="N21" s="87" t="s">
        <v>174</v>
      </c>
      <c r="O21" s="87" t="s">
        <v>127</v>
      </c>
      <c r="P21" s="241" t="s">
        <v>184</v>
      </c>
      <c r="Q21" s="87" t="s">
        <v>129</v>
      </c>
      <c r="R21" s="130">
        <v>1</v>
      </c>
      <c r="S21" s="88" t="s">
        <v>111</v>
      </c>
      <c r="T21" s="81">
        <v>0</v>
      </c>
      <c r="U21" s="81">
        <v>1</v>
      </c>
      <c r="V21" s="25" t="e">
        <f t="shared" si="42"/>
        <v>#DIV/0!</v>
      </c>
      <c r="W21" s="81">
        <v>1</v>
      </c>
      <c r="X21" s="81">
        <v>0</v>
      </c>
      <c r="Y21" s="25">
        <f t="shared" si="1"/>
        <v>0</v>
      </c>
      <c r="Z21" s="81">
        <v>0</v>
      </c>
      <c r="AA21" s="81">
        <v>0</v>
      </c>
      <c r="AB21" s="25">
        <v>0</v>
      </c>
      <c r="AC21" s="81">
        <v>0</v>
      </c>
      <c r="AD21" s="81">
        <v>0</v>
      </c>
      <c r="AE21" s="25" t="e">
        <f t="shared" si="3"/>
        <v>#DIV/0!</v>
      </c>
      <c r="AF21" s="137">
        <f t="shared" si="7"/>
        <v>1</v>
      </c>
      <c r="AG21" s="137">
        <f t="shared" si="4"/>
        <v>1</v>
      </c>
      <c r="AH21" s="128">
        <f t="shared" si="5"/>
        <v>100</v>
      </c>
      <c r="AI21" s="90">
        <v>46054</v>
      </c>
      <c r="AJ21" s="90">
        <v>46477</v>
      </c>
      <c r="AK21" s="91" t="s">
        <v>112</v>
      </c>
      <c r="AL21" s="91" t="s">
        <v>113</v>
      </c>
      <c r="AM21" s="92" t="s">
        <v>114</v>
      </c>
      <c r="AN21" s="93">
        <v>15000000</v>
      </c>
      <c r="AO21" s="93">
        <v>15000000</v>
      </c>
      <c r="AP21" s="93">
        <v>15000000</v>
      </c>
      <c r="AQ21" s="94">
        <f>AO21</f>
        <v>15000000</v>
      </c>
      <c r="AR21" s="91" t="s">
        <v>159</v>
      </c>
      <c r="AS21" s="91" t="s">
        <v>112</v>
      </c>
      <c r="AT21" s="150" t="s">
        <v>131</v>
      </c>
      <c r="AU21" s="165" t="s">
        <v>2264</v>
      </c>
      <c r="AV21" s="232" t="s">
        <v>2234</v>
      </c>
      <c r="AW21" s="126" t="s">
        <v>2258</v>
      </c>
      <c r="BA21" s="255"/>
      <c r="BB21" s="256"/>
      <c r="BC21" s="223" t="e">
        <f t="shared" si="8"/>
        <v>#DIV/0!</v>
      </c>
      <c r="BD21" s="255"/>
      <c r="BE21" s="256"/>
      <c r="BF21" s="223" t="e">
        <f t="shared" si="9"/>
        <v>#DIV/0!</v>
      </c>
      <c r="BG21" s="255"/>
      <c r="BH21" s="256"/>
      <c r="BI21" s="223" t="e">
        <f t="shared" si="10"/>
        <v>#DIV/0!</v>
      </c>
      <c r="BJ21" s="224">
        <f t="shared" si="11"/>
        <v>0</v>
      </c>
      <c r="BK21" s="225">
        <f t="shared" si="12"/>
        <v>0</v>
      </c>
      <c r="BL21" s="223" t="e">
        <f t="shared" si="13"/>
        <v>#DIV/0!</v>
      </c>
      <c r="BM21" s="255">
        <v>1</v>
      </c>
      <c r="BN21" s="256">
        <v>1</v>
      </c>
      <c r="BO21" s="223">
        <f t="shared" si="14"/>
        <v>1</v>
      </c>
      <c r="BP21" s="255"/>
      <c r="BQ21" s="256"/>
      <c r="BR21" s="223" t="e">
        <f t="shared" si="15"/>
        <v>#DIV/0!</v>
      </c>
      <c r="BS21" s="255"/>
      <c r="BT21" s="255"/>
      <c r="BU21" s="223" t="e">
        <f t="shared" si="16"/>
        <v>#DIV/0!</v>
      </c>
      <c r="BV21" s="224">
        <f t="shared" si="17"/>
        <v>1</v>
      </c>
      <c r="BW21" s="224">
        <f t="shared" si="18"/>
        <v>1</v>
      </c>
      <c r="BX21" s="223">
        <f t="shared" si="19"/>
        <v>1</v>
      </c>
      <c r="BY21" s="223">
        <f t="shared" si="20"/>
        <v>1</v>
      </c>
      <c r="BZ21" s="223">
        <f t="shared" si="21"/>
        <v>-1</v>
      </c>
      <c r="CA21" s="226"/>
      <c r="CB21" s="175"/>
      <c r="CC21" s="191"/>
      <c r="CD21" s="192"/>
      <c r="CE21" s="193" t="e">
        <f t="shared" si="22"/>
        <v>#DIV/0!</v>
      </c>
      <c r="CF21" s="191">
        <v>1</v>
      </c>
      <c r="CG21" s="192">
        <v>1</v>
      </c>
      <c r="CH21" s="193">
        <f t="shared" si="23"/>
        <v>1</v>
      </c>
      <c r="CI21" s="197"/>
      <c r="CJ21" s="198"/>
      <c r="CK21" s="193" t="e">
        <f t="shared" si="24"/>
        <v>#DIV/0!</v>
      </c>
      <c r="CL21" s="195">
        <f t="shared" si="25"/>
        <v>1</v>
      </c>
      <c r="CM21" s="194">
        <f t="shared" si="25"/>
        <v>1</v>
      </c>
      <c r="CN21" s="193">
        <f t="shared" si="26"/>
        <v>1</v>
      </c>
      <c r="CO21" s="175"/>
      <c r="CP21" s="196">
        <f t="shared" si="27"/>
        <v>2</v>
      </c>
      <c r="CQ21" s="196">
        <f t="shared" si="27"/>
        <v>2</v>
      </c>
      <c r="CR21" s="199">
        <f t="shared" si="28"/>
        <v>1</v>
      </c>
      <c r="CS21" s="261">
        <f t="shared" si="29"/>
        <v>-1</v>
      </c>
      <c r="CT21" s="175"/>
      <c r="CU21" s="196">
        <f t="shared" si="30"/>
        <v>-0.3</v>
      </c>
      <c r="CV21" s="259"/>
      <c r="CW21" s="199">
        <f t="shared" si="31"/>
        <v>0</v>
      </c>
      <c r="CX21" s="196">
        <f t="shared" si="32"/>
        <v>-0.3</v>
      </c>
      <c r="CY21" s="259"/>
      <c r="CZ21" s="199">
        <f t="shared" si="33"/>
        <v>0</v>
      </c>
      <c r="DA21" s="196">
        <f t="shared" si="34"/>
        <v>-0.3</v>
      </c>
      <c r="DB21" s="259"/>
      <c r="DC21" s="199">
        <f t="shared" si="35"/>
        <v>0</v>
      </c>
      <c r="DD21" s="196">
        <f t="shared" si="36"/>
        <v>-0.1</v>
      </c>
      <c r="DE21" s="259"/>
      <c r="DF21" s="199">
        <f t="shared" si="37"/>
        <v>0</v>
      </c>
      <c r="DG21" s="175"/>
      <c r="DH21" s="196">
        <f t="shared" si="38"/>
        <v>1</v>
      </c>
      <c r="DI21" s="196">
        <f t="shared" si="39"/>
        <v>2</v>
      </c>
      <c r="DJ21" s="199">
        <f t="shared" si="40"/>
        <v>2</v>
      </c>
      <c r="DK21" s="265">
        <f t="shared" si="41"/>
        <v>-1</v>
      </c>
      <c r="DL21" s="244">
        <v>17</v>
      </c>
      <c r="DM21">
        <f t="shared" si="6"/>
        <v>0</v>
      </c>
    </row>
    <row r="22" spans="1:117" x14ac:dyDescent="0.3">
      <c r="A22" s="246">
        <v>18</v>
      </c>
      <c r="B22" s="91" t="s">
        <v>182</v>
      </c>
      <c r="C22" s="91" t="s">
        <v>97</v>
      </c>
      <c r="D22" s="91" t="s">
        <v>98</v>
      </c>
      <c r="E22" s="91" t="s">
        <v>185</v>
      </c>
      <c r="F22" s="91" t="s">
        <v>121</v>
      </c>
      <c r="G22" s="87" t="s">
        <v>186</v>
      </c>
      <c r="H22" s="87" t="s">
        <v>187</v>
      </c>
      <c r="I22" s="87" t="s">
        <v>188</v>
      </c>
      <c r="J22" s="87" t="s">
        <v>188</v>
      </c>
      <c r="K22" s="85" t="s">
        <v>104</v>
      </c>
      <c r="L22" s="85" t="s">
        <v>105</v>
      </c>
      <c r="M22" s="87" t="s">
        <v>106</v>
      </c>
      <c r="N22" s="87" t="s">
        <v>189</v>
      </c>
      <c r="O22" s="87" t="s">
        <v>108</v>
      </c>
      <c r="P22" s="98" t="s">
        <v>190</v>
      </c>
      <c r="Q22" s="87" t="s">
        <v>110</v>
      </c>
      <c r="R22" s="130">
        <v>100</v>
      </c>
      <c r="S22" s="88" t="s">
        <v>158</v>
      </c>
      <c r="T22" s="81">
        <v>0</v>
      </c>
      <c r="U22" s="81">
        <v>0</v>
      </c>
      <c r="V22" s="25" t="e">
        <f t="shared" si="42"/>
        <v>#DIV/0!</v>
      </c>
      <c r="W22" s="81">
        <v>0</v>
      </c>
      <c r="X22" s="81">
        <v>5</v>
      </c>
      <c r="Y22" s="25" t="e">
        <f t="shared" si="1"/>
        <v>#DIV/0!</v>
      </c>
      <c r="Z22" s="81">
        <v>0</v>
      </c>
      <c r="AA22" s="81"/>
      <c r="AB22" s="25" t="e">
        <f t="shared" si="2"/>
        <v>#DIV/0!</v>
      </c>
      <c r="AC22" s="81">
        <v>100</v>
      </c>
      <c r="AD22" s="81"/>
      <c r="AE22" s="25">
        <f t="shared" si="3"/>
        <v>0</v>
      </c>
      <c r="AF22" s="137">
        <f t="shared" si="7"/>
        <v>100</v>
      </c>
      <c r="AG22" s="137">
        <f t="shared" si="4"/>
        <v>5</v>
      </c>
      <c r="AH22" s="128" t="e">
        <f t="shared" si="5"/>
        <v>#DIV/0!</v>
      </c>
      <c r="AI22" s="90">
        <v>46113</v>
      </c>
      <c r="AJ22" s="90">
        <v>46477</v>
      </c>
      <c r="AK22" s="91" t="s">
        <v>112</v>
      </c>
      <c r="AL22" s="91" t="s">
        <v>113</v>
      </c>
      <c r="AM22" s="92" t="s">
        <v>114</v>
      </c>
      <c r="AN22" s="93">
        <v>1600000000</v>
      </c>
      <c r="AO22" s="93">
        <v>1600000000</v>
      </c>
      <c r="AP22" s="93">
        <v>1600000000</v>
      </c>
      <c r="AQ22" s="94">
        <v>0</v>
      </c>
      <c r="AR22" s="91" t="s">
        <v>191</v>
      </c>
      <c r="AS22" s="91" t="s">
        <v>112</v>
      </c>
      <c r="AT22" s="150" t="s">
        <v>131</v>
      </c>
      <c r="AU22" s="165" t="s">
        <v>2264</v>
      </c>
      <c r="AV22" s="232" t="s">
        <v>2234</v>
      </c>
      <c r="AW22" s="126" t="s">
        <v>2258</v>
      </c>
      <c r="BA22" s="255"/>
      <c r="BB22" s="256"/>
      <c r="BC22" s="223" t="e">
        <f t="shared" si="8"/>
        <v>#DIV/0!</v>
      </c>
      <c r="BD22" s="255"/>
      <c r="BE22" s="256"/>
      <c r="BF22" s="223" t="e">
        <f t="shared" si="9"/>
        <v>#DIV/0!</v>
      </c>
      <c r="BG22" s="255"/>
      <c r="BH22" s="256"/>
      <c r="BI22" s="223" t="e">
        <f t="shared" si="10"/>
        <v>#DIV/0!</v>
      </c>
      <c r="BJ22" s="224">
        <f t="shared" si="11"/>
        <v>0</v>
      </c>
      <c r="BK22" s="225">
        <f t="shared" si="12"/>
        <v>0</v>
      </c>
      <c r="BL22" s="223" t="e">
        <f t="shared" si="13"/>
        <v>#DIV/0!</v>
      </c>
      <c r="BM22" s="255"/>
      <c r="BN22" s="256"/>
      <c r="BO22" s="223" t="e">
        <f t="shared" si="14"/>
        <v>#DIV/0!</v>
      </c>
      <c r="BP22" s="255"/>
      <c r="BQ22" s="256"/>
      <c r="BR22" s="223" t="e">
        <f t="shared" si="15"/>
        <v>#DIV/0!</v>
      </c>
      <c r="BS22" s="255"/>
      <c r="BT22" s="255"/>
      <c r="BU22" s="223" t="e">
        <f t="shared" si="16"/>
        <v>#DIV/0!</v>
      </c>
      <c r="BV22" s="224">
        <f t="shared" si="17"/>
        <v>0</v>
      </c>
      <c r="BW22" s="224">
        <f t="shared" si="18"/>
        <v>0</v>
      </c>
      <c r="BX22" s="223" t="e">
        <f t="shared" si="19"/>
        <v>#DIV/0!</v>
      </c>
      <c r="BY22" s="223">
        <f t="shared" si="20"/>
        <v>0</v>
      </c>
      <c r="BZ22" s="223">
        <f t="shared" si="21"/>
        <v>0</v>
      </c>
      <c r="CA22" s="226"/>
      <c r="CB22" s="175"/>
      <c r="CC22" s="191"/>
      <c r="CD22" s="192"/>
      <c r="CE22" s="193" t="e">
        <f t="shared" si="22"/>
        <v>#DIV/0!</v>
      </c>
      <c r="CF22" s="191"/>
      <c r="CG22" s="192"/>
      <c r="CH22" s="193" t="e">
        <f t="shared" si="23"/>
        <v>#DIV/0!</v>
      </c>
      <c r="CI22" s="197"/>
      <c r="CJ22" s="198"/>
      <c r="CK22" s="193" t="e">
        <f t="shared" si="24"/>
        <v>#DIV/0!</v>
      </c>
      <c r="CL22" s="195">
        <f t="shared" si="25"/>
        <v>0</v>
      </c>
      <c r="CM22" s="194">
        <f t="shared" si="25"/>
        <v>0</v>
      </c>
      <c r="CN22" s="193" t="e">
        <f t="shared" si="26"/>
        <v>#DIV/0!</v>
      </c>
      <c r="CO22" s="175"/>
      <c r="CP22" s="196">
        <f t="shared" si="27"/>
        <v>0</v>
      </c>
      <c r="CQ22" s="196">
        <f t="shared" si="27"/>
        <v>0</v>
      </c>
      <c r="CR22" s="199" t="e">
        <f t="shared" si="28"/>
        <v>#DIV/0!</v>
      </c>
      <c r="CS22" s="261">
        <f t="shared" si="29"/>
        <v>100</v>
      </c>
      <c r="CT22" s="175"/>
      <c r="CU22" s="196">
        <f t="shared" si="30"/>
        <v>30</v>
      </c>
      <c r="CV22" s="259"/>
      <c r="CW22" s="199">
        <f t="shared" si="31"/>
        <v>0</v>
      </c>
      <c r="CX22" s="196">
        <f t="shared" si="32"/>
        <v>30</v>
      </c>
      <c r="CY22" s="259"/>
      <c r="CZ22" s="199">
        <f t="shared" si="33"/>
        <v>0</v>
      </c>
      <c r="DA22" s="196">
        <f t="shared" si="34"/>
        <v>30</v>
      </c>
      <c r="DB22" s="259"/>
      <c r="DC22" s="199">
        <f t="shared" si="35"/>
        <v>0</v>
      </c>
      <c r="DD22" s="196">
        <f t="shared" si="36"/>
        <v>10</v>
      </c>
      <c r="DE22" s="259"/>
      <c r="DF22" s="199">
        <f t="shared" si="37"/>
        <v>0</v>
      </c>
      <c r="DG22" s="175"/>
      <c r="DH22" s="196">
        <f t="shared" si="38"/>
        <v>100</v>
      </c>
      <c r="DI22" s="196">
        <f t="shared" si="39"/>
        <v>0</v>
      </c>
      <c r="DJ22" s="199">
        <f t="shared" si="40"/>
        <v>0</v>
      </c>
      <c r="DK22" s="265">
        <f t="shared" si="41"/>
        <v>100</v>
      </c>
      <c r="DL22" s="244">
        <v>18</v>
      </c>
      <c r="DM22">
        <f t="shared" si="6"/>
        <v>0</v>
      </c>
    </row>
    <row r="23" spans="1:117" x14ac:dyDescent="0.3">
      <c r="A23" s="246">
        <v>19</v>
      </c>
      <c r="B23" s="91" t="s">
        <v>182</v>
      </c>
      <c r="C23" s="91" t="s">
        <v>97</v>
      </c>
      <c r="D23" s="91" t="s">
        <v>98</v>
      </c>
      <c r="E23" s="91" t="s">
        <v>185</v>
      </c>
      <c r="F23" s="91" t="s">
        <v>121</v>
      </c>
      <c r="G23" s="87" t="s">
        <v>186</v>
      </c>
      <c r="H23" s="87" t="s">
        <v>187</v>
      </c>
      <c r="I23" s="87" t="s">
        <v>188</v>
      </c>
      <c r="J23" s="87" t="s">
        <v>188</v>
      </c>
      <c r="K23" s="85" t="s">
        <v>104</v>
      </c>
      <c r="L23" s="85" t="s">
        <v>105</v>
      </c>
      <c r="M23" s="87" t="s">
        <v>106</v>
      </c>
      <c r="N23" s="87" t="s">
        <v>189</v>
      </c>
      <c r="O23" s="87" t="s">
        <v>108</v>
      </c>
      <c r="P23" s="98" t="s">
        <v>192</v>
      </c>
      <c r="Q23" s="87" t="s">
        <v>110</v>
      </c>
      <c r="R23" s="130">
        <v>100</v>
      </c>
      <c r="S23" s="88" t="s">
        <v>158</v>
      </c>
      <c r="T23" s="81">
        <v>33.299999999999997</v>
      </c>
      <c r="U23" s="81">
        <v>0</v>
      </c>
      <c r="V23" s="25">
        <f t="shared" si="42"/>
        <v>0</v>
      </c>
      <c r="W23" s="81">
        <v>33.299999999999997</v>
      </c>
      <c r="X23" s="81">
        <v>33.299999999999997</v>
      </c>
      <c r="Y23" s="25">
        <f t="shared" si="1"/>
        <v>100</v>
      </c>
      <c r="Z23" s="81">
        <v>33.299999999999997</v>
      </c>
      <c r="AA23" s="81"/>
      <c r="AB23" s="25">
        <f t="shared" si="2"/>
        <v>0</v>
      </c>
      <c r="AC23" s="81">
        <v>33.4</v>
      </c>
      <c r="AD23" s="81"/>
      <c r="AE23" s="25">
        <f t="shared" si="3"/>
        <v>0</v>
      </c>
      <c r="AF23" s="137">
        <f t="shared" si="7"/>
        <v>100</v>
      </c>
      <c r="AG23" s="137">
        <f t="shared" si="4"/>
        <v>33.299999999999997</v>
      </c>
      <c r="AH23" s="128">
        <f t="shared" si="5"/>
        <v>50</v>
      </c>
      <c r="AI23" s="90">
        <v>46113</v>
      </c>
      <c r="AJ23" s="90">
        <v>46477</v>
      </c>
      <c r="AK23" s="91" t="s">
        <v>112</v>
      </c>
      <c r="AL23" s="91" t="s">
        <v>113</v>
      </c>
      <c r="AM23" s="92" t="s">
        <v>114</v>
      </c>
      <c r="AN23" s="93">
        <v>700000000</v>
      </c>
      <c r="AO23" s="93">
        <v>700000000</v>
      </c>
      <c r="AP23" s="93">
        <v>700000000</v>
      </c>
      <c r="AQ23" s="94">
        <v>0</v>
      </c>
      <c r="AR23" s="91" t="s">
        <v>159</v>
      </c>
      <c r="AS23" s="91" t="s">
        <v>112</v>
      </c>
      <c r="AT23" s="150" t="s">
        <v>131</v>
      </c>
      <c r="AU23" s="165" t="s">
        <v>2264</v>
      </c>
      <c r="AV23" s="232" t="s">
        <v>2234</v>
      </c>
      <c r="AW23" s="126" t="s">
        <v>2258</v>
      </c>
      <c r="BA23" s="255"/>
      <c r="BB23" s="256"/>
      <c r="BC23" s="223" t="e">
        <f t="shared" si="8"/>
        <v>#DIV/0!</v>
      </c>
      <c r="BD23" s="255"/>
      <c r="BE23" s="256"/>
      <c r="BF23" s="223" t="e">
        <f t="shared" si="9"/>
        <v>#DIV/0!</v>
      </c>
      <c r="BG23" s="255"/>
      <c r="BH23" s="256"/>
      <c r="BI23" s="223" t="e">
        <f t="shared" si="10"/>
        <v>#DIV/0!</v>
      </c>
      <c r="BJ23" s="224">
        <f t="shared" si="11"/>
        <v>0</v>
      </c>
      <c r="BK23" s="225">
        <f t="shared" si="12"/>
        <v>0</v>
      </c>
      <c r="BL23" s="223" t="e">
        <f t="shared" si="13"/>
        <v>#DIV/0!</v>
      </c>
      <c r="BM23" s="255"/>
      <c r="BN23" s="256"/>
      <c r="BO23" s="223" t="e">
        <f t="shared" si="14"/>
        <v>#DIV/0!</v>
      </c>
      <c r="BP23" s="255"/>
      <c r="BQ23" s="256"/>
      <c r="BR23" s="223" t="e">
        <f t="shared" si="15"/>
        <v>#DIV/0!</v>
      </c>
      <c r="BS23" s="255"/>
      <c r="BT23" s="255"/>
      <c r="BU23" s="223" t="e">
        <f t="shared" si="16"/>
        <v>#DIV/0!</v>
      </c>
      <c r="BV23" s="224">
        <f t="shared" si="17"/>
        <v>0</v>
      </c>
      <c r="BW23" s="224">
        <f t="shared" si="18"/>
        <v>0</v>
      </c>
      <c r="BX23" s="223" t="e">
        <f t="shared" si="19"/>
        <v>#DIV/0!</v>
      </c>
      <c r="BY23" s="223">
        <f t="shared" si="20"/>
        <v>0</v>
      </c>
      <c r="BZ23" s="223">
        <f t="shared" si="21"/>
        <v>0</v>
      </c>
      <c r="CA23" s="226"/>
      <c r="CB23" s="175"/>
      <c r="CC23" s="191"/>
      <c r="CD23" s="192"/>
      <c r="CE23" s="193" t="e">
        <f>+CD23/CC23</f>
        <v>#DIV/0!</v>
      </c>
      <c r="CF23" s="191"/>
      <c r="CG23" s="192"/>
      <c r="CH23" s="193" t="e">
        <f>+CG23/CF23</f>
        <v>#DIV/0!</v>
      </c>
      <c r="CI23" s="197"/>
      <c r="CJ23" s="198"/>
      <c r="CK23" s="193" t="e">
        <f>+CJ23/CI23</f>
        <v>#DIV/0!</v>
      </c>
      <c r="CL23" s="195">
        <f t="shared" si="25"/>
        <v>0</v>
      </c>
      <c r="CM23" s="194">
        <f t="shared" si="25"/>
        <v>0</v>
      </c>
      <c r="CN23" s="193" t="e">
        <f t="shared" si="26"/>
        <v>#DIV/0!</v>
      </c>
      <c r="CO23" s="175"/>
      <c r="CP23" s="196">
        <f t="shared" si="27"/>
        <v>0</v>
      </c>
      <c r="CQ23" s="196">
        <f t="shared" si="27"/>
        <v>0</v>
      </c>
      <c r="CR23" s="199" t="e">
        <f t="shared" si="28"/>
        <v>#DIV/0!</v>
      </c>
      <c r="CS23" s="261">
        <f t="shared" si="29"/>
        <v>100</v>
      </c>
      <c r="CT23" s="175"/>
      <c r="CU23" s="196">
        <f t="shared" si="30"/>
        <v>30</v>
      </c>
      <c r="CV23" s="259"/>
      <c r="CW23" s="199">
        <f t="shared" si="31"/>
        <v>0</v>
      </c>
      <c r="CX23" s="196">
        <f t="shared" si="32"/>
        <v>30</v>
      </c>
      <c r="CY23" s="259"/>
      <c r="CZ23" s="199">
        <f t="shared" si="33"/>
        <v>0</v>
      </c>
      <c r="DA23" s="196">
        <f t="shared" si="34"/>
        <v>30</v>
      </c>
      <c r="DB23" s="259"/>
      <c r="DC23" s="199">
        <f t="shared" si="35"/>
        <v>0</v>
      </c>
      <c r="DD23" s="196">
        <f t="shared" si="36"/>
        <v>10</v>
      </c>
      <c r="DE23" s="259"/>
      <c r="DF23" s="199">
        <f t="shared" si="37"/>
        <v>0</v>
      </c>
      <c r="DG23" s="175"/>
      <c r="DH23" s="196">
        <f t="shared" si="38"/>
        <v>100</v>
      </c>
      <c r="DI23" s="196">
        <f t="shared" si="39"/>
        <v>0</v>
      </c>
      <c r="DJ23" s="199">
        <f t="shared" si="40"/>
        <v>0</v>
      </c>
      <c r="DK23" s="265">
        <f t="shared" si="41"/>
        <v>100</v>
      </c>
      <c r="DL23" s="244">
        <v>19</v>
      </c>
      <c r="DM23">
        <f t="shared" si="6"/>
        <v>0</v>
      </c>
    </row>
    <row r="24" spans="1:117" x14ac:dyDescent="0.3">
      <c r="A24" s="246">
        <v>20</v>
      </c>
      <c r="B24" s="91" t="s">
        <v>182</v>
      </c>
      <c r="C24" s="91" t="s">
        <v>118</v>
      </c>
      <c r="D24" s="91" t="s">
        <v>119</v>
      </c>
      <c r="E24" s="91" t="s">
        <v>155</v>
      </c>
      <c r="F24" s="91" t="s">
        <v>193</v>
      </c>
      <c r="G24" s="87" t="s">
        <v>186</v>
      </c>
      <c r="H24" s="87" t="s">
        <v>187</v>
      </c>
      <c r="I24" s="87" t="s">
        <v>188</v>
      </c>
      <c r="J24" s="87" t="s">
        <v>188</v>
      </c>
      <c r="K24" s="85" t="s">
        <v>104</v>
      </c>
      <c r="L24" s="85" t="s">
        <v>105</v>
      </c>
      <c r="M24" s="87" t="s">
        <v>106</v>
      </c>
      <c r="N24" s="87" t="s">
        <v>189</v>
      </c>
      <c r="O24" s="87" t="s">
        <v>127</v>
      </c>
      <c r="P24" s="241" t="s">
        <v>194</v>
      </c>
      <c r="Q24" s="87" t="s">
        <v>129</v>
      </c>
      <c r="R24" s="130">
        <v>100</v>
      </c>
      <c r="S24" s="88" t="s">
        <v>158</v>
      </c>
      <c r="T24" s="81">
        <v>0</v>
      </c>
      <c r="U24" s="81">
        <v>0</v>
      </c>
      <c r="V24" s="25" t="e">
        <f t="shared" si="42"/>
        <v>#DIV/0!</v>
      </c>
      <c r="W24" s="81">
        <v>0</v>
      </c>
      <c r="X24" s="81">
        <v>0</v>
      </c>
      <c r="Y24" s="25" t="e">
        <f t="shared" si="1"/>
        <v>#DIV/0!</v>
      </c>
      <c r="Z24" s="81">
        <v>100</v>
      </c>
      <c r="AA24" s="81"/>
      <c r="AB24" s="25">
        <f t="shared" si="2"/>
        <v>0</v>
      </c>
      <c r="AC24" s="81">
        <v>0</v>
      </c>
      <c r="AD24" s="81"/>
      <c r="AE24" s="25" t="e">
        <f t="shared" si="3"/>
        <v>#DIV/0!</v>
      </c>
      <c r="AF24" s="137">
        <f t="shared" ref="AF24:AF87" si="43">R24</f>
        <v>100</v>
      </c>
      <c r="AG24" s="137">
        <f t="shared" ref="AG24:AG87" si="44">U24+X24+AA24+AD24</f>
        <v>0</v>
      </c>
      <c r="AH24" s="128" t="e">
        <f t="shared" si="5"/>
        <v>#DIV/0!</v>
      </c>
      <c r="AI24" s="90">
        <v>46113</v>
      </c>
      <c r="AJ24" s="90">
        <v>46477</v>
      </c>
      <c r="AK24" s="91" t="s">
        <v>112</v>
      </c>
      <c r="AL24" s="91" t="s">
        <v>113</v>
      </c>
      <c r="AM24" s="92" t="s">
        <v>114</v>
      </c>
      <c r="AN24" s="93">
        <v>30000000</v>
      </c>
      <c r="AO24" s="93">
        <v>30000000</v>
      </c>
      <c r="AP24" s="93">
        <v>30000000</v>
      </c>
      <c r="AQ24" s="94">
        <v>0</v>
      </c>
      <c r="AR24" s="91" t="s">
        <v>159</v>
      </c>
      <c r="AS24" s="91" t="s">
        <v>112</v>
      </c>
      <c r="AT24" s="150" t="s">
        <v>131</v>
      </c>
      <c r="AU24" s="165" t="s">
        <v>2264</v>
      </c>
      <c r="AV24" s="232" t="s">
        <v>2234</v>
      </c>
      <c r="AW24" s="126" t="s">
        <v>2258</v>
      </c>
      <c r="BA24" s="255"/>
      <c r="BB24" s="256"/>
      <c r="BC24" s="223" t="e">
        <f t="shared" si="8"/>
        <v>#DIV/0!</v>
      </c>
      <c r="BD24" s="255"/>
      <c r="BE24" s="256"/>
      <c r="BF24" s="223" t="e">
        <f t="shared" si="9"/>
        <v>#DIV/0!</v>
      </c>
      <c r="BG24" s="255"/>
      <c r="BH24" s="256"/>
      <c r="BI24" s="223" t="e">
        <f t="shared" si="10"/>
        <v>#DIV/0!</v>
      </c>
      <c r="BJ24" s="224">
        <f t="shared" si="11"/>
        <v>0</v>
      </c>
      <c r="BK24" s="225">
        <f t="shared" si="12"/>
        <v>0</v>
      </c>
      <c r="BL24" s="223" t="e">
        <f t="shared" si="13"/>
        <v>#DIV/0!</v>
      </c>
      <c r="BM24" s="255"/>
      <c r="BN24" s="256"/>
      <c r="BO24" s="223" t="e">
        <f t="shared" ref="BO24:BO87" si="45">+BN24/BM24</f>
        <v>#DIV/0!</v>
      </c>
      <c r="BP24" s="255"/>
      <c r="BQ24" s="256"/>
      <c r="BR24" s="223" t="e">
        <f t="shared" ref="BR24:BR87" si="46">+BQ24/BP24</f>
        <v>#DIV/0!</v>
      </c>
      <c r="BS24" s="255"/>
      <c r="BT24" s="255"/>
      <c r="BU24" s="223" t="e">
        <f t="shared" ref="BU24:BU87" si="47">+BT24/BS24</f>
        <v>#DIV/0!</v>
      </c>
      <c r="BV24" s="224">
        <f t="shared" si="17"/>
        <v>0</v>
      </c>
      <c r="BW24" s="224">
        <f t="shared" si="18"/>
        <v>0</v>
      </c>
      <c r="BX24" s="223" t="e">
        <f t="shared" si="19"/>
        <v>#DIV/0!</v>
      </c>
      <c r="BY24" s="223">
        <f t="shared" si="20"/>
        <v>0</v>
      </c>
      <c r="BZ24" s="223">
        <f t="shared" si="21"/>
        <v>0</v>
      </c>
      <c r="CA24" s="226"/>
      <c r="CB24" s="175"/>
      <c r="CC24" s="191"/>
      <c r="CD24" s="192"/>
      <c r="CE24" s="193" t="e">
        <f t="shared" ref="CE24:CE87" si="48">+CD24/CC24</f>
        <v>#DIV/0!</v>
      </c>
      <c r="CF24" s="191"/>
      <c r="CG24" s="192"/>
      <c r="CH24" s="193" t="e">
        <f t="shared" ref="CH24:CH87" si="49">+CG24/CF24</f>
        <v>#DIV/0!</v>
      </c>
      <c r="CI24" s="197"/>
      <c r="CJ24" s="198"/>
      <c r="CK24" s="193" t="e">
        <f t="shared" ref="CK24:CK87" si="50">+CJ24/CI24</f>
        <v>#DIV/0!</v>
      </c>
      <c r="CL24" s="195">
        <f t="shared" ref="CL24:CL87" si="51">+CC24+CF24+CI24</f>
        <v>0</v>
      </c>
      <c r="CM24" s="194">
        <f t="shared" ref="CM24:CM87" si="52">+CD24+CG24+CJ24</f>
        <v>0</v>
      </c>
      <c r="CN24" s="193" t="e">
        <f t="shared" ref="CN24:CN87" si="53">+CM24/CL24</f>
        <v>#DIV/0!</v>
      </c>
      <c r="CO24" s="175"/>
      <c r="CP24" s="196">
        <f t="shared" ref="CP24:CP87" si="54">+BJ24+BV24+CL24</f>
        <v>0</v>
      </c>
      <c r="CQ24" s="196">
        <f t="shared" ref="CQ24:CQ87" si="55">+BK24+BW24+CM24</f>
        <v>0</v>
      </c>
      <c r="CR24" s="199" t="e">
        <f t="shared" ref="CR24:CR87" si="56">+CQ24/CP24</f>
        <v>#DIV/0!</v>
      </c>
      <c r="CS24" s="261">
        <f t="shared" si="29"/>
        <v>100</v>
      </c>
      <c r="CT24" s="175"/>
      <c r="CU24" s="196">
        <f t="shared" si="30"/>
        <v>30</v>
      </c>
      <c r="CV24" s="259"/>
      <c r="CW24" s="199">
        <f t="shared" si="31"/>
        <v>0</v>
      </c>
      <c r="CX24" s="196">
        <f t="shared" si="32"/>
        <v>30</v>
      </c>
      <c r="CY24" s="259"/>
      <c r="CZ24" s="199">
        <f t="shared" si="33"/>
        <v>0</v>
      </c>
      <c r="DA24" s="196">
        <f t="shared" si="34"/>
        <v>30</v>
      </c>
      <c r="DB24" s="259"/>
      <c r="DC24" s="199">
        <f t="shared" si="35"/>
        <v>0</v>
      </c>
      <c r="DD24" s="196">
        <f t="shared" si="36"/>
        <v>10</v>
      </c>
      <c r="DE24" s="259"/>
      <c r="DF24" s="199">
        <f t="shared" si="37"/>
        <v>0</v>
      </c>
      <c r="DG24" s="175"/>
      <c r="DH24" s="196">
        <f t="shared" si="38"/>
        <v>100</v>
      </c>
      <c r="DI24" s="196">
        <f t="shared" si="39"/>
        <v>0</v>
      </c>
      <c r="DJ24" s="199">
        <f t="shared" si="40"/>
        <v>0</v>
      </c>
      <c r="DK24" s="265">
        <f t="shared" si="41"/>
        <v>100</v>
      </c>
      <c r="DL24" s="244">
        <v>20</v>
      </c>
      <c r="DM24">
        <f t="shared" si="6"/>
        <v>0</v>
      </c>
    </row>
    <row r="25" spans="1:117" x14ac:dyDescent="0.3">
      <c r="A25" s="246">
        <v>21</v>
      </c>
      <c r="B25" s="91" t="s">
        <v>182</v>
      </c>
      <c r="C25" s="91" t="s">
        <v>195</v>
      </c>
      <c r="D25" s="91" t="s">
        <v>196</v>
      </c>
      <c r="E25" s="91" t="s">
        <v>99</v>
      </c>
      <c r="F25" s="91" t="s">
        <v>197</v>
      </c>
      <c r="G25" s="87" t="s">
        <v>186</v>
      </c>
      <c r="H25" s="87" t="s">
        <v>187</v>
      </c>
      <c r="I25" s="87" t="s">
        <v>188</v>
      </c>
      <c r="J25" s="87" t="s">
        <v>188</v>
      </c>
      <c r="K25" s="85" t="s">
        <v>104</v>
      </c>
      <c r="L25" s="85" t="s">
        <v>105</v>
      </c>
      <c r="M25" s="87" t="s">
        <v>106</v>
      </c>
      <c r="N25" s="87" t="s">
        <v>189</v>
      </c>
      <c r="O25" s="87" t="s">
        <v>108</v>
      </c>
      <c r="P25" s="87" t="s">
        <v>198</v>
      </c>
      <c r="Q25" s="87" t="s">
        <v>110</v>
      </c>
      <c r="R25" s="130">
        <v>100</v>
      </c>
      <c r="S25" s="88" t="s">
        <v>158</v>
      </c>
      <c r="T25" s="81">
        <v>0</v>
      </c>
      <c r="U25" s="81">
        <v>0</v>
      </c>
      <c r="V25" s="25">
        <v>0</v>
      </c>
      <c r="W25" s="81">
        <v>20</v>
      </c>
      <c r="X25" s="81">
        <v>5</v>
      </c>
      <c r="Y25" s="25">
        <f t="shared" si="1"/>
        <v>25</v>
      </c>
      <c r="Z25" s="81">
        <v>40</v>
      </c>
      <c r="AA25" s="81"/>
      <c r="AB25" s="25">
        <f t="shared" si="2"/>
        <v>0</v>
      </c>
      <c r="AC25" s="81">
        <v>40</v>
      </c>
      <c r="AD25" s="81">
        <v>0</v>
      </c>
      <c r="AE25" s="25">
        <f t="shared" si="3"/>
        <v>0</v>
      </c>
      <c r="AF25" s="137">
        <f t="shared" si="43"/>
        <v>100</v>
      </c>
      <c r="AG25" s="137">
        <f t="shared" si="44"/>
        <v>5</v>
      </c>
      <c r="AH25" s="128">
        <f t="shared" si="5"/>
        <v>8.3333333333333321</v>
      </c>
      <c r="AI25" s="90">
        <v>46113</v>
      </c>
      <c r="AJ25" s="90">
        <v>46477</v>
      </c>
      <c r="AK25" s="91" t="s">
        <v>112</v>
      </c>
      <c r="AL25" s="91" t="s">
        <v>113</v>
      </c>
      <c r="AM25" s="92" t="s">
        <v>114</v>
      </c>
      <c r="AN25" s="93">
        <v>182400000</v>
      </c>
      <c r="AO25" s="93">
        <v>182400000</v>
      </c>
      <c r="AP25" s="93">
        <v>182400000</v>
      </c>
      <c r="AQ25" s="94">
        <v>0</v>
      </c>
      <c r="AR25" s="91" t="s">
        <v>159</v>
      </c>
      <c r="AS25" s="91" t="s">
        <v>112</v>
      </c>
      <c r="AT25" s="150" t="s">
        <v>131</v>
      </c>
      <c r="AU25" s="165" t="s">
        <v>2264</v>
      </c>
      <c r="AV25" s="232" t="s">
        <v>2234</v>
      </c>
      <c r="AW25" s="126" t="s">
        <v>2258</v>
      </c>
      <c r="BA25" s="255"/>
      <c r="BB25" s="256"/>
      <c r="BC25" s="223" t="e">
        <f t="shared" si="8"/>
        <v>#DIV/0!</v>
      </c>
      <c r="BD25" s="255"/>
      <c r="BE25" s="256"/>
      <c r="BF25" s="223" t="e">
        <f t="shared" si="9"/>
        <v>#DIV/0!</v>
      </c>
      <c r="BG25" s="255"/>
      <c r="BH25" s="256"/>
      <c r="BI25" s="223" t="e">
        <f t="shared" si="10"/>
        <v>#DIV/0!</v>
      </c>
      <c r="BJ25" s="224">
        <f t="shared" si="11"/>
        <v>0</v>
      </c>
      <c r="BK25" s="225">
        <f t="shared" si="12"/>
        <v>0</v>
      </c>
      <c r="BL25" s="223" t="e">
        <f t="shared" si="13"/>
        <v>#DIV/0!</v>
      </c>
      <c r="BM25" s="255"/>
      <c r="BN25" s="256"/>
      <c r="BO25" s="223" t="e">
        <f t="shared" si="45"/>
        <v>#DIV/0!</v>
      </c>
      <c r="BP25" s="255"/>
      <c r="BQ25" s="256"/>
      <c r="BR25" s="223" t="e">
        <f t="shared" si="46"/>
        <v>#DIV/0!</v>
      </c>
      <c r="BS25" s="255"/>
      <c r="BT25" s="255"/>
      <c r="BU25" s="223" t="e">
        <f t="shared" si="47"/>
        <v>#DIV/0!</v>
      </c>
      <c r="BV25" s="224">
        <f t="shared" si="17"/>
        <v>0</v>
      </c>
      <c r="BW25" s="224">
        <f t="shared" si="18"/>
        <v>0</v>
      </c>
      <c r="BX25" s="223" t="e">
        <f t="shared" si="19"/>
        <v>#DIV/0!</v>
      </c>
      <c r="BY25" s="223">
        <f t="shared" si="20"/>
        <v>0</v>
      </c>
      <c r="BZ25" s="223">
        <f t="shared" si="21"/>
        <v>0</v>
      </c>
      <c r="CA25" s="226"/>
      <c r="CB25" s="175"/>
      <c r="CC25" s="191"/>
      <c r="CD25" s="192"/>
      <c r="CE25" s="193" t="e">
        <f t="shared" si="48"/>
        <v>#DIV/0!</v>
      </c>
      <c r="CF25" s="191"/>
      <c r="CG25" s="192"/>
      <c r="CH25" s="193" t="e">
        <f t="shared" si="49"/>
        <v>#DIV/0!</v>
      </c>
      <c r="CI25" s="197"/>
      <c r="CJ25" s="198"/>
      <c r="CK25" s="193" t="e">
        <f t="shared" si="50"/>
        <v>#DIV/0!</v>
      </c>
      <c r="CL25" s="195">
        <f t="shared" si="51"/>
        <v>0</v>
      </c>
      <c r="CM25" s="194">
        <f t="shared" si="52"/>
        <v>0</v>
      </c>
      <c r="CN25" s="193" t="e">
        <f t="shared" si="53"/>
        <v>#DIV/0!</v>
      </c>
      <c r="CO25" s="175"/>
      <c r="CP25" s="196">
        <f t="shared" si="54"/>
        <v>0</v>
      </c>
      <c r="CQ25" s="196">
        <f t="shared" si="55"/>
        <v>0</v>
      </c>
      <c r="CR25" s="199" t="e">
        <f t="shared" si="56"/>
        <v>#DIV/0!</v>
      </c>
      <c r="CS25" s="261">
        <f t="shared" si="29"/>
        <v>100</v>
      </c>
      <c r="CT25" s="175"/>
      <c r="CU25" s="196">
        <f t="shared" si="30"/>
        <v>30</v>
      </c>
      <c r="CV25" s="259"/>
      <c r="CW25" s="199">
        <f t="shared" si="31"/>
        <v>0</v>
      </c>
      <c r="CX25" s="196">
        <f t="shared" si="32"/>
        <v>30</v>
      </c>
      <c r="CY25" s="259"/>
      <c r="CZ25" s="199">
        <f t="shared" si="33"/>
        <v>0</v>
      </c>
      <c r="DA25" s="196">
        <f t="shared" si="34"/>
        <v>30</v>
      </c>
      <c r="DB25" s="259"/>
      <c r="DC25" s="199">
        <f t="shared" si="35"/>
        <v>0</v>
      </c>
      <c r="DD25" s="196">
        <f t="shared" si="36"/>
        <v>10</v>
      </c>
      <c r="DE25" s="259"/>
      <c r="DF25" s="199">
        <f t="shared" si="37"/>
        <v>0</v>
      </c>
      <c r="DG25" s="175"/>
      <c r="DH25" s="196">
        <f t="shared" si="38"/>
        <v>100</v>
      </c>
      <c r="DI25" s="196">
        <f t="shared" si="39"/>
        <v>0</v>
      </c>
      <c r="DJ25" s="199">
        <f t="shared" si="40"/>
        <v>0</v>
      </c>
      <c r="DK25" s="265">
        <f t="shared" si="41"/>
        <v>100</v>
      </c>
      <c r="DL25" s="244">
        <v>21</v>
      </c>
      <c r="DM25">
        <f t="shared" si="6"/>
        <v>0</v>
      </c>
    </row>
    <row r="26" spans="1:117" x14ac:dyDescent="0.3">
      <c r="A26" s="246">
        <v>22</v>
      </c>
      <c r="B26" s="91" t="s">
        <v>182</v>
      </c>
      <c r="C26" s="91" t="s">
        <v>118</v>
      </c>
      <c r="D26" s="91" t="s">
        <v>119</v>
      </c>
      <c r="E26" s="91" t="s">
        <v>120</v>
      </c>
      <c r="F26" s="91" t="s">
        <v>121</v>
      </c>
      <c r="G26" s="87" t="s">
        <v>186</v>
      </c>
      <c r="H26" s="87" t="s">
        <v>187</v>
      </c>
      <c r="I26" s="87" t="s">
        <v>188</v>
      </c>
      <c r="J26" s="87" t="s">
        <v>188</v>
      </c>
      <c r="K26" s="85" t="s">
        <v>104</v>
      </c>
      <c r="L26" s="85" t="s">
        <v>105</v>
      </c>
      <c r="M26" s="87" t="s">
        <v>106</v>
      </c>
      <c r="N26" s="87" t="s">
        <v>189</v>
      </c>
      <c r="O26" s="87" t="s">
        <v>127</v>
      </c>
      <c r="P26" s="87" t="s">
        <v>199</v>
      </c>
      <c r="Q26" s="87" t="s">
        <v>129</v>
      </c>
      <c r="R26" s="130">
        <v>100</v>
      </c>
      <c r="S26" s="88" t="s">
        <v>158</v>
      </c>
      <c r="T26" s="81">
        <v>25</v>
      </c>
      <c r="U26" s="81">
        <v>0</v>
      </c>
      <c r="V26" s="25">
        <f t="shared" ref="V26:V37" si="57">U26/T26*100</f>
        <v>0</v>
      </c>
      <c r="W26" s="81">
        <v>25</v>
      </c>
      <c r="X26" s="81">
        <v>0</v>
      </c>
      <c r="Y26" s="25">
        <f t="shared" si="1"/>
        <v>0</v>
      </c>
      <c r="Z26" s="81">
        <v>25</v>
      </c>
      <c r="AA26" s="81"/>
      <c r="AB26" s="25">
        <f t="shared" si="2"/>
        <v>0</v>
      </c>
      <c r="AC26" s="81">
        <v>25</v>
      </c>
      <c r="AD26" s="81"/>
      <c r="AE26" s="25">
        <f t="shared" si="3"/>
        <v>0</v>
      </c>
      <c r="AF26" s="137">
        <f t="shared" si="43"/>
        <v>100</v>
      </c>
      <c r="AG26" s="137">
        <f t="shared" si="44"/>
        <v>0</v>
      </c>
      <c r="AH26" s="128">
        <f t="shared" si="5"/>
        <v>0</v>
      </c>
      <c r="AI26" s="90">
        <v>46113</v>
      </c>
      <c r="AJ26" s="90">
        <v>46477</v>
      </c>
      <c r="AK26" s="91" t="s">
        <v>112</v>
      </c>
      <c r="AL26" s="91" t="s">
        <v>113</v>
      </c>
      <c r="AM26" s="92" t="s">
        <v>114</v>
      </c>
      <c r="AN26" s="93"/>
      <c r="AO26" s="93"/>
      <c r="AP26" s="93"/>
      <c r="AQ26" s="94"/>
      <c r="AR26" s="91" t="s">
        <v>191</v>
      </c>
      <c r="AS26" s="91" t="s">
        <v>112</v>
      </c>
      <c r="AT26" s="150" t="s">
        <v>200</v>
      </c>
      <c r="AU26" s="165" t="s">
        <v>2264</v>
      </c>
      <c r="AV26" s="232" t="s">
        <v>2234</v>
      </c>
      <c r="AW26" s="126" t="s">
        <v>2247</v>
      </c>
      <c r="BA26" s="255"/>
      <c r="BB26" s="256"/>
      <c r="BC26" s="223" t="e">
        <f t="shared" si="8"/>
        <v>#DIV/0!</v>
      </c>
      <c r="BD26" s="255"/>
      <c r="BE26" s="256"/>
      <c r="BF26" s="223" t="e">
        <f t="shared" si="9"/>
        <v>#DIV/0!</v>
      </c>
      <c r="BG26" s="255"/>
      <c r="BH26" s="256"/>
      <c r="BI26" s="223" t="e">
        <f t="shared" si="10"/>
        <v>#DIV/0!</v>
      </c>
      <c r="BJ26" s="224">
        <f t="shared" si="11"/>
        <v>0</v>
      </c>
      <c r="BK26" s="225">
        <f t="shared" si="12"/>
        <v>0</v>
      </c>
      <c r="BL26" s="223" t="e">
        <f t="shared" si="13"/>
        <v>#DIV/0!</v>
      </c>
      <c r="BM26" s="255"/>
      <c r="BN26" s="256"/>
      <c r="BO26" s="223" t="e">
        <f t="shared" si="45"/>
        <v>#DIV/0!</v>
      </c>
      <c r="BP26" s="255"/>
      <c r="BQ26" s="256"/>
      <c r="BR26" s="223" t="e">
        <f t="shared" si="46"/>
        <v>#DIV/0!</v>
      </c>
      <c r="BS26" s="255"/>
      <c r="BT26" s="255"/>
      <c r="BU26" s="223" t="e">
        <f t="shared" si="47"/>
        <v>#DIV/0!</v>
      </c>
      <c r="BV26" s="224">
        <f t="shared" si="17"/>
        <v>0</v>
      </c>
      <c r="BW26" s="224">
        <f t="shared" si="18"/>
        <v>0</v>
      </c>
      <c r="BX26" s="223" t="e">
        <f t="shared" si="19"/>
        <v>#DIV/0!</v>
      </c>
      <c r="BY26" s="223">
        <f t="shared" si="20"/>
        <v>0</v>
      </c>
      <c r="BZ26" s="223">
        <f t="shared" si="21"/>
        <v>0</v>
      </c>
      <c r="CA26" s="226"/>
      <c r="CB26" s="175"/>
      <c r="CC26" s="191"/>
      <c r="CD26" s="192"/>
      <c r="CE26" s="193" t="e">
        <f t="shared" si="48"/>
        <v>#DIV/0!</v>
      </c>
      <c r="CF26" s="191"/>
      <c r="CG26" s="192"/>
      <c r="CH26" s="193" t="e">
        <f t="shared" si="49"/>
        <v>#DIV/0!</v>
      </c>
      <c r="CI26" s="197"/>
      <c r="CJ26" s="198"/>
      <c r="CK26" s="193" t="e">
        <f t="shared" si="50"/>
        <v>#DIV/0!</v>
      </c>
      <c r="CL26" s="195">
        <f t="shared" si="51"/>
        <v>0</v>
      </c>
      <c r="CM26" s="194">
        <f t="shared" si="52"/>
        <v>0</v>
      </c>
      <c r="CN26" s="193" t="e">
        <f t="shared" si="53"/>
        <v>#DIV/0!</v>
      </c>
      <c r="CO26" s="175"/>
      <c r="CP26" s="196">
        <f t="shared" si="54"/>
        <v>0</v>
      </c>
      <c r="CQ26" s="196">
        <f t="shared" si="55"/>
        <v>0</v>
      </c>
      <c r="CR26" s="199" t="e">
        <f t="shared" si="56"/>
        <v>#DIV/0!</v>
      </c>
      <c r="CS26" s="261">
        <f t="shared" si="29"/>
        <v>100</v>
      </c>
      <c r="CT26" s="175"/>
      <c r="CU26" s="196">
        <f t="shared" si="30"/>
        <v>30</v>
      </c>
      <c r="CV26" s="259"/>
      <c r="CW26" s="199">
        <f t="shared" si="31"/>
        <v>0</v>
      </c>
      <c r="CX26" s="196">
        <f t="shared" si="32"/>
        <v>30</v>
      </c>
      <c r="CY26" s="259"/>
      <c r="CZ26" s="199">
        <f t="shared" si="33"/>
        <v>0</v>
      </c>
      <c r="DA26" s="196">
        <f t="shared" si="34"/>
        <v>30</v>
      </c>
      <c r="DB26" s="259"/>
      <c r="DC26" s="199">
        <f t="shared" si="35"/>
        <v>0</v>
      </c>
      <c r="DD26" s="196">
        <f t="shared" si="36"/>
        <v>10</v>
      </c>
      <c r="DE26" s="259"/>
      <c r="DF26" s="199">
        <f t="shared" si="37"/>
        <v>0</v>
      </c>
      <c r="DG26" s="175"/>
      <c r="DH26" s="196">
        <f t="shared" si="38"/>
        <v>100</v>
      </c>
      <c r="DI26" s="196">
        <f t="shared" si="39"/>
        <v>0</v>
      </c>
      <c r="DJ26" s="199">
        <f t="shared" si="40"/>
        <v>0</v>
      </c>
      <c r="DK26" s="265">
        <f t="shared" si="41"/>
        <v>100</v>
      </c>
      <c r="DL26" s="244">
        <v>22</v>
      </c>
      <c r="DM26">
        <f t="shared" si="6"/>
        <v>0</v>
      </c>
    </row>
    <row r="27" spans="1:117" x14ac:dyDescent="0.3">
      <c r="A27" s="246">
        <v>23</v>
      </c>
      <c r="B27" s="91" t="s">
        <v>182</v>
      </c>
      <c r="C27" s="91" t="s">
        <v>118</v>
      </c>
      <c r="D27" s="91" t="s">
        <v>119</v>
      </c>
      <c r="E27" s="91" t="s">
        <v>155</v>
      </c>
      <c r="F27" s="91" t="s">
        <v>193</v>
      </c>
      <c r="G27" s="87" t="s">
        <v>186</v>
      </c>
      <c r="H27" s="87" t="s">
        <v>187</v>
      </c>
      <c r="I27" s="87" t="s">
        <v>188</v>
      </c>
      <c r="J27" s="87" t="s">
        <v>188</v>
      </c>
      <c r="K27" s="85" t="s">
        <v>104</v>
      </c>
      <c r="L27" s="85" t="s">
        <v>105</v>
      </c>
      <c r="M27" s="87" t="s">
        <v>106</v>
      </c>
      <c r="N27" s="87" t="s">
        <v>189</v>
      </c>
      <c r="O27" s="87" t="s">
        <v>127</v>
      </c>
      <c r="P27" s="241" t="s">
        <v>201</v>
      </c>
      <c r="Q27" s="87" t="s">
        <v>129</v>
      </c>
      <c r="R27" s="130">
        <v>100</v>
      </c>
      <c r="S27" s="88" t="s">
        <v>158</v>
      </c>
      <c r="T27" s="81">
        <v>0</v>
      </c>
      <c r="U27" s="81">
        <v>0</v>
      </c>
      <c r="V27" s="25" t="e">
        <f t="shared" si="57"/>
        <v>#DIV/0!</v>
      </c>
      <c r="W27" s="81">
        <v>100</v>
      </c>
      <c r="X27" s="81">
        <v>33.299999999999997</v>
      </c>
      <c r="Y27" s="25">
        <f t="shared" si="1"/>
        <v>33.299999999999997</v>
      </c>
      <c r="Z27" s="81">
        <v>0</v>
      </c>
      <c r="AA27" s="81"/>
      <c r="AB27" s="25" t="e">
        <f t="shared" si="2"/>
        <v>#DIV/0!</v>
      </c>
      <c r="AC27" s="81">
        <v>0</v>
      </c>
      <c r="AD27" s="81"/>
      <c r="AE27" s="25" t="e">
        <f t="shared" si="3"/>
        <v>#DIV/0!</v>
      </c>
      <c r="AF27" s="137">
        <f t="shared" si="43"/>
        <v>100</v>
      </c>
      <c r="AG27" s="137">
        <f t="shared" si="44"/>
        <v>33.299999999999997</v>
      </c>
      <c r="AH27" s="128">
        <f t="shared" si="5"/>
        <v>33.299999999999997</v>
      </c>
      <c r="AI27" s="90">
        <v>46113</v>
      </c>
      <c r="AJ27" s="90">
        <v>46477</v>
      </c>
      <c r="AK27" s="91" t="s">
        <v>112</v>
      </c>
      <c r="AL27" s="91" t="s">
        <v>113</v>
      </c>
      <c r="AM27" s="92" t="s">
        <v>114</v>
      </c>
      <c r="AN27" s="93">
        <v>140000000</v>
      </c>
      <c r="AO27" s="93">
        <v>140000000</v>
      </c>
      <c r="AP27" s="93">
        <v>140000000</v>
      </c>
      <c r="AQ27" s="94">
        <v>0</v>
      </c>
      <c r="AR27" s="91" t="s">
        <v>191</v>
      </c>
      <c r="AS27" s="91" t="s">
        <v>112</v>
      </c>
      <c r="AT27" s="150" t="s">
        <v>200</v>
      </c>
      <c r="AU27" s="165" t="s">
        <v>2264</v>
      </c>
      <c r="AV27" s="232" t="s">
        <v>2234</v>
      </c>
      <c r="AW27" s="126" t="s">
        <v>2247</v>
      </c>
      <c r="BA27" s="255"/>
      <c r="BB27" s="256"/>
      <c r="BC27" s="223" t="e">
        <f t="shared" si="8"/>
        <v>#DIV/0!</v>
      </c>
      <c r="BD27" s="255"/>
      <c r="BE27" s="256"/>
      <c r="BF27" s="223" t="e">
        <f t="shared" si="9"/>
        <v>#DIV/0!</v>
      </c>
      <c r="BG27" s="255"/>
      <c r="BH27" s="256"/>
      <c r="BI27" s="223" t="e">
        <f t="shared" si="10"/>
        <v>#DIV/0!</v>
      </c>
      <c r="BJ27" s="224">
        <f t="shared" si="11"/>
        <v>0</v>
      </c>
      <c r="BK27" s="225">
        <f t="shared" si="12"/>
        <v>0</v>
      </c>
      <c r="BL27" s="223" t="e">
        <f t="shared" si="13"/>
        <v>#DIV/0!</v>
      </c>
      <c r="BM27" s="255"/>
      <c r="BN27" s="256"/>
      <c r="BO27" s="223" t="e">
        <f t="shared" si="45"/>
        <v>#DIV/0!</v>
      </c>
      <c r="BP27" s="255"/>
      <c r="BQ27" s="256"/>
      <c r="BR27" s="223" t="e">
        <f t="shared" si="46"/>
        <v>#DIV/0!</v>
      </c>
      <c r="BS27" s="255"/>
      <c r="BT27" s="255"/>
      <c r="BU27" s="223" t="e">
        <f t="shared" si="47"/>
        <v>#DIV/0!</v>
      </c>
      <c r="BV27" s="224">
        <f t="shared" si="17"/>
        <v>0</v>
      </c>
      <c r="BW27" s="224">
        <f t="shared" si="18"/>
        <v>0</v>
      </c>
      <c r="BX27" s="223" t="e">
        <f t="shared" si="19"/>
        <v>#DIV/0!</v>
      </c>
      <c r="BY27" s="223">
        <f t="shared" si="20"/>
        <v>0</v>
      </c>
      <c r="BZ27" s="223">
        <f t="shared" si="21"/>
        <v>0</v>
      </c>
      <c r="CA27" s="226"/>
      <c r="CB27" s="175"/>
      <c r="CC27" s="191"/>
      <c r="CD27" s="192"/>
      <c r="CE27" s="193" t="e">
        <f t="shared" si="48"/>
        <v>#DIV/0!</v>
      </c>
      <c r="CF27" s="191"/>
      <c r="CG27" s="192"/>
      <c r="CH27" s="193" t="e">
        <f t="shared" si="49"/>
        <v>#DIV/0!</v>
      </c>
      <c r="CI27" s="197"/>
      <c r="CJ27" s="198"/>
      <c r="CK27" s="193" t="e">
        <f t="shared" si="50"/>
        <v>#DIV/0!</v>
      </c>
      <c r="CL27" s="195">
        <f t="shared" si="51"/>
        <v>0</v>
      </c>
      <c r="CM27" s="194">
        <f t="shared" si="52"/>
        <v>0</v>
      </c>
      <c r="CN27" s="193" t="e">
        <f t="shared" si="53"/>
        <v>#DIV/0!</v>
      </c>
      <c r="CO27" s="175"/>
      <c r="CP27" s="196">
        <f t="shared" si="54"/>
        <v>0</v>
      </c>
      <c r="CQ27" s="196">
        <f t="shared" si="55"/>
        <v>0</v>
      </c>
      <c r="CR27" s="199" t="e">
        <f t="shared" si="56"/>
        <v>#DIV/0!</v>
      </c>
      <c r="CS27" s="261">
        <f t="shared" si="29"/>
        <v>100</v>
      </c>
      <c r="CT27" s="175"/>
      <c r="CU27" s="196">
        <f t="shared" si="30"/>
        <v>30</v>
      </c>
      <c r="CV27" s="259"/>
      <c r="CW27" s="199">
        <f t="shared" si="31"/>
        <v>0</v>
      </c>
      <c r="CX27" s="196">
        <f t="shared" si="32"/>
        <v>30</v>
      </c>
      <c r="CY27" s="259"/>
      <c r="CZ27" s="199">
        <f t="shared" si="33"/>
        <v>0</v>
      </c>
      <c r="DA27" s="196">
        <f t="shared" si="34"/>
        <v>30</v>
      </c>
      <c r="DB27" s="259"/>
      <c r="DC27" s="199">
        <f t="shared" si="35"/>
        <v>0</v>
      </c>
      <c r="DD27" s="196">
        <f t="shared" si="36"/>
        <v>10</v>
      </c>
      <c r="DE27" s="259"/>
      <c r="DF27" s="199">
        <f t="shared" si="37"/>
        <v>0</v>
      </c>
      <c r="DG27" s="175"/>
      <c r="DH27" s="196">
        <f t="shared" si="38"/>
        <v>100</v>
      </c>
      <c r="DI27" s="196">
        <f t="shared" si="39"/>
        <v>0</v>
      </c>
      <c r="DJ27" s="199">
        <f t="shared" si="40"/>
        <v>0</v>
      </c>
      <c r="DK27" s="265">
        <f t="shared" si="41"/>
        <v>100</v>
      </c>
      <c r="DL27" s="244">
        <v>23</v>
      </c>
      <c r="DM27">
        <f t="shared" si="6"/>
        <v>0</v>
      </c>
    </row>
    <row r="28" spans="1:117" x14ac:dyDescent="0.3">
      <c r="A28" s="246">
        <v>24</v>
      </c>
      <c r="B28" s="91" t="s">
        <v>182</v>
      </c>
      <c r="C28" s="91" t="s">
        <v>97</v>
      </c>
      <c r="D28" s="91" t="s">
        <v>98</v>
      </c>
      <c r="E28" s="91" t="s">
        <v>99</v>
      </c>
      <c r="F28" s="91" t="s">
        <v>202</v>
      </c>
      <c r="G28" s="87" t="s">
        <v>164</v>
      </c>
      <c r="H28" s="87" t="s">
        <v>203</v>
      </c>
      <c r="I28" s="87" t="s">
        <v>188</v>
      </c>
      <c r="J28" s="87" t="s">
        <v>188</v>
      </c>
      <c r="K28" s="85" t="s">
        <v>104</v>
      </c>
      <c r="L28" s="85" t="s">
        <v>105</v>
      </c>
      <c r="M28" s="87" t="s">
        <v>106</v>
      </c>
      <c r="N28" s="87" t="s">
        <v>189</v>
      </c>
      <c r="O28" s="87" t="s">
        <v>108</v>
      </c>
      <c r="P28" s="87" t="s">
        <v>204</v>
      </c>
      <c r="Q28" s="87" t="s">
        <v>110</v>
      </c>
      <c r="R28" s="130">
        <v>29</v>
      </c>
      <c r="S28" s="88" t="s">
        <v>111</v>
      </c>
      <c r="T28" s="81">
        <v>0</v>
      </c>
      <c r="U28" s="81">
        <v>0</v>
      </c>
      <c r="V28" s="25" t="e">
        <f t="shared" si="57"/>
        <v>#DIV/0!</v>
      </c>
      <c r="W28" s="81">
        <v>0</v>
      </c>
      <c r="X28" s="81">
        <v>0</v>
      </c>
      <c r="Y28" s="25" t="e">
        <f t="shared" si="1"/>
        <v>#DIV/0!</v>
      </c>
      <c r="Z28" s="81">
        <v>29</v>
      </c>
      <c r="AA28" s="81"/>
      <c r="AB28" s="25">
        <f t="shared" si="2"/>
        <v>0</v>
      </c>
      <c r="AC28" s="81">
        <v>0</v>
      </c>
      <c r="AD28" s="81"/>
      <c r="AE28" s="25" t="e">
        <f t="shared" si="3"/>
        <v>#DIV/0!</v>
      </c>
      <c r="AF28" s="137">
        <f t="shared" si="43"/>
        <v>29</v>
      </c>
      <c r="AG28" s="137">
        <f t="shared" si="44"/>
        <v>0</v>
      </c>
      <c r="AH28" s="128" t="e">
        <f t="shared" si="5"/>
        <v>#DIV/0!</v>
      </c>
      <c r="AI28" s="90">
        <v>46113</v>
      </c>
      <c r="AJ28" s="90">
        <v>46477</v>
      </c>
      <c r="AK28" s="91" t="s">
        <v>112</v>
      </c>
      <c r="AL28" s="91" t="s">
        <v>113</v>
      </c>
      <c r="AM28" s="92" t="s">
        <v>114</v>
      </c>
      <c r="AN28" s="93">
        <v>60000000</v>
      </c>
      <c r="AO28" s="93">
        <v>60000000</v>
      </c>
      <c r="AP28" s="93">
        <v>60000000</v>
      </c>
      <c r="AQ28" s="94">
        <v>0</v>
      </c>
      <c r="AR28" s="91" t="s">
        <v>159</v>
      </c>
      <c r="AS28" s="91" t="s">
        <v>112</v>
      </c>
      <c r="AT28" s="150" t="s">
        <v>200</v>
      </c>
      <c r="AU28" s="165" t="s">
        <v>2264</v>
      </c>
      <c r="AV28" s="232" t="s">
        <v>2234</v>
      </c>
      <c r="AW28" s="126" t="s">
        <v>2247</v>
      </c>
      <c r="BA28" s="255"/>
      <c r="BB28" s="256"/>
      <c r="BC28" s="223" t="e">
        <f t="shared" si="8"/>
        <v>#DIV/0!</v>
      </c>
      <c r="BD28" s="255"/>
      <c r="BE28" s="256"/>
      <c r="BF28" s="223" t="e">
        <f t="shared" si="9"/>
        <v>#DIV/0!</v>
      </c>
      <c r="BG28" s="255"/>
      <c r="BH28" s="256"/>
      <c r="BI28" s="223" t="e">
        <f t="shared" si="10"/>
        <v>#DIV/0!</v>
      </c>
      <c r="BJ28" s="224">
        <f t="shared" si="11"/>
        <v>0</v>
      </c>
      <c r="BK28" s="225">
        <f t="shared" si="12"/>
        <v>0</v>
      </c>
      <c r="BL28" s="223" t="e">
        <f t="shared" si="13"/>
        <v>#DIV/0!</v>
      </c>
      <c r="BM28" s="255"/>
      <c r="BN28" s="256"/>
      <c r="BO28" s="223" t="e">
        <f t="shared" si="45"/>
        <v>#DIV/0!</v>
      </c>
      <c r="BP28" s="255"/>
      <c r="BQ28" s="256"/>
      <c r="BR28" s="223" t="e">
        <f t="shared" si="46"/>
        <v>#DIV/0!</v>
      </c>
      <c r="BS28" s="255"/>
      <c r="BT28" s="255"/>
      <c r="BU28" s="223" t="e">
        <f t="shared" si="47"/>
        <v>#DIV/0!</v>
      </c>
      <c r="BV28" s="224">
        <f t="shared" si="17"/>
        <v>0</v>
      </c>
      <c r="BW28" s="224">
        <f t="shared" si="18"/>
        <v>0</v>
      </c>
      <c r="BX28" s="223" t="e">
        <f t="shared" si="19"/>
        <v>#DIV/0!</v>
      </c>
      <c r="BY28" s="223">
        <f t="shared" si="20"/>
        <v>0</v>
      </c>
      <c r="BZ28" s="223">
        <f t="shared" si="21"/>
        <v>0</v>
      </c>
      <c r="CA28" s="226"/>
      <c r="CB28" s="175"/>
      <c r="CC28" s="191"/>
      <c r="CD28" s="192"/>
      <c r="CE28" s="193" t="e">
        <f t="shared" si="48"/>
        <v>#DIV/0!</v>
      </c>
      <c r="CF28" s="191"/>
      <c r="CG28" s="192"/>
      <c r="CH28" s="193" t="e">
        <f t="shared" si="49"/>
        <v>#DIV/0!</v>
      </c>
      <c r="CI28" s="197"/>
      <c r="CJ28" s="198"/>
      <c r="CK28" s="193" t="e">
        <f t="shared" si="50"/>
        <v>#DIV/0!</v>
      </c>
      <c r="CL28" s="195">
        <f t="shared" si="51"/>
        <v>0</v>
      </c>
      <c r="CM28" s="194">
        <f t="shared" si="52"/>
        <v>0</v>
      </c>
      <c r="CN28" s="193" t="e">
        <f t="shared" si="53"/>
        <v>#DIV/0!</v>
      </c>
      <c r="CO28" s="175"/>
      <c r="CP28" s="196">
        <f t="shared" si="54"/>
        <v>0</v>
      </c>
      <c r="CQ28" s="196">
        <f t="shared" si="55"/>
        <v>0</v>
      </c>
      <c r="CR28" s="199" t="e">
        <f t="shared" si="56"/>
        <v>#DIV/0!</v>
      </c>
      <c r="CS28" s="261">
        <f t="shared" si="29"/>
        <v>29</v>
      </c>
      <c r="CT28" s="175"/>
      <c r="CU28" s="196">
        <f t="shared" si="30"/>
        <v>8.6999999999999993</v>
      </c>
      <c r="CV28" s="259"/>
      <c r="CW28" s="199">
        <f t="shared" si="31"/>
        <v>0</v>
      </c>
      <c r="CX28" s="196">
        <f t="shared" si="32"/>
        <v>8.6999999999999993</v>
      </c>
      <c r="CY28" s="259"/>
      <c r="CZ28" s="199">
        <f t="shared" si="33"/>
        <v>0</v>
      </c>
      <c r="DA28" s="196">
        <f t="shared" si="34"/>
        <v>8.6999999999999993</v>
      </c>
      <c r="DB28" s="259"/>
      <c r="DC28" s="199">
        <f t="shared" si="35"/>
        <v>0</v>
      </c>
      <c r="DD28" s="196">
        <f t="shared" si="36"/>
        <v>2.9000000000000004</v>
      </c>
      <c r="DE28" s="259"/>
      <c r="DF28" s="199">
        <f t="shared" si="37"/>
        <v>0</v>
      </c>
      <c r="DG28" s="175"/>
      <c r="DH28" s="196">
        <f t="shared" si="38"/>
        <v>29</v>
      </c>
      <c r="DI28" s="196">
        <f t="shared" si="39"/>
        <v>0</v>
      </c>
      <c r="DJ28" s="199">
        <f t="shared" si="40"/>
        <v>0</v>
      </c>
      <c r="DK28" s="265">
        <f t="shared" si="41"/>
        <v>29</v>
      </c>
      <c r="DL28" s="244">
        <v>24</v>
      </c>
      <c r="DM28">
        <f t="shared" si="6"/>
        <v>0</v>
      </c>
    </row>
    <row r="29" spans="1:117" x14ac:dyDescent="0.3">
      <c r="A29" s="246">
        <v>25</v>
      </c>
      <c r="B29" s="91" t="s">
        <v>182</v>
      </c>
      <c r="C29" s="91" t="s">
        <v>97</v>
      </c>
      <c r="D29" s="91" t="s">
        <v>98</v>
      </c>
      <c r="E29" s="91" t="s">
        <v>205</v>
      </c>
      <c r="F29" s="91" t="s">
        <v>202</v>
      </c>
      <c r="G29" s="87" t="s">
        <v>164</v>
      </c>
      <c r="H29" s="87" t="s">
        <v>203</v>
      </c>
      <c r="I29" s="87" t="s">
        <v>188</v>
      </c>
      <c r="J29" s="87" t="s">
        <v>188</v>
      </c>
      <c r="K29" s="85" t="s">
        <v>104</v>
      </c>
      <c r="L29" s="85" t="s">
        <v>105</v>
      </c>
      <c r="M29" s="87" t="s">
        <v>106</v>
      </c>
      <c r="N29" s="87" t="s">
        <v>189</v>
      </c>
      <c r="O29" s="87" t="s">
        <v>108</v>
      </c>
      <c r="P29" s="87" t="s">
        <v>206</v>
      </c>
      <c r="Q29" s="87" t="s">
        <v>110</v>
      </c>
      <c r="R29" s="130">
        <v>29</v>
      </c>
      <c r="S29" s="88" t="s">
        <v>111</v>
      </c>
      <c r="T29" s="81">
        <v>0</v>
      </c>
      <c r="U29" s="81">
        <v>0</v>
      </c>
      <c r="V29" s="25" t="e">
        <f t="shared" si="57"/>
        <v>#DIV/0!</v>
      </c>
      <c r="W29" s="81">
        <v>0</v>
      </c>
      <c r="X29" s="81">
        <v>0</v>
      </c>
      <c r="Y29" s="25" t="e">
        <f t="shared" si="1"/>
        <v>#DIV/0!</v>
      </c>
      <c r="Z29" s="81">
        <v>29</v>
      </c>
      <c r="AA29" s="81"/>
      <c r="AB29" s="25">
        <f t="shared" si="2"/>
        <v>0</v>
      </c>
      <c r="AC29" s="81">
        <v>0</v>
      </c>
      <c r="AD29" s="81"/>
      <c r="AE29" s="25" t="e">
        <f t="shared" si="3"/>
        <v>#DIV/0!</v>
      </c>
      <c r="AF29" s="137">
        <f t="shared" si="43"/>
        <v>29</v>
      </c>
      <c r="AG29" s="137">
        <f t="shared" si="44"/>
        <v>0</v>
      </c>
      <c r="AH29" s="128" t="e">
        <f t="shared" si="5"/>
        <v>#DIV/0!</v>
      </c>
      <c r="AI29" s="90">
        <v>46113</v>
      </c>
      <c r="AJ29" s="90">
        <v>46477</v>
      </c>
      <c r="AK29" s="91" t="s">
        <v>112</v>
      </c>
      <c r="AL29" s="91" t="s">
        <v>113</v>
      </c>
      <c r="AM29" s="92" t="s">
        <v>114</v>
      </c>
      <c r="AN29" s="93">
        <v>100000000</v>
      </c>
      <c r="AO29" s="93">
        <v>100000000</v>
      </c>
      <c r="AP29" s="93">
        <v>100000000</v>
      </c>
      <c r="AQ29" s="94">
        <v>0</v>
      </c>
      <c r="AR29" s="91" t="s">
        <v>207</v>
      </c>
      <c r="AS29" s="91" t="s">
        <v>112</v>
      </c>
      <c r="AT29" s="150" t="s">
        <v>200</v>
      </c>
      <c r="AU29" s="165" t="s">
        <v>2264</v>
      </c>
      <c r="AV29" s="232" t="s">
        <v>2234</v>
      </c>
      <c r="AW29" s="126" t="s">
        <v>2247</v>
      </c>
      <c r="BA29" s="255"/>
      <c r="BB29" s="256"/>
      <c r="BC29" s="223" t="e">
        <f t="shared" si="8"/>
        <v>#DIV/0!</v>
      </c>
      <c r="BD29" s="255"/>
      <c r="BE29" s="256"/>
      <c r="BF29" s="223" t="e">
        <f t="shared" si="9"/>
        <v>#DIV/0!</v>
      </c>
      <c r="BG29" s="255"/>
      <c r="BH29" s="256"/>
      <c r="BI29" s="223" t="e">
        <f t="shared" si="10"/>
        <v>#DIV/0!</v>
      </c>
      <c r="BJ29" s="224">
        <f t="shared" si="11"/>
        <v>0</v>
      </c>
      <c r="BK29" s="225">
        <f t="shared" si="12"/>
        <v>0</v>
      </c>
      <c r="BL29" s="223" t="e">
        <f t="shared" si="13"/>
        <v>#DIV/0!</v>
      </c>
      <c r="BM29" s="255"/>
      <c r="BN29" s="256"/>
      <c r="BO29" s="223" t="e">
        <f t="shared" si="45"/>
        <v>#DIV/0!</v>
      </c>
      <c r="BP29" s="255"/>
      <c r="BQ29" s="256"/>
      <c r="BR29" s="223" t="e">
        <f t="shared" si="46"/>
        <v>#DIV/0!</v>
      </c>
      <c r="BS29" s="255"/>
      <c r="BT29" s="255"/>
      <c r="BU29" s="223" t="e">
        <f t="shared" si="47"/>
        <v>#DIV/0!</v>
      </c>
      <c r="BV29" s="224">
        <f t="shared" si="17"/>
        <v>0</v>
      </c>
      <c r="BW29" s="224">
        <f t="shared" si="18"/>
        <v>0</v>
      </c>
      <c r="BX29" s="223" t="e">
        <f t="shared" si="19"/>
        <v>#DIV/0!</v>
      </c>
      <c r="BY29" s="223">
        <f t="shared" si="20"/>
        <v>0</v>
      </c>
      <c r="BZ29" s="223">
        <f t="shared" si="21"/>
        <v>0</v>
      </c>
      <c r="CA29" s="226"/>
      <c r="CB29" s="175"/>
      <c r="CC29" s="191"/>
      <c r="CD29" s="192"/>
      <c r="CE29" s="193" t="e">
        <f t="shared" si="48"/>
        <v>#DIV/0!</v>
      </c>
      <c r="CF29" s="191"/>
      <c r="CG29" s="192"/>
      <c r="CH29" s="193" t="e">
        <f t="shared" si="49"/>
        <v>#DIV/0!</v>
      </c>
      <c r="CI29" s="197"/>
      <c r="CJ29" s="198"/>
      <c r="CK29" s="193" t="e">
        <f t="shared" si="50"/>
        <v>#DIV/0!</v>
      </c>
      <c r="CL29" s="195">
        <f t="shared" si="51"/>
        <v>0</v>
      </c>
      <c r="CM29" s="194">
        <f t="shared" si="52"/>
        <v>0</v>
      </c>
      <c r="CN29" s="193" t="e">
        <f t="shared" si="53"/>
        <v>#DIV/0!</v>
      </c>
      <c r="CO29" s="175"/>
      <c r="CP29" s="196">
        <f t="shared" si="54"/>
        <v>0</v>
      </c>
      <c r="CQ29" s="196">
        <f t="shared" si="55"/>
        <v>0</v>
      </c>
      <c r="CR29" s="199" t="e">
        <f t="shared" si="56"/>
        <v>#DIV/0!</v>
      </c>
      <c r="CS29" s="261">
        <f t="shared" si="29"/>
        <v>29</v>
      </c>
      <c r="CT29" s="175"/>
      <c r="CU29" s="196">
        <f t="shared" si="30"/>
        <v>8.6999999999999993</v>
      </c>
      <c r="CV29" s="259"/>
      <c r="CW29" s="199">
        <f t="shared" si="31"/>
        <v>0</v>
      </c>
      <c r="CX29" s="196">
        <f t="shared" si="32"/>
        <v>8.6999999999999993</v>
      </c>
      <c r="CY29" s="259"/>
      <c r="CZ29" s="199">
        <f t="shared" si="33"/>
        <v>0</v>
      </c>
      <c r="DA29" s="196">
        <f t="shared" si="34"/>
        <v>8.6999999999999993</v>
      </c>
      <c r="DB29" s="259"/>
      <c r="DC29" s="199">
        <f t="shared" si="35"/>
        <v>0</v>
      </c>
      <c r="DD29" s="196">
        <f t="shared" si="36"/>
        <v>2.9000000000000004</v>
      </c>
      <c r="DE29" s="259"/>
      <c r="DF29" s="199">
        <f t="shared" si="37"/>
        <v>0</v>
      </c>
      <c r="DG29" s="175"/>
      <c r="DH29" s="196">
        <f t="shared" si="38"/>
        <v>29</v>
      </c>
      <c r="DI29" s="196">
        <f t="shared" si="39"/>
        <v>0</v>
      </c>
      <c r="DJ29" s="199">
        <f t="shared" si="40"/>
        <v>0</v>
      </c>
      <c r="DK29" s="265">
        <f t="shared" si="41"/>
        <v>29</v>
      </c>
      <c r="DL29" s="244">
        <v>25</v>
      </c>
      <c r="DM29">
        <f t="shared" si="6"/>
        <v>0</v>
      </c>
    </row>
    <row r="30" spans="1:117" x14ac:dyDescent="0.3">
      <c r="A30" s="246">
        <v>26</v>
      </c>
      <c r="B30" s="91" t="s">
        <v>182</v>
      </c>
      <c r="C30" s="91" t="s">
        <v>97</v>
      </c>
      <c r="D30" s="91" t="s">
        <v>98</v>
      </c>
      <c r="E30" s="91" t="s">
        <v>99</v>
      </c>
      <c r="F30" s="91" t="s">
        <v>202</v>
      </c>
      <c r="G30" s="87" t="s">
        <v>164</v>
      </c>
      <c r="H30" s="87" t="s">
        <v>203</v>
      </c>
      <c r="I30" s="87" t="s">
        <v>188</v>
      </c>
      <c r="J30" s="87" t="s">
        <v>188</v>
      </c>
      <c r="K30" s="85" t="s">
        <v>104</v>
      </c>
      <c r="L30" s="85" t="s">
        <v>105</v>
      </c>
      <c r="M30" s="87" t="s">
        <v>106</v>
      </c>
      <c r="N30" s="87" t="s">
        <v>189</v>
      </c>
      <c r="O30" s="87" t="s">
        <v>108</v>
      </c>
      <c r="P30" s="87" t="s">
        <v>208</v>
      </c>
      <c r="Q30" s="87" t="s">
        <v>110</v>
      </c>
      <c r="R30" s="130">
        <v>29</v>
      </c>
      <c r="S30" s="88" t="s">
        <v>111</v>
      </c>
      <c r="T30" s="81">
        <v>0</v>
      </c>
      <c r="U30" s="81">
        <v>0</v>
      </c>
      <c r="V30" s="25" t="e">
        <f t="shared" si="57"/>
        <v>#DIV/0!</v>
      </c>
      <c r="W30" s="81">
        <v>0</v>
      </c>
      <c r="X30" s="81">
        <v>0</v>
      </c>
      <c r="Y30" s="25" t="e">
        <f t="shared" si="1"/>
        <v>#DIV/0!</v>
      </c>
      <c r="Z30" s="81">
        <v>29</v>
      </c>
      <c r="AA30" s="81"/>
      <c r="AB30" s="25">
        <f t="shared" si="2"/>
        <v>0</v>
      </c>
      <c r="AC30" s="81">
        <v>0</v>
      </c>
      <c r="AD30" s="81"/>
      <c r="AE30" s="25" t="e">
        <f t="shared" si="3"/>
        <v>#DIV/0!</v>
      </c>
      <c r="AF30" s="137">
        <f t="shared" si="43"/>
        <v>29</v>
      </c>
      <c r="AG30" s="137">
        <f t="shared" si="44"/>
        <v>0</v>
      </c>
      <c r="AH30" s="128" t="e">
        <f t="shared" si="5"/>
        <v>#DIV/0!</v>
      </c>
      <c r="AI30" s="90">
        <v>46054</v>
      </c>
      <c r="AJ30" s="90">
        <v>46477</v>
      </c>
      <c r="AK30" s="91" t="s">
        <v>112</v>
      </c>
      <c r="AL30" s="91" t="s">
        <v>113</v>
      </c>
      <c r="AM30" s="92" t="s">
        <v>114</v>
      </c>
      <c r="AN30" s="93">
        <v>80000000</v>
      </c>
      <c r="AO30" s="93">
        <v>80000000</v>
      </c>
      <c r="AP30" s="93">
        <v>80000000</v>
      </c>
      <c r="AQ30" s="94">
        <v>0</v>
      </c>
      <c r="AR30" s="91" t="s">
        <v>191</v>
      </c>
      <c r="AS30" s="91" t="s">
        <v>112</v>
      </c>
      <c r="AT30" s="150" t="s">
        <v>200</v>
      </c>
      <c r="AU30" s="165" t="s">
        <v>2264</v>
      </c>
      <c r="AV30" s="232" t="s">
        <v>2234</v>
      </c>
      <c r="AW30" s="126" t="s">
        <v>2247</v>
      </c>
      <c r="BA30" s="255"/>
      <c r="BB30" s="256"/>
      <c r="BC30" s="223" t="e">
        <f t="shared" si="8"/>
        <v>#DIV/0!</v>
      </c>
      <c r="BD30" s="255"/>
      <c r="BE30" s="256"/>
      <c r="BF30" s="223" t="e">
        <f t="shared" si="9"/>
        <v>#DIV/0!</v>
      </c>
      <c r="BG30" s="255"/>
      <c r="BH30" s="256"/>
      <c r="BI30" s="223" t="e">
        <f t="shared" si="10"/>
        <v>#DIV/0!</v>
      </c>
      <c r="BJ30" s="224">
        <f t="shared" si="11"/>
        <v>0</v>
      </c>
      <c r="BK30" s="225">
        <f t="shared" si="12"/>
        <v>0</v>
      </c>
      <c r="BL30" s="223" t="e">
        <f t="shared" si="13"/>
        <v>#DIV/0!</v>
      </c>
      <c r="BM30" s="255"/>
      <c r="BN30" s="256"/>
      <c r="BO30" s="223" t="e">
        <f t="shared" si="45"/>
        <v>#DIV/0!</v>
      </c>
      <c r="BP30" s="255"/>
      <c r="BQ30" s="256"/>
      <c r="BR30" s="223" t="e">
        <f t="shared" si="46"/>
        <v>#DIV/0!</v>
      </c>
      <c r="BS30" s="255"/>
      <c r="BT30" s="255"/>
      <c r="BU30" s="223" t="e">
        <f t="shared" si="47"/>
        <v>#DIV/0!</v>
      </c>
      <c r="BV30" s="224">
        <f t="shared" si="17"/>
        <v>0</v>
      </c>
      <c r="BW30" s="224">
        <f t="shared" si="18"/>
        <v>0</v>
      </c>
      <c r="BX30" s="223" t="e">
        <f t="shared" si="19"/>
        <v>#DIV/0!</v>
      </c>
      <c r="BY30" s="223">
        <f t="shared" si="20"/>
        <v>0</v>
      </c>
      <c r="BZ30" s="223">
        <f t="shared" si="21"/>
        <v>0</v>
      </c>
      <c r="CA30" s="226"/>
      <c r="CB30" s="175"/>
      <c r="CC30" s="191"/>
      <c r="CD30" s="192"/>
      <c r="CE30" s="193" t="e">
        <f t="shared" si="48"/>
        <v>#DIV/0!</v>
      </c>
      <c r="CF30" s="191"/>
      <c r="CG30" s="192"/>
      <c r="CH30" s="193" t="e">
        <f t="shared" si="49"/>
        <v>#DIV/0!</v>
      </c>
      <c r="CI30" s="197"/>
      <c r="CJ30" s="198"/>
      <c r="CK30" s="193" t="e">
        <f t="shared" si="50"/>
        <v>#DIV/0!</v>
      </c>
      <c r="CL30" s="195">
        <f t="shared" si="51"/>
        <v>0</v>
      </c>
      <c r="CM30" s="194">
        <f t="shared" si="52"/>
        <v>0</v>
      </c>
      <c r="CN30" s="193" t="e">
        <f t="shared" si="53"/>
        <v>#DIV/0!</v>
      </c>
      <c r="CO30" s="175"/>
      <c r="CP30" s="196">
        <f t="shared" si="54"/>
        <v>0</v>
      </c>
      <c r="CQ30" s="196">
        <f t="shared" si="55"/>
        <v>0</v>
      </c>
      <c r="CR30" s="199" t="e">
        <f t="shared" si="56"/>
        <v>#DIV/0!</v>
      </c>
      <c r="CS30" s="261">
        <f t="shared" si="29"/>
        <v>29</v>
      </c>
      <c r="CT30" s="175"/>
      <c r="CU30" s="196">
        <f t="shared" si="30"/>
        <v>8.6999999999999993</v>
      </c>
      <c r="CV30" s="259"/>
      <c r="CW30" s="199">
        <f t="shared" si="31"/>
        <v>0</v>
      </c>
      <c r="CX30" s="196">
        <f t="shared" si="32"/>
        <v>8.6999999999999993</v>
      </c>
      <c r="CY30" s="259"/>
      <c r="CZ30" s="199">
        <f t="shared" si="33"/>
        <v>0</v>
      </c>
      <c r="DA30" s="196">
        <f t="shared" si="34"/>
        <v>8.6999999999999993</v>
      </c>
      <c r="DB30" s="259"/>
      <c r="DC30" s="199">
        <f t="shared" si="35"/>
        <v>0</v>
      </c>
      <c r="DD30" s="196">
        <f t="shared" si="36"/>
        <v>2.9000000000000004</v>
      </c>
      <c r="DE30" s="259"/>
      <c r="DF30" s="199">
        <f t="shared" si="37"/>
        <v>0</v>
      </c>
      <c r="DG30" s="175"/>
      <c r="DH30" s="196">
        <f t="shared" si="38"/>
        <v>29</v>
      </c>
      <c r="DI30" s="196">
        <f t="shared" si="39"/>
        <v>0</v>
      </c>
      <c r="DJ30" s="199">
        <f t="shared" si="40"/>
        <v>0</v>
      </c>
      <c r="DK30" s="265">
        <f t="shared" si="41"/>
        <v>29</v>
      </c>
      <c r="DL30" s="244">
        <v>26</v>
      </c>
      <c r="DM30">
        <f t="shared" si="6"/>
        <v>0</v>
      </c>
    </row>
    <row r="31" spans="1:117" x14ac:dyDescent="0.3">
      <c r="A31" s="246">
        <v>27</v>
      </c>
      <c r="B31" s="91" t="s">
        <v>182</v>
      </c>
      <c r="C31" s="91" t="s">
        <v>118</v>
      </c>
      <c r="D31" s="91" t="s">
        <v>119</v>
      </c>
      <c r="E31" s="91" t="s">
        <v>120</v>
      </c>
      <c r="F31" s="91" t="s">
        <v>121</v>
      </c>
      <c r="G31" s="87" t="s">
        <v>164</v>
      </c>
      <c r="H31" s="87" t="s">
        <v>203</v>
      </c>
      <c r="I31" s="87" t="s">
        <v>188</v>
      </c>
      <c r="J31" s="87" t="s">
        <v>188</v>
      </c>
      <c r="K31" s="85" t="s">
        <v>104</v>
      </c>
      <c r="L31" s="85" t="s">
        <v>105</v>
      </c>
      <c r="M31" s="87" t="s">
        <v>106</v>
      </c>
      <c r="N31" s="87" t="s">
        <v>189</v>
      </c>
      <c r="O31" s="87" t="s">
        <v>127</v>
      </c>
      <c r="P31" s="87" t="s">
        <v>209</v>
      </c>
      <c r="Q31" s="87" t="s">
        <v>129</v>
      </c>
      <c r="R31" s="130">
        <v>50</v>
      </c>
      <c r="S31" s="88" t="s">
        <v>158</v>
      </c>
      <c r="T31" s="81">
        <v>12.5</v>
      </c>
      <c r="U31" s="81">
        <v>12.5</v>
      </c>
      <c r="V31" s="25">
        <f t="shared" si="57"/>
        <v>100</v>
      </c>
      <c r="W31" s="81">
        <v>12.5</v>
      </c>
      <c r="X31" s="81">
        <v>12.5</v>
      </c>
      <c r="Y31" s="25">
        <f t="shared" si="1"/>
        <v>100</v>
      </c>
      <c r="Z31" s="81">
        <v>12.5</v>
      </c>
      <c r="AA31" s="81"/>
      <c r="AB31" s="25">
        <f t="shared" si="2"/>
        <v>0</v>
      </c>
      <c r="AC31" s="81">
        <v>12.5</v>
      </c>
      <c r="AD31" s="81"/>
      <c r="AE31" s="25">
        <f t="shared" si="3"/>
        <v>0</v>
      </c>
      <c r="AF31" s="137">
        <f t="shared" si="43"/>
        <v>50</v>
      </c>
      <c r="AG31" s="137">
        <f t="shared" si="44"/>
        <v>25</v>
      </c>
      <c r="AH31" s="128">
        <f t="shared" si="5"/>
        <v>100</v>
      </c>
      <c r="AI31" s="90">
        <v>46113</v>
      </c>
      <c r="AJ31" s="90">
        <v>46477</v>
      </c>
      <c r="AK31" s="91" t="s">
        <v>112</v>
      </c>
      <c r="AL31" s="91" t="s">
        <v>113</v>
      </c>
      <c r="AM31" s="92" t="s">
        <v>114</v>
      </c>
      <c r="AN31" s="93"/>
      <c r="AO31" s="93"/>
      <c r="AP31" s="93"/>
      <c r="AQ31" s="94"/>
      <c r="AR31" s="91" t="s">
        <v>191</v>
      </c>
      <c r="AS31" s="91" t="s">
        <v>112</v>
      </c>
      <c r="AT31" s="150" t="s">
        <v>200</v>
      </c>
      <c r="AU31" s="165" t="s">
        <v>2264</v>
      </c>
      <c r="AV31" s="232" t="s">
        <v>2234</v>
      </c>
      <c r="AW31" s="126" t="s">
        <v>2247</v>
      </c>
      <c r="BA31" s="255"/>
      <c r="BB31" s="256"/>
      <c r="BC31" s="223" t="e">
        <f t="shared" si="8"/>
        <v>#DIV/0!</v>
      </c>
      <c r="BD31" s="255"/>
      <c r="BE31" s="256"/>
      <c r="BF31" s="223" t="e">
        <f t="shared" si="9"/>
        <v>#DIV/0!</v>
      </c>
      <c r="BG31" s="255"/>
      <c r="BH31" s="256"/>
      <c r="BI31" s="223" t="e">
        <f t="shared" si="10"/>
        <v>#DIV/0!</v>
      </c>
      <c r="BJ31" s="224">
        <f t="shared" si="11"/>
        <v>0</v>
      </c>
      <c r="BK31" s="225">
        <f t="shared" si="12"/>
        <v>0</v>
      </c>
      <c r="BL31" s="223" t="e">
        <f t="shared" si="13"/>
        <v>#DIV/0!</v>
      </c>
      <c r="BM31" s="255"/>
      <c r="BN31" s="256"/>
      <c r="BO31" s="223" t="e">
        <f t="shared" si="45"/>
        <v>#DIV/0!</v>
      </c>
      <c r="BP31" s="255"/>
      <c r="BQ31" s="256"/>
      <c r="BR31" s="223" t="e">
        <f t="shared" si="46"/>
        <v>#DIV/0!</v>
      </c>
      <c r="BS31" s="255"/>
      <c r="BT31" s="255"/>
      <c r="BU31" s="223" t="e">
        <f t="shared" si="47"/>
        <v>#DIV/0!</v>
      </c>
      <c r="BV31" s="224">
        <f t="shared" si="17"/>
        <v>0</v>
      </c>
      <c r="BW31" s="224">
        <f t="shared" si="18"/>
        <v>0</v>
      </c>
      <c r="BX31" s="223" t="e">
        <f t="shared" si="19"/>
        <v>#DIV/0!</v>
      </c>
      <c r="BY31" s="223">
        <f t="shared" si="20"/>
        <v>0</v>
      </c>
      <c r="BZ31" s="223">
        <f t="shared" si="21"/>
        <v>0</v>
      </c>
      <c r="CA31" s="226"/>
      <c r="CB31" s="175"/>
      <c r="CC31" s="191"/>
      <c r="CD31" s="192"/>
      <c r="CE31" s="193" t="e">
        <f t="shared" si="48"/>
        <v>#DIV/0!</v>
      </c>
      <c r="CF31" s="191"/>
      <c r="CG31" s="192"/>
      <c r="CH31" s="193" t="e">
        <f t="shared" si="49"/>
        <v>#DIV/0!</v>
      </c>
      <c r="CI31" s="197"/>
      <c r="CJ31" s="198"/>
      <c r="CK31" s="193" t="e">
        <f t="shared" si="50"/>
        <v>#DIV/0!</v>
      </c>
      <c r="CL31" s="195">
        <f t="shared" si="51"/>
        <v>0</v>
      </c>
      <c r="CM31" s="194">
        <f t="shared" si="52"/>
        <v>0</v>
      </c>
      <c r="CN31" s="193" t="e">
        <f t="shared" si="53"/>
        <v>#DIV/0!</v>
      </c>
      <c r="CO31" s="175"/>
      <c r="CP31" s="196">
        <f t="shared" si="54"/>
        <v>0</v>
      </c>
      <c r="CQ31" s="196">
        <f t="shared" si="55"/>
        <v>0</v>
      </c>
      <c r="CR31" s="199" t="e">
        <f t="shared" si="56"/>
        <v>#DIV/0!</v>
      </c>
      <c r="CS31" s="261">
        <f t="shared" si="29"/>
        <v>50</v>
      </c>
      <c r="CT31" s="175"/>
      <c r="CU31" s="196">
        <f t="shared" si="30"/>
        <v>15</v>
      </c>
      <c r="CV31" s="259"/>
      <c r="CW31" s="199">
        <f t="shared" si="31"/>
        <v>0</v>
      </c>
      <c r="CX31" s="196">
        <f t="shared" si="32"/>
        <v>15</v>
      </c>
      <c r="CY31" s="259"/>
      <c r="CZ31" s="199">
        <f t="shared" si="33"/>
        <v>0</v>
      </c>
      <c r="DA31" s="196">
        <f t="shared" si="34"/>
        <v>15</v>
      </c>
      <c r="DB31" s="259"/>
      <c r="DC31" s="199">
        <f t="shared" si="35"/>
        <v>0</v>
      </c>
      <c r="DD31" s="196">
        <f t="shared" si="36"/>
        <v>5</v>
      </c>
      <c r="DE31" s="259"/>
      <c r="DF31" s="199">
        <f t="shared" si="37"/>
        <v>0</v>
      </c>
      <c r="DG31" s="175"/>
      <c r="DH31" s="196">
        <f t="shared" si="38"/>
        <v>50</v>
      </c>
      <c r="DI31" s="196">
        <f t="shared" si="39"/>
        <v>0</v>
      </c>
      <c r="DJ31" s="199">
        <f t="shared" si="40"/>
        <v>0</v>
      </c>
      <c r="DK31" s="265">
        <f t="shared" si="41"/>
        <v>50</v>
      </c>
      <c r="DL31" s="244">
        <v>27</v>
      </c>
      <c r="DM31">
        <f t="shared" si="6"/>
        <v>0</v>
      </c>
    </row>
    <row r="32" spans="1:117" x14ac:dyDescent="0.3">
      <c r="A32" s="246">
        <v>28</v>
      </c>
      <c r="B32" s="91" t="s">
        <v>182</v>
      </c>
      <c r="C32" s="91" t="s">
        <v>118</v>
      </c>
      <c r="D32" s="91" t="s">
        <v>119</v>
      </c>
      <c r="E32" s="91" t="s">
        <v>120</v>
      </c>
      <c r="F32" s="91" t="s">
        <v>121</v>
      </c>
      <c r="G32" s="87" t="s">
        <v>164</v>
      </c>
      <c r="H32" s="87" t="s">
        <v>203</v>
      </c>
      <c r="I32" s="87" t="s">
        <v>210</v>
      </c>
      <c r="J32" s="87" t="s">
        <v>210</v>
      </c>
      <c r="K32" s="85" t="s">
        <v>104</v>
      </c>
      <c r="L32" s="85" t="s">
        <v>105</v>
      </c>
      <c r="M32" s="87" t="s">
        <v>106</v>
      </c>
      <c r="N32" s="87" t="s">
        <v>189</v>
      </c>
      <c r="O32" s="87" t="s">
        <v>127</v>
      </c>
      <c r="P32" s="87" t="s">
        <v>211</v>
      </c>
      <c r="Q32" s="87" t="s">
        <v>129</v>
      </c>
      <c r="R32" s="130">
        <v>100</v>
      </c>
      <c r="S32" s="88" t="s">
        <v>158</v>
      </c>
      <c r="T32" s="81">
        <v>25</v>
      </c>
      <c r="U32" s="81">
        <v>25</v>
      </c>
      <c r="V32" s="25">
        <f t="shared" si="57"/>
        <v>100</v>
      </c>
      <c r="W32" s="81">
        <v>25</v>
      </c>
      <c r="X32" s="81">
        <v>25</v>
      </c>
      <c r="Y32" s="25">
        <f t="shared" si="1"/>
        <v>100</v>
      </c>
      <c r="Z32" s="81">
        <v>25</v>
      </c>
      <c r="AA32" s="81"/>
      <c r="AB32" s="25">
        <f t="shared" si="2"/>
        <v>0</v>
      </c>
      <c r="AC32" s="81">
        <v>25</v>
      </c>
      <c r="AD32" s="81"/>
      <c r="AE32" s="25">
        <f t="shared" si="3"/>
        <v>0</v>
      </c>
      <c r="AF32" s="137">
        <f t="shared" si="43"/>
        <v>100</v>
      </c>
      <c r="AG32" s="137">
        <f t="shared" si="44"/>
        <v>50</v>
      </c>
      <c r="AH32" s="128">
        <f t="shared" si="5"/>
        <v>100</v>
      </c>
      <c r="AI32" s="90">
        <v>46113</v>
      </c>
      <c r="AJ32" s="90">
        <v>46477</v>
      </c>
      <c r="AK32" s="91" t="s">
        <v>112</v>
      </c>
      <c r="AL32" s="91" t="s">
        <v>113</v>
      </c>
      <c r="AM32" s="92" t="s">
        <v>114</v>
      </c>
      <c r="AN32" s="93"/>
      <c r="AO32" s="93"/>
      <c r="AP32" s="93"/>
      <c r="AQ32" s="94"/>
      <c r="AR32" s="91" t="s">
        <v>191</v>
      </c>
      <c r="AS32" s="91" t="s">
        <v>112</v>
      </c>
      <c r="AT32" s="150" t="s">
        <v>200</v>
      </c>
      <c r="AU32" s="165" t="s">
        <v>2264</v>
      </c>
      <c r="AV32" s="232" t="s">
        <v>2234</v>
      </c>
      <c r="AW32" s="126" t="s">
        <v>2247</v>
      </c>
      <c r="BA32" s="255"/>
      <c r="BB32" s="256"/>
      <c r="BC32" s="223" t="e">
        <f t="shared" si="8"/>
        <v>#DIV/0!</v>
      </c>
      <c r="BD32" s="255"/>
      <c r="BE32" s="256"/>
      <c r="BF32" s="223" t="e">
        <f t="shared" si="9"/>
        <v>#DIV/0!</v>
      </c>
      <c r="BG32" s="255"/>
      <c r="BH32" s="256"/>
      <c r="BI32" s="223" t="e">
        <f t="shared" si="10"/>
        <v>#DIV/0!</v>
      </c>
      <c r="BJ32" s="224">
        <f t="shared" si="11"/>
        <v>0</v>
      </c>
      <c r="BK32" s="225">
        <f t="shared" si="12"/>
        <v>0</v>
      </c>
      <c r="BL32" s="223" t="e">
        <f t="shared" si="13"/>
        <v>#DIV/0!</v>
      </c>
      <c r="BM32" s="255"/>
      <c r="BN32" s="256"/>
      <c r="BO32" s="223" t="e">
        <f t="shared" si="45"/>
        <v>#DIV/0!</v>
      </c>
      <c r="BP32" s="255"/>
      <c r="BQ32" s="256"/>
      <c r="BR32" s="223" t="e">
        <f t="shared" si="46"/>
        <v>#DIV/0!</v>
      </c>
      <c r="BS32" s="255"/>
      <c r="BT32" s="255"/>
      <c r="BU32" s="223" t="e">
        <f t="shared" si="47"/>
        <v>#DIV/0!</v>
      </c>
      <c r="BV32" s="224">
        <f t="shared" si="17"/>
        <v>0</v>
      </c>
      <c r="BW32" s="224">
        <f t="shared" si="18"/>
        <v>0</v>
      </c>
      <c r="BX32" s="223" t="e">
        <f t="shared" si="19"/>
        <v>#DIV/0!</v>
      </c>
      <c r="BY32" s="223">
        <f t="shared" si="20"/>
        <v>0</v>
      </c>
      <c r="BZ32" s="223">
        <f t="shared" si="21"/>
        <v>0</v>
      </c>
      <c r="CA32" s="226"/>
      <c r="CB32" s="175"/>
      <c r="CC32" s="191"/>
      <c r="CD32" s="192"/>
      <c r="CE32" s="193" t="e">
        <f t="shared" si="48"/>
        <v>#DIV/0!</v>
      </c>
      <c r="CF32" s="191"/>
      <c r="CG32" s="192"/>
      <c r="CH32" s="193" t="e">
        <f t="shared" si="49"/>
        <v>#DIV/0!</v>
      </c>
      <c r="CI32" s="197"/>
      <c r="CJ32" s="198"/>
      <c r="CK32" s="193" t="e">
        <f t="shared" si="50"/>
        <v>#DIV/0!</v>
      </c>
      <c r="CL32" s="195">
        <f t="shared" si="51"/>
        <v>0</v>
      </c>
      <c r="CM32" s="194">
        <f t="shared" si="52"/>
        <v>0</v>
      </c>
      <c r="CN32" s="193" t="e">
        <f t="shared" si="53"/>
        <v>#DIV/0!</v>
      </c>
      <c r="CO32" s="175"/>
      <c r="CP32" s="196">
        <f t="shared" si="54"/>
        <v>0</v>
      </c>
      <c r="CQ32" s="196">
        <f t="shared" si="55"/>
        <v>0</v>
      </c>
      <c r="CR32" s="199" t="e">
        <f t="shared" si="56"/>
        <v>#DIV/0!</v>
      </c>
      <c r="CS32" s="261">
        <f t="shared" si="29"/>
        <v>100</v>
      </c>
      <c r="CT32" s="175"/>
      <c r="CU32" s="196">
        <f t="shared" si="30"/>
        <v>30</v>
      </c>
      <c r="CV32" s="259"/>
      <c r="CW32" s="199">
        <f t="shared" si="31"/>
        <v>0</v>
      </c>
      <c r="CX32" s="196">
        <f t="shared" si="32"/>
        <v>30</v>
      </c>
      <c r="CY32" s="259"/>
      <c r="CZ32" s="199">
        <f t="shared" si="33"/>
        <v>0</v>
      </c>
      <c r="DA32" s="196">
        <f t="shared" si="34"/>
        <v>30</v>
      </c>
      <c r="DB32" s="259"/>
      <c r="DC32" s="199">
        <f t="shared" si="35"/>
        <v>0</v>
      </c>
      <c r="DD32" s="196">
        <f t="shared" si="36"/>
        <v>10</v>
      </c>
      <c r="DE32" s="259"/>
      <c r="DF32" s="199">
        <f t="shared" si="37"/>
        <v>0</v>
      </c>
      <c r="DG32" s="175"/>
      <c r="DH32" s="196">
        <f t="shared" si="38"/>
        <v>100</v>
      </c>
      <c r="DI32" s="196">
        <f t="shared" si="39"/>
        <v>0</v>
      </c>
      <c r="DJ32" s="199">
        <f t="shared" si="40"/>
        <v>0</v>
      </c>
      <c r="DK32" s="265">
        <f t="shared" si="41"/>
        <v>100</v>
      </c>
      <c r="DL32" s="244">
        <v>28</v>
      </c>
      <c r="DM32">
        <f t="shared" si="6"/>
        <v>0</v>
      </c>
    </row>
    <row r="33" spans="1:117" x14ac:dyDescent="0.3">
      <c r="A33" s="246">
        <v>29</v>
      </c>
      <c r="B33" s="91" t="s">
        <v>182</v>
      </c>
      <c r="C33" s="91" t="s">
        <v>133</v>
      </c>
      <c r="D33" s="91" t="s">
        <v>119</v>
      </c>
      <c r="E33" s="91" t="s">
        <v>212</v>
      </c>
      <c r="F33" s="91" t="s">
        <v>176</v>
      </c>
      <c r="G33" s="87" t="s">
        <v>164</v>
      </c>
      <c r="H33" s="87" t="s">
        <v>203</v>
      </c>
      <c r="I33" s="87" t="s">
        <v>188</v>
      </c>
      <c r="J33" s="87" t="s">
        <v>188</v>
      </c>
      <c r="K33" s="85" t="s">
        <v>104</v>
      </c>
      <c r="L33" s="85" t="s">
        <v>105</v>
      </c>
      <c r="M33" s="87" t="s">
        <v>106</v>
      </c>
      <c r="N33" s="87" t="s">
        <v>189</v>
      </c>
      <c r="O33" s="87" t="s">
        <v>127</v>
      </c>
      <c r="P33" s="241" t="s">
        <v>213</v>
      </c>
      <c r="Q33" s="87" t="s">
        <v>129</v>
      </c>
      <c r="R33" s="130">
        <v>1</v>
      </c>
      <c r="S33" s="88" t="s">
        <v>111</v>
      </c>
      <c r="T33" s="81">
        <v>0</v>
      </c>
      <c r="U33" s="81">
        <v>0</v>
      </c>
      <c r="V33" s="25" t="e">
        <f t="shared" si="57"/>
        <v>#DIV/0!</v>
      </c>
      <c r="W33" s="81">
        <v>0</v>
      </c>
      <c r="X33" s="81">
        <v>0</v>
      </c>
      <c r="Y33" s="25" t="e">
        <f t="shared" si="1"/>
        <v>#DIV/0!</v>
      </c>
      <c r="Z33" s="81">
        <v>1</v>
      </c>
      <c r="AA33" s="81"/>
      <c r="AB33" s="25">
        <f t="shared" si="2"/>
        <v>0</v>
      </c>
      <c r="AC33" s="81">
        <v>0</v>
      </c>
      <c r="AD33" s="81"/>
      <c r="AE33" s="25" t="e">
        <f t="shared" si="3"/>
        <v>#DIV/0!</v>
      </c>
      <c r="AF33" s="137">
        <f t="shared" si="43"/>
        <v>1</v>
      </c>
      <c r="AG33" s="137">
        <f t="shared" si="44"/>
        <v>0</v>
      </c>
      <c r="AH33" s="128" t="e">
        <f t="shared" si="5"/>
        <v>#DIV/0!</v>
      </c>
      <c r="AI33" s="90">
        <v>46113</v>
      </c>
      <c r="AJ33" s="90">
        <v>46477</v>
      </c>
      <c r="AK33" s="91" t="s">
        <v>112</v>
      </c>
      <c r="AL33" s="91" t="s">
        <v>113</v>
      </c>
      <c r="AM33" s="92" t="s">
        <v>114</v>
      </c>
      <c r="AN33" s="93">
        <v>40000000</v>
      </c>
      <c r="AO33" s="93">
        <v>40000000</v>
      </c>
      <c r="AP33" s="93">
        <v>40000000</v>
      </c>
      <c r="AQ33" s="94">
        <v>0</v>
      </c>
      <c r="AR33" s="91" t="s">
        <v>191</v>
      </c>
      <c r="AS33" s="91" t="s">
        <v>112</v>
      </c>
      <c r="AT33" s="150" t="s">
        <v>200</v>
      </c>
      <c r="AU33" s="165" t="s">
        <v>2264</v>
      </c>
      <c r="AV33" s="232" t="s">
        <v>2234</v>
      </c>
      <c r="AW33" s="126" t="s">
        <v>2247</v>
      </c>
      <c r="BA33" s="255"/>
      <c r="BB33" s="256"/>
      <c r="BC33" s="223" t="e">
        <f t="shared" si="8"/>
        <v>#DIV/0!</v>
      </c>
      <c r="BD33" s="255"/>
      <c r="BE33" s="256"/>
      <c r="BF33" s="223" t="e">
        <f t="shared" si="9"/>
        <v>#DIV/0!</v>
      </c>
      <c r="BG33" s="255"/>
      <c r="BH33" s="256"/>
      <c r="BI33" s="223" t="e">
        <f t="shared" si="10"/>
        <v>#DIV/0!</v>
      </c>
      <c r="BJ33" s="224">
        <f t="shared" si="11"/>
        <v>0</v>
      </c>
      <c r="BK33" s="225">
        <f t="shared" si="12"/>
        <v>0</v>
      </c>
      <c r="BL33" s="223" t="e">
        <f t="shared" si="13"/>
        <v>#DIV/0!</v>
      </c>
      <c r="BM33" s="255"/>
      <c r="BN33" s="256"/>
      <c r="BO33" s="223" t="e">
        <f t="shared" si="45"/>
        <v>#DIV/0!</v>
      </c>
      <c r="BP33" s="255"/>
      <c r="BQ33" s="256"/>
      <c r="BR33" s="223" t="e">
        <f t="shared" si="46"/>
        <v>#DIV/0!</v>
      </c>
      <c r="BS33" s="255"/>
      <c r="BT33" s="255"/>
      <c r="BU33" s="223" t="e">
        <f t="shared" si="47"/>
        <v>#DIV/0!</v>
      </c>
      <c r="BV33" s="224">
        <f t="shared" si="17"/>
        <v>0</v>
      </c>
      <c r="BW33" s="224">
        <f t="shared" si="18"/>
        <v>0</v>
      </c>
      <c r="BX33" s="223" t="e">
        <f t="shared" si="19"/>
        <v>#DIV/0!</v>
      </c>
      <c r="BY33" s="223">
        <f t="shared" si="20"/>
        <v>0</v>
      </c>
      <c r="BZ33" s="223">
        <f t="shared" si="21"/>
        <v>0</v>
      </c>
      <c r="CA33" s="226"/>
      <c r="CB33" s="175"/>
      <c r="CC33" s="191"/>
      <c r="CD33" s="192"/>
      <c r="CE33" s="193" t="e">
        <f t="shared" si="48"/>
        <v>#DIV/0!</v>
      </c>
      <c r="CF33" s="191"/>
      <c r="CG33" s="192"/>
      <c r="CH33" s="193" t="e">
        <f t="shared" si="49"/>
        <v>#DIV/0!</v>
      </c>
      <c r="CI33" s="197"/>
      <c r="CJ33" s="198"/>
      <c r="CK33" s="193" t="e">
        <f t="shared" si="50"/>
        <v>#DIV/0!</v>
      </c>
      <c r="CL33" s="195">
        <f t="shared" si="51"/>
        <v>0</v>
      </c>
      <c r="CM33" s="194">
        <f t="shared" si="52"/>
        <v>0</v>
      </c>
      <c r="CN33" s="193" t="e">
        <f t="shared" si="53"/>
        <v>#DIV/0!</v>
      </c>
      <c r="CO33" s="175"/>
      <c r="CP33" s="196">
        <f t="shared" si="54"/>
        <v>0</v>
      </c>
      <c r="CQ33" s="196">
        <f t="shared" si="55"/>
        <v>0</v>
      </c>
      <c r="CR33" s="199" t="e">
        <f t="shared" si="56"/>
        <v>#DIV/0!</v>
      </c>
      <c r="CS33" s="261">
        <f t="shared" si="29"/>
        <v>1</v>
      </c>
      <c r="CT33" s="175"/>
      <c r="CU33" s="196">
        <f t="shared" si="30"/>
        <v>0.3</v>
      </c>
      <c r="CV33" s="259"/>
      <c r="CW33" s="199">
        <f t="shared" si="31"/>
        <v>0</v>
      </c>
      <c r="CX33" s="196">
        <f t="shared" si="32"/>
        <v>0.3</v>
      </c>
      <c r="CY33" s="259"/>
      <c r="CZ33" s="199">
        <f t="shared" si="33"/>
        <v>0</v>
      </c>
      <c r="DA33" s="196">
        <f t="shared" si="34"/>
        <v>0.3</v>
      </c>
      <c r="DB33" s="259"/>
      <c r="DC33" s="199">
        <f t="shared" si="35"/>
        <v>0</v>
      </c>
      <c r="DD33" s="196">
        <f t="shared" si="36"/>
        <v>0.1</v>
      </c>
      <c r="DE33" s="259"/>
      <c r="DF33" s="199">
        <f t="shared" si="37"/>
        <v>0</v>
      </c>
      <c r="DG33" s="175"/>
      <c r="DH33" s="196">
        <f t="shared" si="38"/>
        <v>1</v>
      </c>
      <c r="DI33" s="196">
        <f t="shared" si="39"/>
        <v>0</v>
      </c>
      <c r="DJ33" s="199">
        <f t="shared" si="40"/>
        <v>0</v>
      </c>
      <c r="DK33" s="265">
        <f t="shared" si="41"/>
        <v>1</v>
      </c>
      <c r="DL33" s="244">
        <v>29</v>
      </c>
      <c r="DM33">
        <f t="shared" si="6"/>
        <v>0</v>
      </c>
    </row>
    <row r="34" spans="1:117" x14ac:dyDescent="0.3">
      <c r="A34" s="246">
        <v>30</v>
      </c>
      <c r="B34" s="91" t="s">
        <v>182</v>
      </c>
      <c r="C34" s="91" t="s">
        <v>133</v>
      </c>
      <c r="D34" s="91" t="s">
        <v>119</v>
      </c>
      <c r="E34" s="91" t="s">
        <v>212</v>
      </c>
      <c r="F34" s="91" t="s">
        <v>176</v>
      </c>
      <c r="G34" s="87" t="s">
        <v>186</v>
      </c>
      <c r="H34" s="87" t="s">
        <v>187</v>
      </c>
      <c r="I34" s="87" t="s">
        <v>188</v>
      </c>
      <c r="J34" s="87" t="s">
        <v>188</v>
      </c>
      <c r="K34" s="85" t="s">
        <v>104</v>
      </c>
      <c r="L34" s="85" t="s">
        <v>105</v>
      </c>
      <c r="M34" s="87" t="s">
        <v>106</v>
      </c>
      <c r="N34" s="87" t="s">
        <v>189</v>
      </c>
      <c r="O34" s="87" t="s">
        <v>127</v>
      </c>
      <c r="P34" s="241" t="s">
        <v>214</v>
      </c>
      <c r="Q34" s="87" t="s">
        <v>129</v>
      </c>
      <c r="R34" s="130">
        <v>1</v>
      </c>
      <c r="S34" s="88" t="s">
        <v>111</v>
      </c>
      <c r="T34" s="81">
        <v>0</v>
      </c>
      <c r="U34" s="81">
        <v>0</v>
      </c>
      <c r="V34" s="25" t="e">
        <f t="shared" si="57"/>
        <v>#DIV/0!</v>
      </c>
      <c r="W34" s="81">
        <v>0</v>
      </c>
      <c r="X34" s="81">
        <v>1</v>
      </c>
      <c r="Y34" s="25" t="e">
        <f t="shared" si="1"/>
        <v>#DIV/0!</v>
      </c>
      <c r="Z34" s="81">
        <v>0</v>
      </c>
      <c r="AA34" s="81">
        <v>0</v>
      </c>
      <c r="AB34" s="25" t="e">
        <f t="shared" si="2"/>
        <v>#DIV/0!</v>
      </c>
      <c r="AC34" s="81">
        <v>1</v>
      </c>
      <c r="AD34" s="81">
        <v>0</v>
      </c>
      <c r="AE34" s="25">
        <f t="shared" si="3"/>
        <v>0</v>
      </c>
      <c r="AF34" s="137">
        <f t="shared" si="43"/>
        <v>1</v>
      </c>
      <c r="AG34" s="137">
        <f t="shared" si="44"/>
        <v>1</v>
      </c>
      <c r="AH34" s="128">
        <f t="shared" si="5"/>
        <v>100</v>
      </c>
      <c r="AI34" s="90">
        <v>46113</v>
      </c>
      <c r="AJ34" s="90">
        <v>46477</v>
      </c>
      <c r="AK34" s="91" t="s">
        <v>112</v>
      </c>
      <c r="AL34" s="91" t="s">
        <v>113</v>
      </c>
      <c r="AM34" s="92" t="s">
        <v>114</v>
      </c>
      <c r="AN34" s="93">
        <v>40000000</v>
      </c>
      <c r="AO34" s="93">
        <v>40000000</v>
      </c>
      <c r="AP34" s="93">
        <v>40000000</v>
      </c>
      <c r="AQ34" s="94">
        <f>AO34</f>
        <v>40000000</v>
      </c>
      <c r="AR34" s="91" t="s">
        <v>191</v>
      </c>
      <c r="AS34" s="91" t="s">
        <v>112</v>
      </c>
      <c r="AT34" s="150" t="s">
        <v>200</v>
      </c>
      <c r="AU34" s="165" t="s">
        <v>2264</v>
      </c>
      <c r="AV34" s="232" t="s">
        <v>2234</v>
      </c>
      <c r="AW34" s="126" t="s">
        <v>2247</v>
      </c>
      <c r="BA34" s="255"/>
      <c r="BB34" s="256"/>
      <c r="BC34" s="223" t="e">
        <f t="shared" si="8"/>
        <v>#DIV/0!</v>
      </c>
      <c r="BD34" s="255"/>
      <c r="BE34" s="256"/>
      <c r="BF34" s="223" t="e">
        <f t="shared" si="9"/>
        <v>#DIV/0!</v>
      </c>
      <c r="BG34" s="255"/>
      <c r="BH34" s="256"/>
      <c r="BI34" s="223" t="e">
        <f t="shared" si="10"/>
        <v>#DIV/0!</v>
      </c>
      <c r="BJ34" s="224">
        <f t="shared" si="11"/>
        <v>0</v>
      </c>
      <c r="BK34" s="225">
        <f t="shared" si="12"/>
        <v>0</v>
      </c>
      <c r="BL34" s="223" t="e">
        <f t="shared" si="13"/>
        <v>#DIV/0!</v>
      </c>
      <c r="BM34" s="255"/>
      <c r="BN34" s="256"/>
      <c r="BO34" s="223" t="e">
        <f t="shared" si="45"/>
        <v>#DIV/0!</v>
      </c>
      <c r="BP34" s="255"/>
      <c r="BQ34" s="256"/>
      <c r="BR34" s="223" t="e">
        <f t="shared" si="46"/>
        <v>#DIV/0!</v>
      </c>
      <c r="BS34" s="255"/>
      <c r="BT34" s="255"/>
      <c r="BU34" s="223" t="e">
        <f t="shared" si="47"/>
        <v>#DIV/0!</v>
      </c>
      <c r="BV34" s="224">
        <f t="shared" si="17"/>
        <v>0</v>
      </c>
      <c r="BW34" s="224">
        <f t="shared" si="18"/>
        <v>0</v>
      </c>
      <c r="BX34" s="223" t="e">
        <f t="shared" si="19"/>
        <v>#DIV/0!</v>
      </c>
      <c r="BY34" s="223">
        <f t="shared" si="20"/>
        <v>0</v>
      </c>
      <c r="BZ34" s="223">
        <f t="shared" si="21"/>
        <v>0</v>
      </c>
      <c r="CA34" s="226"/>
      <c r="CB34" s="175"/>
      <c r="CC34" s="191"/>
      <c r="CD34" s="192"/>
      <c r="CE34" s="193" t="e">
        <f t="shared" si="48"/>
        <v>#DIV/0!</v>
      </c>
      <c r="CF34" s="191"/>
      <c r="CG34" s="192"/>
      <c r="CH34" s="193" t="e">
        <f t="shared" si="49"/>
        <v>#DIV/0!</v>
      </c>
      <c r="CI34" s="197"/>
      <c r="CJ34" s="198"/>
      <c r="CK34" s="193" t="e">
        <f t="shared" si="50"/>
        <v>#DIV/0!</v>
      </c>
      <c r="CL34" s="195">
        <f t="shared" si="51"/>
        <v>0</v>
      </c>
      <c r="CM34" s="194">
        <f t="shared" si="52"/>
        <v>0</v>
      </c>
      <c r="CN34" s="193" t="e">
        <f t="shared" si="53"/>
        <v>#DIV/0!</v>
      </c>
      <c r="CO34" s="175"/>
      <c r="CP34" s="196">
        <f t="shared" si="54"/>
        <v>0</v>
      </c>
      <c r="CQ34" s="196">
        <f t="shared" si="55"/>
        <v>0</v>
      </c>
      <c r="CR34" s="199" t="e">
        <f t="shared" si="56"/>
        <v>#DIV/0!</v>
      </c>
      <c r="CS34" s="261">
        <f t="shared" si="29"/>
        <v>1</v>
      </c>
      <c r="CT34" s="175"/>
      <c r="CU34" s="196">
        <f t="shared" si="30"/>
        <v>0.3</v>
      </c>
      <c r="CV34" s="259"/>
      <c r="CW34" s="199">
        <f t="shared" si="31"/>
        <v>0</v>
      </c>
      <c r="CX34" s="196">
        <f t="shared" si="32"/>
        <v>0.3</v>
      </c>
      <c r="CY34" s="259"/>
      <c r="CZ34" s="199">
        <f t="shared" si="33"/>
        <v>0</v>
      </c>
      <c r="DA34" s="196">
        <f t="shared" si="34"/>
        <v>0.3</v>
      </c>
      <c r="DB34" s="259"/>
      <c r="DC34" s="199">
        <f t="shared" si="35"/>
        <v>0</v>
      </c>
      <c r="DD34" s="196">
        <f t="shared" si="36"/>
        <v>0.1</v>
      </c>
      <c r="DE34" s="259"/>
      <c r="DF34" s="199">
        <f t="shared" si="37"/>
        <v>0</v>
      </c>
      <c r="DG34" s="175"/>
      <c r="DH34" s="196">
        <f t="shared" si="38"/>
        <v>1</v>
      </c>
      <c r="DI34" s="196">
        <f t="shared" si="39"/>
        <v>0</v>
      </c>
      <c r="DJ34" s="199">
        <f t="shared" si="40"/>
        <v>0</v>
      </c>
      <c r="DK34" s="265">
        <f t="shared" si="41"/>
        <v>1</v>
      </c>
      <c r="DL34" s="244">
        <v>30</v>
      </c>
      <c r="DM34">
        <f t="shared" si="6"/>
        <v>0</v>
      </c>
    </row>
    <row r="35" spans="1:117" x14ac:dyDescent="0.3">
      <c r="A35" s="246">
        <v>31</v>
      </c>
      <c r="B35" s="91" t="s">
        <v>215</v>
      </c>
      <c r="C35" s="91" t="s">
        <v>97</v>
      </c>
      <c r="D35" s="91" t="s">
        <v>98</v>
      </c>
      <c r="E35" s="91" t="s">
        <v>216</v>
      </c>
      <c r="F35" s="91" t="s">
        <v>217</v>
      </c>
      <c r="G35" s="87" t="s">
        <v>186</v>
      </c>
      <c r="H35" s="87" t="s">
        <v>187</v>
      </c>
      <c r="I35" s="87" t="s">
        <v>218</v>
      </c>
      <c r="J35" s="87" t="s">
        <v>218</v>
      </c>
      <c r="K35" s="85" t="s">
        <v>104</v>
      </c>
      <c r="L35" s="85" t="s">
        <v>105</v>
      </c>
      <c r="M35" s="87" t="s">
        <v>106</v>
      </c>
      <c r="N35" s="87" t="s">
        <v>219</v>
      </c>
      <c r="O35" s="87" t="s">
        <v>108</v>
      </c>
      <c r="P35" s="87" t="s">
        <v>220</v>
      </c>
      <c r="Q35" s="87" t="s">
        <v>110</v>
      </c>
      <c r="R35" s="130">
        <v>29</v>
      </c>
      <c r="S35" s="88" t="s">
        <v>111</v>
      </c>
      <c r="T35" s="81">
        <v>0</v>
      </c>
      <c r="U35" s="81">
        <v>0</v>
      </c>
      <c r="V35" s="25" t="e">
        <f t="shared" si="57"/>
        <v>#DIV/0!</v>
      </c>
      <c r="W35" s="81">
        <v>10</v>
      </c>
      <c r="X35" s="81"/>
      <c r="Y35" s="25">
        <f t="shared" si="1"/>
        <v>0</v>
      </c>
      <c r="Z35" s="81">
        <v>10</v>
      </c>
      <c r="AA35" s="81"/>
      <c r="AB35" s="25">
        <f t="shared" si="2"/>
        <v>0</v>
      </c>
      <c r="AC35" s="81">
        <v>9</v>
      </c>
      <c r="AD35" s="81"/>
      <c r="AE35" s="25">
        <f t="shared" si="3"/>
        <v>0</v>
      </c>
      <c r="AF35" s="137">
        <f t="shared" si="43"/>
        <v>29</v>
      </c>
      <c r="AG35" s="137">
        <f t="shared" si="44"/>
        <v>0</v>
      </c>
      <c r="AH35" s="128" t="e">
        <f t="shared" si="5"/>
        <v>#DIV/0!</v>
      </c>
      <c r="AI35" s="90">
        <v>46054</v>
      </c>
      <c r="AJ35" s="90">
        <v>46477</v>
      </c>
      <c r="AK35" s="91" t="s">
        <v>112</v>
      </c>
      <c r="AL35" s="91" t="s">
        <v>113</v>
      </c>
      <c r="AM35" s="92" t="s">
        <v>114</v>
      </c>
      <c r="AN35" s="93">
        <v>200000000</v>
      </c>
      <c r="AO35" s="93">
        <v>200000000</v>
      </c>
      <c r="AP35" s="93">
        <v>200000000</v>
      </c>
      <c r="AQ35" s="94">
        <v>0</v>
      </c>
      <c r="AR35" s="91" t="s">
        <v>159</v>
      </c>
      <c r="AS35" s="91" t="s">
        <v>112</v>
      </c>
      <c r="AT35" s="150" t="s">
        <v>221</v>
      </c>
      <c r="AU35" s="165" t="s">
        <v>2264</v>
      </c>
      <c r="AV35" s="232" t="s">
        <v>2234</v>
      </c>
      <c r="AW35" s="126" t="s">
        <v>2255</v>
      </c>
      <c r="BA35" s="255"/>
      <c r="BB35" s="256"/>
      <c r="BC35" s="223" t="e">
        <f t="shared" si="8"/>
        <v>#DIV/0!</v>
      </c>
      <c r="BD35" s="255"/>
      <c r="BE35" s="256"/>
      <c r="BF35" s="223" t="e">
        <f t="shared" si="9"/>
        <v>#DIV/0!</v>
      </c>
      <c r="BG35" s="255"/>
      <c r="BH35" s="256"/>
      <c r="BI35" s="223" t="e">
        <f t="shared" si="10"/>
        <v>#DIV/0!</v>
      </c>
      <c r="BJ35" s="224">
        <f t="shared" si="11"/>
        <v>0</v>
      </c>
      <c r="BK35" s="225">
        <f t="shared" si="12"/>
        <v>0</v>
      </c>
      <c r="BL35" s="223" t="e">
        <f t="shared" si="13"/>
        <v>#DIV/0!</v>
      </c>
      <c r="BM35" s="255"/>
      <c r="BN35" s="256"/>
      <c r="BO35" s="223" t="e">
        <f t="shared" si="45"/>
        <v>#DIV/0!</v>
      </c>
      <c r="BP35" s="255"/>
      <c r="BQ35" s="256"/>
      <c r="BR35" s="223" t="e">
        <f t="shared" si="46"/>
        <v>#DIV/0!</v>
      </c>
      <c r="BS35" s="255"/>
      <c r="BT35" s="255"/>
      <c r="BU35" s="223" t="e">
        <f t="shared" si="47"/>
        <v>#DIV/0!</v>
      </c>
      <c r="BV35" s="224">
        <f t="shared" si="17"/>
        <v>0</v>
      </c>
      <c r="BW35" s="224">
        <f t="shared" si="18"/>
        <v>0</v>
      </c>
      <c r="BX35" s="223" t="e">
        <f t="shared" si="19"/>
        <v>#DIV/0!</v>
      </c>
      <c r="BY35" s="223">
        <f t="shared" si="20"/>
        <v>0</v>
      </c>
      <c r="BZ35" s="223">
        <f t="shared" si="21"/>
        <v>0</v>
      </c>
      <c r="CA35" s="226"/>
      <c r="CB35" s="175"/>
      <c r="CC35" s="191"/>
      <c r="CD35" s="192"/>
      <c r="CE35" s="193" t="e">
        <f t="shared" si="48"/>
        <v>#DIV/0!</v>
      </c>
      <c r="CF35" s="191"/>
      <c r="CG35" s="192"/>
      <c r="CH35" s="193" t="e">
        <f t="shared" si="49"/>
        <v>#DIV/0!</v>
      </c>
      <c r="CI35" s="197"/>
      <c r="CJ35" s="198"/>
      <c r="CK35" s="193" t="e">
        <f t="shared" si="50"/>
        <v>#DIV/0!</v>
      </c>
      <c r="CL35" s="195">
        <f t="shared" si="51"/>
        <v>0</v>
      </c>
      <c r="CM35" s="194">
        <f t="shared" si="52"/>
        <v>0</v>
      </c>
      <c r="CN35" s="193" t="e">
        <f t="shared" si="53"/>
        <v>#DIV/0!</v>
      </c>
      <c r="CO35" s="175"/>
      <c r="CP35" s="196">
        <f t="shared" si="54"/>
        <v>0</v>
      </c>
      <c r="CQ35" s="196">
        <f t="shared" si="55"/>
        <v>0</v>
      </c>
      <c r="CR35" s="199" t="e">
        <f t="shared" si="56"/>
        <v>#DIV/0!</v>
      </c>
      <c r="CS35" s="261">
        <f t="shared" si="29"/>
        <v>29</v>
      </c>
      <c r="CT35" s="175"/>
      <c r="CU35" s="196">
        <f t="shared" si="30"/>
        <v>8.6999999999999993</v>
      </c>
      <c r="CV35" s="259"/>
      <c r="CW35" s="199">
        <f t="shared" si="31"/>
        <v>0</v>
      </c>
      <c r="CX35" s="196">
        <f t="shared" si="32"/>
        <v>8.6999999999999993</v>
      </c>
      <c r="CY35" s="259"/>
      <c r="CZ35" s="199">
        <f t="shared" si="33"/>
        <v>0</v>
      </c>
      <c r="DA35" s="196">
        <f t="shared" si="34"/>
        <v>8.6999999999999993</v>
      </c>
      <c r="DB35" s="259"/>
      <c r="DC35" s="199">
        <f t="shared" si="35"/>
        <v>0</v>
      </c>
      <c r="DD35" s="196">
        <f t="shared" si="36"/>
        <v>2.9000000000000004</v>
      </c>
      <c r="DE35" s="259"/>
      <c r="DF35" s="199">
        <f t="shared" si="37"/>
        <v>0</v>
      </c>
      <c r="DG35" s="175"/>
      <c r="DH35" s="196">
        <f t="shared" si="38"/>
        <v>29</v>
      </c>
      <c r="DI35" s="196">
        <f t="shared" si="39"/>
        <v>0</v>
      </c>
      <c r="DJ35" s="199">
        <f t="shared" si="40"/>
        <v>0</v>
      </c>
      <c r="DK35" s="265">
        <f t="shared" si="41"/>
        <v>29</v>
      </c>
      <c r="DL35" s="244">
        <v>31</v>
      </c>
      <c r="DM35">
        <f t="shared" si="6"/>
        <v>0</v>
      </c>
    </row>
    <row r="36" spans="1:117" x14ac:dyDescent="0.3">
      <c r="A36" s="246">
        <v>32</v>
      </c>
      <c r="B36" s="91" t="s">
        <v>215</v>
      </c>
      <c r="C36" s="91" t="s">
        <v>97</v>
      </c>
      <c r="D36" s="91" t="s">
        <v>98</v>
      </c>
      <c r="E36" s="91" t="s">
        <v>155</v>
      </c>
      <c r="F36" s="91" t="s">
        <v>217</v>
      </c>
      <c r="G36" s="87" t="s">
        <v>186</v>
      </c>
      <c r="H36" s="87" t="s">
        <v>187</v>
      </c>
      <c r="I36" s="87" t="s">
        <v>222</v>
      </c>
      <c r="J36" s="87" t="s">
        <v>222</v>
      </c>
      <c r="K36" s="85" t="s">
        <v>104</v>
      </c>
      <c r="L36" s="85" t="s">
        <v>105</v>
      </c>
      <c r="M36" s="87" t="s">
        <v>106</v>
      </c>
      <c r="N36" s="87" t="s">
        <v>219</v>
      </c>
      <c r="O36" s="87" t="s">
        <v>108</v>
      </c>
      <c r="P36" s="87" t="s">
        <v>223</v>
      </c>
      <c r="Q36" s="87" t="s">
        <v>110</v>
      </c>
      <c r="R36" s="130">
        <v>29</v>
      </c>
      <c r="S36" s="88" t="s">
        <v>111</v>
      </c>
      <c r="T36" s="81">
        <v>0</v>
      </c>
      <c r="U36" s="81">
        <v>0</v>
      </c>
      <c r="V36" s="25" t="e">
        <f t="shared" si="57"/>
        <v>#DIV/0!</v>
      </c>
      <c r="W36" s="81">
        <v>10</v>
      </c>
      <c r="X36" s="81">
        <v>0</v>
      </c>
      <c r="Y36" s="25">
        <f t="shared" si="1"/>
        <v>0</v>
      </c>
      <c r="Z36" s="81">
        <v>10</v>
      </c>
      <c r="AA36" s="81"/>
      <c r="AB36" s="25">
        <f t="shared" si="2"/>
        <v>0</v>
      </c>
      <c r="AC36" s="81">
        <v>9</v>
      </c>
      <c r="AD36" s="81"/>
      <c r="AE36" s="25">
        <f t="shared" si="3"/>
        <v>0</v>
      </c>
      <c r="AF36" s="137">
        <f t="shared" si="43"/>
        <v>29</v>
      </c>
      <c r="AG36" s="137">
        <f t="shared" si="44"/>
        <v>0</v>
      </c>
      <c r="AH36" s="128">
        <f t="shared" si="5"/>
        <v>0</v>
      </c>
      <c r="AI36" s="90">
        <v>46054</v>
      </c>
      <c r="AJ36" s="90">
        <v>46477</v>
      </c>
      <c r="AK36" s="91" t="s">
        <v>112</v>
      </c>
      <c r="AL36" s="91" t="s">
        <v>113</v>
      </c>
      <c r="AM36" s="92" t="s">
        <v>114</v>
      </c>
      <c r="AN36" s="93">
        <v>100000000</v>
      </c>
      <c r="AO36" s="93">
        <v>100000000</v>
      </c>
      <c r="AP36" s="93">
        <v>100000000</v>
      </c>
      <c r="AQ36" s="94">
        <v>0</v>
      </c>
      <c r="AR36" s="91" t="s">
        <v>159</v>
      </c>
      <c r="AS36" s="91" t="s">
        <v>112</v>
      </c>
      <c r="AT36" s="150" t="s">
        <v>221</v>
      </c>
      <c r="AU36" s="165" t="s">
        <v>2264</v>
      </c>
      <c r="AV36" s="232" t="s">
        <v>2234</v>
      </c>
      <c r="AW36" s="126" t="s">
        <v>2255</v>
      </c>
      <c r="BA36" s="255"/>
      <c r="BB36" s="256"/>
      <c r="BC36" s="223" t="e">
        <f t="shared" si="8"/>
        <v>#DIV/0!</v>
      </c>
      <c r="BD36" s="255"/>
      <c r="BE36" s="256"/>
      <c r="BF36" s="223" t="e">
        <f t="shared" si="9"/>
        <v>#DIV/0!</v>
      </c>
      <c r="BG36" s="255"/>
      <c r="BH36" s="256"/>
      <c r="BI36" s="223" t="e">
        <f t="shared" si="10"/>
        <v>#DIV/0!</v>
      </c>
      <c r="BJ36" s="224">
        <f t="shared" si="11"/>
        <v>0</v>
      </c>
      <c r="BK36" s="225">
        <f t="shared" si="12"/>
        <v>0</v>
      </c>
      <c r="BL36" s="223" t="e">
        <f t="shared" si="13"/>
        <v>#DIV/0!</v>
      </c>
      <c r="BM36" s="255"/>
      <c r="BN36" s="256"/>
      <c r="BO36" s="223" t="e">
        <f t="shared" si="45"/>
        <v>#DIV/0!</v>
      </c>
      <c r="BP36" s="255"/>
      <c r="BQ36" s="256"/>
      <c r="BR36" s="223" t="e">
        <f t="shared" si="46"/>
        <v>#DIV/0!</v>
      </c>
      <c r="BS36" s="255"/>
      <c r="BT36" s="255"/>
      <c r="BU36" s="223" t="e">
        <f t="shared" si="47"/>
        <v>#DIV/0!</v>
      </c>
      <c r="BV36" s="224">
        <f t="shared" si="17"/>
        <v>0</v>
      </c>
      <c r="BW36" s="224">
        <f t="shared" si="18"/>
        <v>0</v>
      </c>
      <c r="BX36" s="223" t="e">
        <f t="shared" si="19"/>
        <v>#DIV/0!</v>
      </c>
      <c r="BY36" s="223">
        <f t="shared" si="20"/>
        <v>0</v>
      </c>
      <c r="BZ36" s="223">
        <f t="shared" si="21"/>
        <v>0</v>
      </c>
      <c r="CA36" s="226"/>
      <c r="CB36" s="175"/>
      <c r="CC36" s="191"/>
      <c r="CD36" s="192"/>
      <c r="CE36" s="193" t="e">
        <f t="shared" si="48"/>
        <v>#DIV/0!</v>
      </c>
      <c r="CF36" s="191"/>
      <c r="CG36" s="192"/>
      <c r="CH36" s="193" t="e">
        <f t="shared" si="49"/>
        <v>#DIV/0!</v>
      </c>
      <c r="CI36" s="197"/>
      <c r="CJ36" s="198"/>
      <c r="CK36" s="193" t="e">
        <f t="shared" si="50"/>
        <v>#DIV/0!</v>
      </c>
      <c r="CL36" s="195">
        <f t="shared" si="51"/>
        <v>0</v>
      </c>
      <c r="CM36" s="194">
        <f t="shared" si="52"/>
        <v>0</v>
      </c>
      <c r="CN36" s="193" t="e">
        <f t="shared" si="53"/>
        <v>#DIV/0!</v>
      </c>
      <c r="CO36" s="175"/>
      <c r="CP36" s="196">
        <f t="shared" si="54"/>
        <v>0</v>
      </c>
      <c r="CQ36" s="196">
        <f t="shared" si="55"/>
        <v>0</v>
      </c>
      <c r="CR36" s="199" t="e">
        <f t="shared" si="56"/>
        <v>#DIV/0!</v>
      </c>
      <c r="CS36" s="261">
        <f t="shared" si="29"/>
        <v>29</v>
      </c>
      <c r="CT36" s="175"/>
      <c r="CU36" s="196">
        <f t="shared" si="30"/>
        <v>8.6999999999999993</v>
      </c>
      <c r="CV36" s="259"/>
      <c r="CW36" s="199">
        <f t="shared" si="31"/>
        <v>0</v>
      </c>
      <c r="CX36" s="196">
        <f t="shared" si="32"/>
        <v>8.6999999999999993</v>
      </c>
      <c r="CY36" s="259"/>
      <c r="CZ36" s="199">
        <f t="shared" si="33"/>
        <v>0</v>
      </c>
      <c r="DA36" s="196">
        <f t="shared" si="34"/>
        <v>8.6999999999999993</v>
      </c>
      <c r="DB36" s="259"/>
      <c r="DC36" s="199">
        <f t="shared" si="35"/>
        <v>0</v>
      </c>
      <c r="DD36" s="196">
        <f t="shared" si="36"/>
        <v>2.9000000000000004</v>
      </c>
      <c r="DE36" s="259"/>
      <c r="DF36" s="199">
        <f t="shared" si="37"/>
        <v>0</v>
      </c>
      <c r="DG36" s="175"/>
      <c r="DH36" s="196">
        <f t="shared" si="38"/>
        <v>29</v>
      </c>
      <c r="DI36" s="196">
        <f t="shared" si="39"/>
        <v>0</v>
      </c>
      <c r="DJ36" s="199">
        <f t="shared" si="40"/>
        <v>0</v>
      </c>
      <c r="DK36" s="265">
        <f t="shared" si="41"/>
        <v>29</v>
      </c>
      <c r="DL36" s="244">
        <v>32</v>
      </c>
      <c r="DM36">
        <f t="shared" si="6"/>
        <v>0</v>
      </c>
    </row>
    <row r="37" spans="1:117" x14ac:dyDescent="0.3">
      <c r="A37" s="246">
        <v>33</v>
      </c>
      <c r="B37" s="91" t="s">
        <v>215</v>
      </c>
      <c r="C37" s="91" t="s">
        <v>97</v>
      </c>
      <c r="D37" s="91" t="s">
        <v>98</v>
      </c>
      <c r="E37" s="91" t="s">
        <v>216</v>
      </c>
      <c r="F37" s="91" t="s">
        <v>217</v>
      </c>
      <c r="G37" s="87" t="s">
        <v>186</v>
      </c>
      <c r="H37" s="87" t="s">
        <v>187</v>
      </c>
      <c r="I37" s="87" t="s">
        <v>224</v>
      </c>
      <c r="J37" s="87" t="s">
        <v>224</v>
      </c>
      <c r="K37" s="85" t="s">
        <v>104</v>
      </c>
      <c r="L37" s="85" t="s">
        <v>105</v>
      </c>
      <c r="M37" s="87" t="s">
        <v>106</v>
      </c>
      <c r="N37" s="87" t="s">
        <v>219</v>
      </c>
      <c r="O37" s="87" t="s">
        <v>108</v>
      </c>
      <c r="P37" s="87" t="s">
        <v>225</v>
      </c>
      <c r="Q37" s="87" t="s">
        <v>110</v>
      </c>
      <c r="R37" s="130">
        <v>29</v>
      </c>
      <c r="S37" s="88" t="s">
        <v>111</v>
      </c>
      <c r="T37" s="81">
        <v>0</v>
      </c>
      <c r="U37" s="81">
        <v>0</v>
      </c>
      <c r="V37" s="25" t="e">
        <f t="shared" si="57"/>
        <v>#DIV/0!</v>
      </c>
      <c r="W37" s="81">
        <v>10</v>
      </c>
      <c r="X37" s="81">
        <v>0</v>
      </c>
      <c r="Y37" s="25">
        <f t="shared" si="1"/>
        <v>0</v>
      </c>
      <c r="Z37" s="81">
        <v>10</v>
      </c>
      <c r="AA37" s="81"/>
      <c r="AB37" s="25">
        <f t="shared" si="2"/>
        <v>0</v>
      </c>
      <c r="AC37" s="81">
        <v>9</v>
      </c>
      <c r="AD37" s="81"/>
      <c r="AE37" s="25">
        <f t="shared" si="3"/>
        <v>0</v>
      </c>
      <c r="AF37" s="137">
        <f t="shared" si="43"/>
        <v>29</v>
      </c>
      <c r="AG37" s="137">
        <f t="shared" si="44"/>
        <v>0</v>
      </c>
      <c r="AH37" s="128">
        <f t="shared" si="5"/>
        <v>0</v>
      </c>
      <c r="AI37" s="90">
        <v>46113</v>
      </c>
      <c r="AJ37" s="90">
        <v>46477</v>
      </c>
      <c r="AK37" s="91" t="s">
        <v>112</v>
      </c>
      <c r="AL37" s="91" t="s">
        <v>113</v>
      </c>
      <c r="AM37" s="92" t="s">
        <v>114</v>
      </c>
      <c r="AN37" s="93">
        <v>120000000</v>
      </c>
      <c r="AO37" s="93">
        <v>120000000</v>
      </c>
      <c r="AP37" s="93">
        <v>120000000</v>
      </c>
      <c r="AQ37" s="94">
        <v>0</v>
      </c>
      <c r="AR37" s="91" t="s">
        <v>159</v>
      </c>
      <c r="AS37" s="91" t="s">
        <v>112</v>
      </c>
      <c r="AT37" s="150" t="s">
        <v>221</v>
      </c>
      <c r="AU37" s="165" t="s">
        <v>2264</v>
      </c>
      <c r="AV37" s="232" t="s">
        <v>2234</v>
      </c>
      <c r="AW37" s="126" t="s">
        <v>2255</v>
      </c>
      <c r="BA37" s="255"/>
      <c r="BB37" s="256"/>
      <c r="BC37" s="223" t="e">
        <f t="shared" si="8"/>
        <v>#DIV/0!</v>
      </c>
      <c r="BD37" s="255"/>
      <c r="BE37" s="256"/>
      <c r="BF37" s="223" t="e">
        <f t="shared" si="9"/>
        <v>#DIV/0!</v>
      </c>
      <c r="BG37" s="255"/>
      <c r="BH37" s="256"/>
      <c r="BI37" s="223" t="e">
        <f t="shared" si="10"/>
        <v>#DIV/0!</v>
      </c>
      <c r="BJ37" s="224">
        <f t="shared" si="11"/>
        <v>0</v>
      </c>
      <c r="BK37" s="225">
        <f t="shared" si="12"/>
        <v>0</v>
      </c>
      <c r="BL37" s="223" t="e">
        <f t="shared" si="13"/>
        <v>#DIV/0!</v>
      </c>
      <c r="BM37" s="255"/>
      <c r="BN37" s="256"/>
      <c r="BO37" s="223" t="e">
        <f t="shared" si="45"/>
        <v>#DIV/0!</v>
      </c>
      <c r="BP37" s="255"/>
      <c r="BQ37" s="256"/>
      <c r="BR37" s="223" t="e">
        <f t="shared" si="46"/>
        <v>#DIV/0!</v>
      </c>
      <c r="BS37" s="255"/>
      <c r="BT37" s="255"/>
      <c r="BU37" s="223" t="e">
        <f t="shared" si="47"/>
        <v>#DIV/0!</v>
      </c>
      <c r="BV37" s="224">
        <f t="shared" si="17"/>
        <v>0</v>
      </c>
      <c r="BW37" s="224">
        <f t="shared" si="18"/>
        <v>0</v>
      </c>
      <c r="BX37" s="223" t="e">
        <f t="shared" si="19"/>
        <v>#DIV/0!</v>
      </c>
      <c r="BY37" s="223">
        <f t="shared" si="20"/>
        <v>0</v>
      </c>
      <c r="BZ37" s="223">
        <f t="shared" si="21"/>
        <v>0</v>
      </c>
      <c r="CA37" s="226"/>
      <c r="CB37" s="175"/>
      <c r="CC37" s="191"/>
      <c r="CD37" s="192"/>
      <c r="CE37" s="193" t="e">
        <f t="shared" si="48"/>
        <v>#DIV/0!</v>
      </c>
      <c r="CF37" s="191"/>
      <c r="CG37" s="192"/>
      <c r="CH37" s="193" t="e">
        <f t="shared" si="49"/>
        <v>#DIV/0!</v>
      </c>
      <c r="CI37" s="197"/>
      <c r="CJ37" s="198"/>
      <c r="CK37" s="193" t="e">
        <f t="shared" si="50"/>
        <v>#DIV/0!</v>
      </c>
      <c r="CL37" s="195">
        <f t="shared" si="51"/>
        <v>0</v>
      </c>
      <c r="CM37" s="194">
        <f t="shared" si="52"/>
        <v>0</v>
      </c>
      <c r="CN37" s="193" t="e">
        <f t="shared" si="53"/>
        <v>#DIV/0!</v>
      </c>
      <c r="CO37" s="175"/>
      <c r="CP37" s="196">
        <f t="shared" si="54"/>
        <v>0</v>
      </c>
      <c r="CQ37" s="196">
        <f t="shared" si="55"/>
        <v>0</v>
      </c>
      <c r="CR37" s="199" t="e">
        <f t="shared" si="56"/>
        <v>#DIV/0!</v>
      </c>
      <c r="CS37" s="261">
        <f t="shared" si="29"/>
        <v>29</v>
      </c>
      <c r="CT37" s="175"/>
      <c r="CU37" s="196">
        <f t="shared" si="30"/>
        <v>8.6999999999999993</v>
      </c>
      <c r="CV37" s="259"/>
      <c r="CW37" s="199">
        <f t="shared" si="31"/>
        <v>0</v>
      </c>
      <c r="CX37" s="196">
        <f t="shared" si="32"/>
        <v>8.6999999999999993</v>
      </c>
      <c r="CY37" s="259"/>
      <c r="CZ37" s="199">
        <f t="shared" si="33"/>
        <v>0</v>
      </c>
      <c r="DA37" s="196">
        <f t="shared" si="34"/>
        <v>8.6999999999999993</v>
      </c>
      <c r="DB37" s="259"/>
      <c r="DC37" s="199">
        <f t="shared" si="35"/>
        <v>0</v>
      </c>
      <c r="DD37" s="196">
        <f t="shared" si="36"/>
        <v>2.9000000000000004</v>
      </c>
      <c r="DE37" s="259"/>
      <c r="DF37" s="199">
        <f t="shared" si="37"/>
        <v>0</v>
      </c>
      <c r="DG37" s="175"/>
      <c r="DH37" s="196">
        <f t="shared" si="38"/>
        <v>29</v>
      </c>
      <c r="DI37" s="196">
        <f t="shared" si="39"/>
        <v>0</v>
      </c>
      <c r="DJ37" s="199">
        <f t="shared" si="40"/>
        <v>0</v>
      </c>
      <c r="DK37" s="265">
        <f t="shared" si="41"/>
        <v>29</v>
      </c>
      <c r="DL37" s="244">
        <v>33</v>
      </c>
      <c r="DM37">
        <f t="shared" ref="DM37:DM68" si="58">+A37-DL37</f>
        <v>0</v>
      </c>
    </row>
    <row r="38" spans="1:117" x14ac:dyDescent="0.3">
      <c r="A38" s="246">
        <v>34</v>
      </c>
      <c r="B38" s="91" t="s">
        <v>215</v>
      </c>
      <c r="C38" s="91" t="s">
        <v>118</v>
      </c>
      <c r="D38" s="91" t="s">
        <v>119</v>
      </c>
      <c r="E38" s="91" t="s">
        <v>120</v>
      </c>
      <c r="F38" s="91" t="s">
        <v>226</v>
      </c>
      <c r="G38" s="87" t="s">
        <v>186</v>
      </c>
      <c r="H38" s="87" t="s">
        <v>186</v>
      </c>
      <c r="I38" s="87" t="s">
        <v>227</v>
      </c>
      <c r="J38" s="87" t="s">
        <v>227</v>
      </c>
      <c r="K38" s="85" t="s">
        <v>104</v>
      </c>
      <c r="L38" s="85" t="s">
        <v>105</v>
      </c>
      <c r="M38" s="87" t="s">
        <v>106</v>
      </c>
      <c r="N38" s="87" t="s">
        <v>219</v>
      </c>
      <c r="O38" s="87" t="s">
        <v>127</v>
      </c>
      <c r="P38" s="241" t="s">
        <v>228</v>
      </c>
      <c r="Q38" s="87" t="s">
        <v>129</v>
      </c>
      <c r="R38" s="130">
        <v>3</v>
      </c>
      <c r="S38" s="88" t="s">
        <v>111</v>
      </c>
      <c r="T38" s="81">
        <v>0</v>
      </c>
      <c r="U38" s="81">
        <v>0</v>
      </c>
      <c r="V38" s="25">
        <v>0</v>
      </c>
      <c r="W38" s="81">
        <v>1</v>
      </c>
      <c r="X38" s="81"/>
      <c r="Y38" s="25">
        <f t="shared" si="1"/>
        <v>0</v>
      </c>
      <c r="Z38" s="81">
        <v>1</v>
      </c>
      <c r="AA38" s="81"/>
      <c r="AB38" s="25">
        <f t="shared" si="2"/>
        <v>0</v>
      </c>
      <c r="AC38" s="81">
        <v>1</v>
      </c>
      <c r="AD38" s="81"/>
      <c r="AE38" s="25">
        <f t="shared" si="3"/>
        <v>0</v>
      </c>
      <c r="AF38" s="137">
        <f t="shared" si="43"/>
        <v>3</v>
      </c>
      <c r="AG38" s="137">
        <f t="shared" si="44"/>
        <v>0</v>
      </c>
      <c r="AH38" s="128" t="e">
        <f t="shared" si="5"/>
        <v>#DIV/0!</v>
      </c>
      <c r="AI38" s="90">
        <v>46113</v>
      </c>
      <c r="AJ38" s="90">
        <v>46477</v>
      </c>
      <c r="AK38" s="91" t="s">
        <v>112</v>
      </c>
      <c r="AL38" s="91" t="s">
        <v>113</v>
      </c>
      <c r="AM38" s="92" t="s">
        <v>114</v>
      </c>
      <c r="AN38" s="93">
        <v>12000000</v>
      </c>
      <c r="AO38" s="93">
        <v>12000000</v>
      </c>
      <c r="AP38" s="93">
        <v>12000000</v>
      </c>
      <c r="AQ38" s="94">
        <v>0</v>
      </c>
      <c r="AR38" s="91" t="s">
        <v>159</v>
      </c>
      <c r="AS38" s="91" t="s">
        <v>112</v>
      </c>
      <c r="AT38" s="150" t="s">
        <v>229</v>
      </c>
      <c r="AU38" s="165" t="s">
        <v>2264</v>
      </c>
      <c r="AV38" s="232" t="s">
        <v>2234</v>
      </c>
      <c r="AW38" s="126" t="s">
        <v>2255</v>
      </c>
      <c r="BA38" s="255"/>
      <c r="BB38" s="256"/>
      <c r="BC38" s="223" t="e">
        <f t="shared" si="8"/>
        <v>#DIV/0!</v>
      </c>
      <c r="BD38" s="255"/>
      <c r="BE38" s="256"/>
      <c r="BF38" s="223" t="e">
        <f t="shared" si="9"/>
        <v>#DIV/0!</v>
      </c>
      <c r="BG38" s="255">
        <v>33</v>
      </c>
      <c r="BH38" s="256">
        <v>33</v>
      </c>
      <c r="BI38" s="223">
        <f t="shared" si="10"/>
        <v>1</v>
      </c>
      <c r="BJ38" s="224">
        <f t="shared" si="11"/>
        <v>33</v>
      </c>
      <c r="BK38" s="225">
        <f t="shared" si="12"/>
        <v>33</v>
      </c>
      <c r="BL38" s="223">
        <f t="shared" si="13"/>
        <v>1</v>
      </c>
      <c r="BM38" s="255"/>
      <c r="BN38" s="256"/>
      <c r="BO38" s="223" t="e">
        <f t="shared" si="45"/>
        <v>#DIV/0!</v>
      </c>
      <c r="BP38" s="255"/>
      <c r="BQ38" s="256"/>
      <c r="BR38" s="223" t="e">
        <f t="shared" si="46"/>
        <v>#DIV/0!</v>
      </c>
      <c r="BS38" s="255">
        <v>33</v>
      </c>
      <c r="BT38" s="255">
        <v>33</v>
      </c>
      <c r="BU38" s="223">
        <f t="shared" si="47"/>
        <v>1</v>
      </c>
      <c r="BV38" s="224">
        <f t="shared" si="17"/>
        <v>33</v>
      </c>
      <c r="BW38" s="224">
        <f t="shared" si="18"/>
        <v>33</v>
      </c>
      <c r="BX38" s="223">
        <f t="shared" si="19"/>
        <v>1</v>
      </c>
      <c r="BY38" s="223">
        <f t="shared" si="20"/>
        <v>22</v>
      </c>
      <c r="BZ38" s="223">
        <f t="shared" si="21"/>
        <v>-22</v>
      </c>
      <c r="CA38" s="226"/>
      <c r="CB38" s="175"/>
      <c r="CC38" s="191"/>
      <c r="CD38" s="192"/>
      <c r="CE38" s="193" t="e">
        <f t="shared" si="48"/>
        <v>#DIV/0!</v>
      </c>
      <c r="CF38" s="191"/>
      <c r="CG38" s="192"/>
      <c r="CH38" s="193" t="e">
        <f t="shared" si="49"/>
        <v>#DIV/0!</v>
      </c>
      <c r="CI38" s="197"/>
      <c r="CJ38" s="198"/>
      <c r="CK38" s="193" t="e">
        <f t="shared" si="50"/>
        <v>#DIV/0!</v>
      </c>
      <c r="CL38" s="195">
        <f t="shared" si="51"/>
        <v>0</v>
      </c>
      <c r="CM38" s="194">
        <f t="shared" si="52"/>
        <v>0</v>
      </c>
      <c r="CN38" s="193" t="e">
        <f t="shared" si="53"/>
        <v>#DIV/0!</v>
      </c>
      <c r="CO38" s="175"/>
      <c r="CP38" s="196">
        <f t="shared" si="54"/>
        <v>66</v>
      </c>
      <c r="CQ38" s="196">
        <f t="shared" si="55"/>
        <v>66</v>
      </c>
      <c r="CR38" s="199">
        <f t="shared" si="56"/>
        <v>1</v>
      </c>
      <c r="CS38" s="261">
        <f t="shared" si="29"/>
        <v>-63</v>
      </c>
      <c r="CT38" s="175"/>
      <c r="CU38" s="196">
        <f t="shared" si="30"/>
        <v>-18.899999999999999</v>
      </c>
      <c r="CV38" s="259"/>
      <c r="CW38" s="199">
        <f t="shared" si="31"/>
        <v>0</v>
      </c>
      <c r="CX38" s="196">
        <f t="shared" si="32"/>
        <v>-18.899999999999999</v>
      </c>
      <c r="CY38" s="259"/>
      <c r="CZ38" s="199">
        <f t="shared" si="33"/>
        <v>0</v>
      </c>
      <c r="DA38" s="196">
        <f t="shared" si="34"/>
        <v>-18.899999999999999</v>
      </c>
      <c r="DB38" s="259"/>
      <c r="DC38" s="199">
        <f t="shared" si="35"/>
        <v>0</v>
      </c>
      <c r="DD38" s="196">
        <f t="shared" si="36"/>
        <v>-6.3000000000000007</v>
      </c>
      <c r="DE38" s="259"/>
      <c r="DF38" s="199">
        <f t="shared" si="37"/>
        <v>0</v>
      </c>
      <c r="DG38" s="175"/>
      <c r="DH38" s="196">
        <f t="shared" si="38"/>
        <v>3</v>
      </c>
      <c r="DI38" s="196">
        <f t="shared" si="39"/>
        <v>66</v>
      </c>
      <c r="DJ38" s="199">
        <f t="shared" si="40"/>
        <v>22</v>
      </c>
      <c r="DK38" s="265">
        <f t="shared" si="41"/>
        <v>-63</v>
      </c>
      <c r="DL38" s="244">
        <v>34</v>
      </c>
      <c r="DM38">
        <f t="shared" si="58"/>
        <v>0</v>
      </c>
    </row>
    <row r="39" spans="1:117" x14ac:dyDescent="0.3">
      <c r="A39" s="246">
        <v>35</v>
      </c>
      <c r="B39" s="91" t="s">
        <v>215</v>
      </c>
      <c r="C39" s="91" t="s">
        <v>118</v>
      </c>
      <c r="D39" s="91" t="s">
        <v>119</v>
      </c>
      <c r="E39" s="91" t="s">
        <v>120</v>
      </c>
      <c r="F39" s="91" t="s">
        <v>230</v>
      </c>
      <c r="G39" s="87" t="s">
        <v>186</v>
      </c>
      <c r="H39" s="87" t="s">
        <v>187</v>
      </c>
      <c r="I39" s="87" t="s">
        <v>224</v>
      </c>
      <c r="J39" s="87" t="s">
        <v>224</v>
      </c>
      <c r="K39" s="85" t="s">
        <v>104</v>
      </c>
      <c r="L39" s="85" t="s">
        <v>105</v>
      </c>
      <c r="M39" s="87" t="s">
        <v>106</v>
      </c>
      <c r="N39" s="87" t="s">
        <v>231</v>
      </c>
      <c r="O39" s="87" t="s">
        <v>127</v>
      </c>
      <c r="P39" s="87" t="s">
        <v>232</v>
      </c>
      <c r="Q39" s="87" t="s">
        <v>129</v>
      </c>
      <c r="R39" s="130">
        <v>29</v>
      </c>
      <c r="S39" s="88" t="s">
        <v>111</v>
      </c>
      <c r="T39" s="81">
        <v>8</v>
      </c>
      <c r="U39" s="81">
        <v>0</v>
      </c>
      <c r="V39" s="25">
        <f t="shared" ref="V39:V44" si="59">U39/T39*100</f>
        <v>0</v>
      </c>
      <c r="W39" s="81">
        <v>8</v>
      </c>
      <c r="X39" s="81">
        <v>7</v>
      </c>
      <c r="Y39" s="25">
        <f t="shared" si="1"/>
        <v>87.5</v>
      </c>
      <c r="Z39" s="81">
        <v>8</v>
      </c>
      <c r="AA39" s="81"/>
      <c r="AB39" s="25">
        <f t="shared" si="2"/>
        <v>0</v>
      </c>
      <c r="AC39" s="81">
        <v>5</v>
      </c>
      <c r="AD39" s="81"/>
      <c r="AE39" s="25">
        <f t="shared" si="3"/>
        <v>0</v>
      </c>
      <c r="AF39" s="137">
        <f t="shared" si="43"/>
        <v>29</v>
      </c>
      <c r="AG39" s="137">
        <f t="shared" si="44"/>
        <v>7</v>
      </c>
      <c r="AH39" s="128">
        <f t="shared" si="5"/>
        <v>43.75</v>
      </c>
      <c r="AI39" s="90">
        <v>46113</v>
      </c>
      <c r="AJ39" s="90">
        <v>46477</v>
      </c>
      <c r="AK39" s="91" t="s">
        <v>112</v>
      </c>
      <c r="AL39" s="91" t="s">
        <v>113</v>
      </c>
      <c r="AM39" s="92" t="s">
        <v>114</v>
      </c>
      <c r="AN39" s="93"/>
      <c r="AO39" s="93"/>
      <c r="AP39" s="93"/>
      <c r="AQ39" s="94"/>
      <c r="AR39" s="91" t="s">
        <v>233</v>
      </c>
      <c r="AS39" s="91" t="s">
        <v>112</v>
      </c>
      <c r="AT39" s="150" t="s">
        <v>221</v>
      </c>
      <c r="AU39" s="165" t="s">
        <v>2264</v>
      </c>
      <c r="AV39" s="232" t="s">
        <v>2234</v>
      </c>
      <c r="AW39" s="126" t="s">
        <v>2255</v>
      </c>
      <c r="BA39" s="255"/>
      <c r="BB39" s="256"/>
      <c r="BC39" s="223" t="e">
        <f t="shared" si="8"/>
        <v>#DIV/0!</v>
      </c>
      <c r="BD39" s="255"/>
      <c r="BE39" s="256"/>
      <c r="BF39" s="223" t="e">
        <f t="shared" si="9"/>
        <v>#DIV/0!</v>
      </c>
      <c r="BG39" s="255"/>
      <c r="BH39" s="256"/>
      <c r="BI39" s="223" t="e">
        <f t="shared" si="10"/>
        <v>#DIV/0!</v>
      </c>
      <c r="BJ39" s="224">
        <f t="shared" si="11"/>
        <v>0</v>
      </c>
      <c r="BK39" s="225">
        <f t="shared" si="12"/>
        <v>0</v>
      </c>
      <c r="BL39" s="223" t="e">
        <f t="shared" si="13"/>
        <v>#DIV/0!</v>
      </c>
      <c r="BM39" s="255">
        <v>6</v>
      </c>
      <c r="BN39" s="256"/>
      <c r="BO39" s="223">
        <f t="shared" si="45"/>
        <v>0</v>
      </c>
      <c r="BP39" s="255"/>
      <c r="BQ39" s="256"/>
      <c r="BR39" s="223" t="e">
        <f t="shared" si="46"/>
        <v>#DIV/0!</v>
      </c>
      <c r="BS39" s="255"/>
      <c r="BT39" s="255"/>
      <c r="BU39" s="223" t="e">
        <f t="shared" si="47"/>
        <v>#DIV/0!</v>
      </c>
      <c r="BV39" s="224">
        <f t="shared" si="17"/>
        <v>6</v>
      </c>
      <c r="BW39" s="224">
        <f t="shared" si="18"/>
        <v>0</v>
      </c>
      <c r="BX39" s="223">
        <f t="shared" si="19"/>
        <v>0</v>
      </c>
      <c r="BY39" s="223">
        <f t="shared" si="20"/>
        <v>0</v>
      </c>
      <c r="BZ39" s="223">
        <f t="shared" si="21"/>
        <v>0</v>
      </c>
      <c r="CA39" s="226"/>
      <c r="CB39" s="175"/>
      <c r="CC39" s="191"/>
      <c r="CD39" s="192"/>
      <c r="CE39" s="193" t="e">
        <f t="shared" si="48"/>
        <v>#DIV/0!</v>
      </c>
      <c r="CF39" s="191"/>
      <c r="CG39" s="192"/>
      <c r="CH39" s="193" t="e">
        <f t="shared" si="49"/>
        <v>#DIV/0!</v>
      </c>
      <c r="CI39" s="197"/>
      <c r="CJ39" s="198"/>
      <c r="CK39" s="193" t="e">
        <f t="shared" si="50"/>
        <v>#DIV/0!</v>
      </c>
      <c r="CL39" s="195">
        <f t="shared" si="51"/>
        <v>0</v>
      </c>
      <c r="CM39" s="194">
        <f t="shared" si="52"/>
        <v>0</v>
      </c>
      <c r="CN39" s="193" t="e">
        <f t="shared" si="53"/>
        <v>#DIV/0!</v>
      </c>
      <c r="CO39" s="175"/>
      <c r="CP39" s="196">
        <f t="shared" si="54"/>
        <v>6</v>
      </c>
      <c r="CQ39" s="196">
        <f t="shared" si="55"/>
        <v>0</v>
      </c>
      <c r="CR39" s="199">
        <f t="shared" si="56"/>
        <v>0</v>
      </c>
      <c r="CS39" s="261">
        <f t="shared" si="29"/>
        <v>29</v>
      </c>
      <c r="CT39" s="175"/>
      <c r="CU39" s="196">
        <f t="shared" si="30"/>
        <v>8.6999999999999993</v>
      </c>
      <c r="CV39" s="259"/>
      <c r="CW39" s="199">
        <f t="shared" si="31"/>
        <v>0</v>
      </c>
      <c r="CX39" s="196">
        <f t="shared" si="32"/>
        <v>8.6999999999999993</v>
      </c>
      <c r="CY39" s="259"/>
      <c r="CZ39" s="199">
        <f t="shared" si="33"/>
        <v>0</v>
      </c>
      <c r="DA39" s="196">
        <f t="shared" si="34"/>
        <v>8.6999999999999993</v>
      </c>
      <c r="DB39" s="259"/>
      <c r="DC39" s="199">
        <f t="shared" si="35"/>
        <v>0</v>
      </c>
      <c r="DD39" s="196">
        <f t="shared" si="36"/>
        <v>2.9000000000000004</v>
      </c>
      <c r="DE39" s="259"/>
      <c r="DF39" s="199">
        <f t="shared" si="37"/>
        <v>0</v>
      </c>
      <c r="DG39" s="175"/>
      <c r="DH39" s="196">
        <f t="shared" si="38"/>
        <v>29</v>
      </c>
      <c r="DI39" s="196">
        <f t="shared" si="39"/>
        <v>0</v>
      </c>
      <c r="DJ39" s="199">
        <f t="shared" si="40"/>
        <v>0</v>
      </c>
      <c r="DK39" s="265">
        <f t="shared" si="41"/>
        <v>29</v>
      </c>
      <c r="DL39" s="244">
        <v>35</v>
      </c>
      <c r="DM39">
        <f t="shared" si="58"/>
        <v>0</v>
      </c>
    </row>
    <row r="40" spans="1:117" x14ac:dyDescent="0.3">
      <c r="A40" s="246">
        <v>36</v>
      </c>
      <c r="B40" s="91" t="s">
        <v>215</v>
      </c>
      <c r="C40" s="91" t="s">
        <v>118</v>
      </c>
      <c r="D40" s="91" t="s">
        <v>119</v>
      </c>
      <c r="E40" s="91" t="s">
        <v>120</v>
      </c>
      <c r="F40" s="91" t="s">
        <v>226</v>
      </c>
      <c r="G40" s="87" t="s">
        <v>186</v>
      </c>
      <c r="H40" s="87" t="s">
        <v>187</v>
      </c>
      <c r="I40" s="87" t="s">
        <v>234</v>
      </c>
      <c r="J40" s="87" t="s">
        <v>234</v>
      </c>
      <c r="K40" s="85" t="s">
        <v>104</v>
      </c>
      <c r="L40" s="85" t="s">
        <v>105</v>
      </c>
      <c r="M40" s="87" t="s">
        <v>106</v>
      </c>
      <c r="N40" s="87" t="s">
        <v>235</v>
      </c>
      <c r="O40" s="87" t="s">
        <v>127</v>
      </c>
      <c r="P40" s="241" t="s">
        <v>236</v>
      </c>
      <c r="Q40" s="87" t="s">
        <v>129</v>
      </c>
      <c r="R40" s="130">
        <v>4</v>
      </c>
      <c r="S40" s="88"/>
      <c r="T40" s="81">
        <v>1</v>
      </c>
      <c r="U40" s="81">
        <v>1</v>
      </c>
      <c r="V40" s="25">
        <f t="shared" si="59"/>
        <v>100</v>
      </c>
      <c r="W40" s="81">
        <v>1</v>
      </c>
      <c r="X40" s="81">
        <v>1</v>
      </c>
      <c r="Y40" s="25">
        <f t="shared" si="1"/>
        <v>100</v>
      </c>
      <c r="Z40" s="81">
        <v>1</v>
      </c>
      <c r="AA40" s="81"/>
      <c r="AB40" s="25">
        <f t="shared" si="2"/>
        <v>0</v>
      </c>
      <c r="AC40" s="81">
        <v>1</v>
      </c>
      <c r="AD40" s="81"/>
      <c r="AE40" s="25">
        <f t="shared" si="3"/>
        <v>0</v>
      </c>
      <c r="AF40" s="137">
        <f t="shared" si="43"/>
        <v>4</v>
      </c>
      <c r="AG40" s="137">
        <f t="shared" si="44"/>
        <v>2</v>
      </c>
      <c r="AH40" s="128">
        <f t="shared" si="5"/>
        <v>100</v>
      </c>
      <c r="AI40" s="90">
        <v>46113</v>
      </c>
      <c r="AJ40" s="90">
        <v>46477</v>
      </c>
      <c r="AK40" s="91" t="s">
        <v>112</v>
      </c>
      <c r="AL40" s="91" t="s">
        <v>113</v>
      </c>
      <c r="AM40" s="92" t="s">
        <v>114</v>
      </c>
      <c r="AN40" s="93">
        <v>16000000</v>
      </c>
      <c r="AO40" s="93">
        <v>16000000</v>
      </c>
      <c r="AP40" s="93">
        <v>16000000</v>
      </c>
      <c r="AQ40" s="94">
        <f>AO40</f>
        <v>16000000</v>
      </c>
      <c r="AR40" s="91" t="s">
        <v>191</v>
      </c>
      <c r="AS40" s="91" t="s">
        <v>112</v>
      </c>
      <c r="AT40" s="150" t="s">
        <v>229</v>
      </c>
      <c r="AU40" s="165" t="s">
        <v>2264</v>
      </c>
      <c r="AV40" s="232" t="s">
        <v>2234</v>
      </c>
      <c r="AW40" s="126" t="s">
        <v>2255</v>
      </c>
      <c r="BA40" s="255"/>
      <c r="BB40" s="256"/>
      <c r="BC40" s="223" t="e">
        <f t="shared" si="8"/>
        <v>#DIV/0!</v>
      </c>
      <c r="BD40" s="255"/>
      <c r="BE40" s="256"/>
      <c r="BF40" s="223" t="e">
        <f t="shared" si="9"/>
        <v>#DIV/0!</v>
      </c>
      <c r="BG40" s="255">
        <v>1</v>
      </c>
      <c r="BH40" s="256">
        <v>1</v>
      </c>
      <c r="BI40" s="223">
        <f t="shared" si="10"/>
        <v>1</v>
      </c>
      <c r="BJ40" s="224">
        <f t="shared" si="11"/>
        <v>1</v>
      </c>
      <c r="BK40" s="225">
        <f t="shared" si="12"/>
        <v>1</v>
      </c>
      <c r="BL40" s="223">
        <f t="shared" si="13"/>
        <v>1</v>
      </c>
      <c r="BM40" s="255"/>
      <c r="BN40" s="256"/>
      <c r="BO40" s="223" t="e">
        <f t="shared" si="45"/>
        <v>#DIV/0!</v>
      </c>
      <c r="BP40" s="255"/>
      <c r="BQ40" s="256"/>
      <c r="BR40" s="223" t="e">
        <f t="shared" si="46"/>
        <v>#DIV/0!</v>
      </c>
      <c r="BS40" s="255"/>
      <c r="BT40" s="255"/>
      <c r="BU40" s="223" t="e">
        <f t="shared" si="47"/>
        <v>#DIV/0!</v>
      </c>
      <c r="BV40" s="224">
        <f t="shared" si="17"/>
        <v>0</v>
      </c>
      <c r="BW40" s="224">
        <f t="shared" si="18"/>
        <v>0</v>
      </c>
      <c r="BX40" s="223" t="e">
        <f t="shared" si="19"/>
        <v>#DIV/0!</v>
      </c>
      <c r="BY40" s="223">
        <f t="shared" si="20"/>
        <v>0.25</v>
      </c>
      <c r="BZ40" s="223">
        <f t="shared" si="21"/>
        <v>-0.25</v>
      </c>
      <c r="CA40" s="226"/>
      <c r="CB40" s="175"/>
      <c r="CC40" s="191"/>
      <c r="CD40" s="192"/>
      <c r="CE40" s="193" t="e">
        <f t="shared" si="48"/>
        <v>#DIV/0!</v>
      </c>
      <c r="CF40" s="191"/>
      <c r="CG40" s="192"/>
      <c r="CH40" s="193" t="e">
        <f t="shared" si="49"/>
        <v>#DIV/0!</v>
      </c>
      <c r="CI40" s="197"/>
      <c r="CJ40" s="198"/>
      <c r="CK40" s="193" t="e">
        <f t="shared" si="50"/>
        <v>#DIV/0!</v>
      </c>
      <c r="CL40" s="195">
        <f t="shared" si="51"/>
        <v>0</v>
      </c>
      <c r="CM40" s="194">
        <f t="shared" si="52"/>
        <v>0</v>
      </c>
      <c r="CN40" s="193" t="e">
        <f t="shared" si="53"/>
        <v>#DIV/0!</v>
      </c>
      <c r="CO40" s="175"/>
      <c r="CP40" s="196">
        <f t="shared" si="54"/>
        <v>1</v>
      </c>
      <c r="CQ40" s="196">
        <f t="shared" si="55"/>
        <v>1</v>
      </c>
      <c r="CR40" s="199">
        <f t="shared" si="56"/>
        <v>1</v>
      </c>
      <c r="CS40" s="261">
        <f t="shared" si="29"/>
        <v>3</v>
      </c>
      <c r="CT40" s="175"/>
      <c r="CU40" s="196">
        <f t="shared" si="30"/>
        <v>0.89999999999999991</v>
      </c>
      <c r="CV40" s="259"/>
      <c r="CW40" s="199">
        <f t="shared" si="31"/>
        <v>0</v>
      </c>
      <c r="CX40" s="196">
        <f t="shared" si="32"/>
        <v>0.89999999999999991</v>
      </c>
      <c r="CY40" s="259"/>
      <c r="CZ40" s="199">
        <f t="shared" si="33"/>
        <v>0</v>
      </c>
      <c r="DA40" s="196">
        <f t="shared" si="34"/>
        <v>0.89999999999999991</v>
      </c>
      <c r="DB40" s="259"/>
      <c r="DC40" s="199">
        <f t="shared" si="35"/>
        <v>0</v>
      </c>
      <c r="DD40" s="196">
        <f t="shared" si="36"/>
        <v>0.30000000000000004</v>
      </c>
      <c r="DE40" s="259"/>
      <c r="DF40" s="199">
        <f t="shared" si="37"/>
        <v>0</v>
      </c>
      <c r="DG40" s="175"/>
      <c r="DH40" s="196">
        <f t="shared" si="38"/>
        <v>4</v>
      </c>
      <c r="DI40" s="196">
        <f t="shared" si="39"/>
        <v>1</v>
      </c>
      <c r="DJ40" s="199">
        <f t="shared" si="40"/>
        <v>0.25</v>
      </c>
      <c r="DK40" s="265">
        <f t="shared" si="41"/>
        <v>3</v>
      </c>
      <c r="DL40" s="244">
        <v>36</v>
      </c>
      <c r="DM40">
        <f t="shared" si="58"/>
        <v>0</v>
      </c>
    </row>
    <row r="41" spans="1:117" x14ac:dyDescent="0.3">
      <c r="A41" s="246">
        <v>37</v>
      </c>
      <c r="B41" s="91" t="s">
        <v>215</v>
      </c>
      <c r="C41" s="91" t="s">
        <v>133</v>
      </c>
      <c r="D41" s="91" t="s">
        <v>119</v>
      </c>
      <c r="E41" s="91" t="s">
        <v>120</v>
      </c>
      <c r="F41" s="91" t="s">
        <v>176</v>
      </c>
      <c r="G41" s="87" t="s">
        <v>186</v>
      </c>
      <c r="H41" s="87" t="s">
        <v>187</v>
      </c>
      <c r="I41" s="87" t="s">
        <v>153</v>
      </c>
      <c r="J41" s="87" t="s">
        <v>153</v>
      </c>
      <c r="K41" s="85" t="s">
        <v>104</v>
      </c>
      <c r="L41" s="85" t="s">
        <v>105</v>
      </c>
      <c r="M41" s="87" t="s">
        <v>106</v>
      </c>
      <c r="N41" s="87" t="s">
        <v>231</v>
      </c>
      <c r="O41" s="87" t="s">
        <v>127</v>
      </c>
      <c r="P41" s="241" t="s">
        <v>237</v>
      </c>
      <c r="Q41" s="87" t="s">
        <v>129</v>
      </c>
      <c r="R41" s="130">
        <v>4</v>
      </c>
      <c r="S41" s="88" t="s">
        <v>111</v>
      </c>
      <c r="T41" s="81">
        <v>0</v>
      </c>
      <c r="U41" s="81">
        <v>0</v>
      </c>
      <c r="V41" s="25" t="e">
        <f t="shared" si="59"/>
        <v>#DIV/0!</v>
      </c>
      <c r="W41" s="81">
        <v>0</v>
      </c>
      <c r="X41" s="81">
        <v>0</v>
      </c>
      <c r="Y41" s="25" t="e">
        <f t="shared" si="1"/>
        <v>#DIV/0!</v>
      </c>
      <c r="Z41" s="81">
        <v>2</v>
      </c>
      <c r="AA41" s="81"/>
      <c r="AB41" s="25">
        <f t="shared" si="2"/>
        <v>0</v>
      </c>
      <c r="AC41" s="81">
        <v>2</v>
      </c>
      <c r="AD41" s="81"/>
      <c r="AE41" s="25">
        <f t="shared" si="3"/>
        <v>0</v>
      </c>
      <c r="AF41" s="137">
        <f t="shared" si="43"/>
        <v>4</v>
      </c>
      <c r="AG41" s="137">
        <f t="shared" si="44"/>
        <v>0</v>
      </c>
      <c r="AH41" s="128" t="e">
        <f t="shared" si="5"/>
        <v>#DIV/0!</v>
      </c>
      <c r="AI41" s="90">
        <v>46113</v>
      </c>
      <c r="AJ41" s="90">
        <v>46477</v>
      </c>
      <c r="AK41" s="91" t="s">
        <v>112</v>
      </c>
      <c r="AL41" s="91" t="s">
        <v>113</v>
      </c>
      <c r="AM41" s="92" t="s">
        <v>114</v>
      </c>
      <c r="AN41" s="93">
        <v>50000000</v>
      </c>
      <c r="AO41" s="93">
        <v>50000000</v>
      </c>
      <c r="AP41" s="93">
        <v>50000000</v>
      </c>
      <c r="AQ41" s="94">
        <v>0</v>
      </c>
      <c r="AR41" s="91" t="s">
        <v>191</v>
      </c>
      <c r="AS41" s="91" t="s">
        <v>112</v>
      </c>
      <c r="AT41" s="150" t="s">
        <v>229</v>
      </c>
      <c r="AU41" s="165" t="s">
        <v>2264</v>
      </c>
      <c r="AV41" s="232" t="s">
        <v>2234</v>
      </c>
      <c r="AW41" s="126" t="s">
        <v>2255</v>
      </c>
      <c r="BA41" s="255"/>
      <c r="BB41" s="256"/>
      <c r="BC41" s="223" t="e">
        <f t="shared" si="8"/>
        <v>#DIV/0!</v>
      </c>
      <c r="BD41" s="255"/>
      <c r="BE41" s="256"/>
      <c r="BF41" s="223" t="e">
        <f t="shared" si="9"/>
        <v>#DIV/0!</v>
      </c>
      <c r="BG41" s="255"/>
      <c r="BH41" s="256"/>
      <c r="BI41" s="223" t="e">
        <f t="shared" si="10"/>
        <v>#DIV/0!</v>
      </c>
      <c r="BJ41" s="224">
        <f t="shared" si="11"/>
        <v>0</v>
      </c>
      <c r="BK41" s="225">
        <f t="shared" si="12"/>
        <v>0</v>
      </c>
      <c r="BL41" s="223" t="e">
        <f t="shared" si="13"/>
        <v>#DIV/0!</v>
      </c>
      <c r="BM41" s="255"/>
      <c r="BN41" s="256"/>
      <c r="BO41" s="223" t="e">
        <f t="shared" si="45"/>
        <v>#DIV/0!</v>
      </c>
      <c r="BP41" s="255"/>
      <c r="BQ41" s="256"/>
      <c r="BR41" s="223" t="e">
        <f t="shared" si="46"/>
        <v>#DIV/0!</v>
      </c>
      <c r="BS41" s="255"/>
      <c r="BT41" s="255"/>
      <c r="BU41" s="223" t="e">
        <f t="shared" si="47"/>
        <v>#DIV/0!</v>
      </c>
      <c r="BV41" s="224">
        <f t="shared" si="17"/>
        <v>0</v>
      </c>
      <c r="BW41" s="224">
        <f t="shared" si="18"/>
        <v>0</v>
      </c>
      <c r="BX41" s="223" t="e">
        <f t="shared" si="19"/>
        <v>#DIV/0!</v>
      </c>
      <c r="BY41" s="223">
        <f t="shared" si="20"/>
        <v>0</v>
      </c>
      <c r="BZ41" s="223">
        <f t="shared" si="21"/>
        <v>0</v>
      </c>
      <c r="CA41" s="226"/>
      <c r="CB41" s="175"/>
      <c r="CC41" s="191"/>
      <c r="CD41" s="192"/>
      <c r="CE41" s="193" t="e">
        <f t="shared" si="48"/>
        <v>#DIV/0!</v>
      </c>
      <c r="CF41" s="191"/>
      <c r="CG41" s="192"/>
      <c r="CH41" s="193" t="e">
        <f t="shared" si="49"/>
        <v>#DIV/0!</v>
      </c>
      <c r="CI41" s="197"/>
      <c r="CJ41" s="198"/>
      <c r="CK41" s="193" t="e">
        <f t="shared" si="50"/>
        <v>#DIV/0!</v>
      </c>
      <c r="CL41" s="195">
        <f t="shared" si="51"/>
        <v>0</v>
      </c>
      <c r="CM41" s="194">
        <f t="shared" si="52"/>
        <v>0</v>
      </c>
      <c r="CN41" s="193" t="e">
        <f t="shared" si="53"/>
        <v>#DIV/0!</v>
      </c>
      <c r="CO41" s="175"/>
      <c r="CP41" s="196">
        <f t="shared" si="54"/>
        <v>0</v>
      </c>
      <c r="CQ41" s="196">
        <f t="shared" si="55"/>
        <v>0</v>
      </c>
      <c r="CR41" s="199" t="e">
        <f t="shared" si="56"/>
        <v>#DIV/0!</v>
      </c>
      <c r="CS41" s="261">
        <f t="shared" si="29"/>
        <v>4</v>
      </c>
      <c r="CT41" s="175"/>
      <c r="CU41" s="196">
        <f t="shared" si="30"/>
        <v>1.2</v>
      </c>
      <c r="CV41" s="259"/>
      <c r="CW41" s="199">
        <f t="shared" si="31"/>
        <v>0</v>
      </c>
      <c r="CX41" s="196">
        <f t="shared" si="32"/>
        <v>1.2</v>
      </c>
      <c r="CY41" s="259"/>
      <c r="CZ41" s="199">
        <f t="shared" si="33"/>
        <v>0</v>
      </c>
      <c r="DA41" s="196">
        <f t="shared" si="34"/>
        <v>1.2</v>
      </c>
      <c r="DB41" s="259"/>
      <c r="DC41" s="199">
        <f t="shared" si="35"/>
        <v>0</v>
      </c>
      <c r="DD41" s="196">
        <f t="shared" si="36"/>
        <v>0.4</v>
      </c>
      <c r="DE41" s="259"/>
      <c r="DF41" s="199">
        <f t="shared" si="37"/>
        <v>0</v>
      </c>
      <c r="DG41" s="175"/>
      <c r="DH41" s="196">
        <f t="shared" si="38"/>
        <v>4</v>
      </c>
      <c r="DI41" s="196">
        <f t="shared" si="39"/>
        <v>0</v>
      </c>
      <c r="DJ41" s="199">
        <f t="shared" si="40"/>
        <v>0</v>
      </c>
      <c r="DK41" s="265">
        <f t="shared" si="41"/>
        <v>4</v>
      </c>
      <c r="DL41" s="244">
        <v>37</v>
      </c>
      <c r="DM41">
        <f t="shared" si="58"/>
        <v>0</v>
      </c>
    </row>
    <row r="42" spans="1:117" x14ac:dyDescent="0.3">
      <c r="A42" s="246">
        <v>38</v>
      </c>
      <c r="B42" s="91" t="s">
        <v>215</v>
      </c>
      <c r="C42" s="91" t="s">
        <v>118</v>
      </c>
      <c r="D42" s="91" t="s">
        <v>119</v>
      </c>
      <c r="E42" s="91" t="s">
        <v>120</v>
      </c>
      <c r="F42" s="91" t="s">
        <v>230</v>
      </c>
      <c r="G42" s="87" t="s">
        <v>186</v>
      </c>
      <c r="H42" s="87" t="s">
        <v>187</v>
      </c>
      <c r="I42" s="87" t="s">
        <v>224</v>
      </c>
      <c r="J42" s="87" t="s">
        <v>224</v>
      </c>
      <c r="K42" s="85" t="s">
        <v>104</v>
      </c>
      <c r="L42" s="85" t="s">
        <v>105</v>
      </c>
      <c r="M42" s="87" t="s">
        <v>106</v>
      </c>
      <c r="N42" s="87" t="s">
        <v>231</v>
      </c>
      <c r="O42" s="87" t="s">
        <v>127</v>
      </c>
      <c r="P42" s="241" t="s">
        <v>238</v>
      </c>
      <c r="Q42" s="87" t="s">
        <v>129</v>
      </c>
      <c r="R42" s="130">
        <v>1</v>
      </c>
      <c r="S42" s="88" t="s">
        <v>111</v>
      </c>
      <c r="T42" s="81">
        <v>0</v>
      </c>
      <c r="U42" s="81">
        <v>0</v>
      </c>
      <c r="V42" s="25" t="e">
        <f t="shared" si="59"/>
        <v>#DIV/0!</v>
      </c>
      <c r="W42" s="81">
        <v>0</v>
      </c>
      <c r="X42" s="81">
        <v>0</v>
      </c>
      <c r="Y42" s="25" t="e">
        <f t="shared" si="1"/>
        <v>#DIV/0!</v>
      </c>
      <c r="Z42" s="81">
        <v>0</v>
      </c>
      <c r="AA42" s="81"/>
      <c r="AB42" s="25" t="e">
        <f t="shared" si="2"/>
        <v>#DIV/0!</v>
      </c>
      <c r="AC42" s="81">
        <v>1</v>
      </c>
      <c r="AD42" s="81"/>
      <c r="AE42" s="25">
        <f t="shared" si="3"/>
        <v>0</v>
      </c>
      <c r="AF42" s="137">
        <f t="shared" si="43"/>
        <v>1</v>
      </c>
      <c r="AG42" s="137">
        <f t="shared" si="44"/>
        <v>0</v>
      </c>
      <c r="AH42" s="128" t="e">
        <f t="shared" si="5"/>
        <v>#DIV/0!</v>
      </c>
      <c r="AI42" s="90">
        <v>46113</v>
      </c>
      <c r="AJ42" s="90">
        <v>46477</v>
      </c>
      <c r="AK42" s="91" t="s">
        <v>112</v>
      </c>
      <c r="AL42" s="91" t="s">
        <v>113</v>
      </c>
      <c r="AM42" s="92" t="s">
        <v>114</v>
      </c>
      <c r="AN42" s="93">
        <v>30000000</v>
      </c>
      <c r="AO42" s="93">
        <v>30000000</v>
      </c>
      <c r="AP42" s="93">
        <v>30000000</v>
      </c>
      <c r="AQ42" s="94">
        <v>0</v>
      </c>
      <c r="AR42" s="91" t="s">
        <v>159</v>
      </c>
      <c r="AS42" s="91" t="s">
        <v>112</v>
      </c>
      <c r="AT42" s="150" t="s">
        <v>229</v>
      </c>
      <c r="AU42" s="165" t="s">
        <v>2264</v>
      </c>
      <c r="AV42" s="232" t="s">
        <v>2234</v>
      </c>
      <c r="AW42" s="126" t="s">
        <v>2255</v>
      </c>
      <c r="BA42" s="255"/>
      <c r="BB42" s="256"/>
      <c r="BC42" s="223" t="e">
        <f t="shared" si="8"/>
        <v>#DIV/0!</v>
      </c>
      <c r="BD42" s="255"/>
      <c r="BE42" s="256"/>
      <c r="BF42" s="223" t="e">
        <f t="shared" si="9"/>
        <v>#DIV/0!</v>
      </c>
      <c r="BG42" s="255"/>
      <c r="BH42" s="256"/>
      <c r="BI42" s="223" t="e">
        <f t="shared" si="10"/>
        <v>#DIV/0!</v>
      </c>
      <c r="BJ42" s="224">
        <f t="shared" si="11"/>
        <v>0</v>
      </c>
      <c r="BK42" s="225">
        <f t="shared" si="12"/>
        <v>0</v>
      </c>
      <c r="BL42" s="223" t="e">
        <f t="shared" si="13"/>
        <v>#DIV/0!</v>
      </c>
      <c r="BM42" s="255"/>
      <c r="BN42" s="256"/>
      <c r="BO42" s="223" t="e">
        <f t="shared" si="45"/>
        <v>#DIV/0!</v>
      </c>
      <c r="BP42" s="255"/>
      <c r="BQ42" s="256"/>
      <c r="BR42" s="223" t="e">
        <f t="shared" si="46"/>
        <v>#DIV/0!</v>
      </c>
      <c r="BS42" s="255"/>
      <c r="BT42" s="255"/>
      <c r="BU42" s="223" t="e">
        <f t="shared" si="47"/>
        <v>#DIV/0!</v>
      </c>
      <c r="BV42" s="224">
        <f t="shared" si="17"/>
        <v>0</v>
      </c>
      <c r="BW42" s="224">
        <f t="shared" si="18"/>
        <v>0</v>
      </c>
      <c r="BX42" s="223" t="e">
        <f t="shared" si="19"/>
        <v>#DIV/0!</v>
      </c>
      <c r="BY42" s="223">
        <f t="shared" si="20"/>
        <v>0</v>
      </c>
      <c r="BZ42" s="223">
        <f t="shared" si="21"/>
        <v>0</v>
      </c>
      <c r="CA42" s="226"/>
      <c r="CB42" s="175"/>
      <c r="CC42" s="191"/>
      <c r="CD42" s="192"/>
      <c r="CE42" s="193" t="e">
        <f t="shared" si="48"/>
        <v>#DIV/0!</v>
      </c>
      <c r="CF42" s="191"/>
      <c r="CG42" s="192"/>
      <c r="CH42" s="193" t="e">
        <f t="shared" si="49"/>
        <v>#DIV/0!</v>
      </c>
      <c r="CI42" s="197"/>
      <c r="CJ42" s="198"/>
      <c r="CK42" s="193" t="e">
        <f t="shared" si="50"/>
        <v>#DIV/0!</v>
      </c>
      <c r="CL42" s="195">
        <f t="shared" si="51"/>
        <v>0</v>
      </c>
      <c r="CM42" s="194">
        <f t="shared" si="52"/>
        <v>0</v>
      </c>
      <c r="CN42" s="193" t="e">
        <f t="shared" si="53"/>
        <v>#DIV/0!</v>
      </c>
      <c r="CO42" s="175"/>
      <c r="CP42" s="196">
        <f t="shared" si="54"/>
        <v>0</v>
      </c>
      <c r="CQ42" s="196">
        <f t="shared" si="55"/>
        <v>0</v>
      </c>
      <c r="CR42" s="199" t="e">
        <f t="shared" si="56"/>
        <v>#DIV/0!</v>
      </c>
      <c r="CS42" s="261">
        <f t="shared" si="29"/>
        <v>1</v>
      </c>
      <c r="CT42" s="175"/>
      <c r="CU42" s="196">
        <f t="shared" si="30"/>
        <v>0.3</v>
      </c>
      <c r="CV42" s="259"/>
      <c r="CW42" s="199">
        <f t="shared" si="31"/>
        <v>0</v>
      </c>
      <c r="CX42" s="196">
        <f t="shared" si="32"/>
        <v>0.3</v>
      </c>
      <c r="CY42" s="259"/>
      <c r="CZ42" s="199">
        <f t="shared" si="33"/>
        <v>0</v>
      </c>
      <c r="DA42" s="196">
        <f t="shared" si="34"/>
        <v>0.3</v>
      </c>
      <c r="DB42" s="259"/>
      <c r="DC42" s="199">
        <f t="shared" si="35"/>
        <v>0</v>
      </c>
      <c r="DD42" s="196">
        <f t="shared" si="36"/>
        <v>0.1</v>
      </c>
      <c r="DE42" s="259"/>
      <c r="DF42" s="199">
        <f t="shared" si="37"/>
        <v>0</v>
      </c>
      <c r="DG42" s="175"/>
      <c r="DH42" s="196">
        <f t="shared" si="38"/>
        <v>1</v>
      </c>
      <c r="DI42" s="196">
        <f t="shared" si="39"/>
        <v>0</v>
      </c>
      <c r="DJ42" s="199">
        <f t="shared" si="40"/>
        <v>0</v>
      </c>
      <c r="DK42" s="265">
        <f t="shared" si="41"/>
        <v>1</v>
      </c>
      <c r="DL42" s="244">
        <v>38</v>
      </c>
      <c r="DM42">
        <f t="shared" si="58"/>
        <v>0</v>
      </c>
    </row>
    <row r="43" spans="1:117" x14ac:dyDescent="0.3">
      <c r="A43" s="246">
        <v>39</v>
      </c>
      <c r="B43" s="91" t="s">
        <v>239</v>
      </c>
      <c r="C43" s="91" t="s">
        <v>97</v>
      </c>
      <c r="D43" s="91" t="s">
        <v>98</v>
      </c>
      <c r="E43" s="91" t="s">
        <v>99</v>
      </c>
      <c r="F43" s="91" t="s">
        <v>240</v>
      </c>
      <c r="G43" s="87" t="s">
        <v>241</v>
      </c>
      <c r="H43" s="87" t="s">
        <v>242</v>
      </c>
      <c r="I43" s="87" t="s">
        <v>243</v>
      </c>
      <c r="J43" s="87" t="s">
        <v>243</v>
      </c>
      <c r="K43" s="85" t="s">
        <v>104</v>
      </c>
      <c r="L43" s="85" t="s">
        <v>105</v>
      </c>
      <c r="M43" s="87" t="s">
        <v>106</v>
      </c>
      <c r="N43" s="87" t="s">
        <v>244</v>
      </c>
      <c r="O43" s="87" t="s">
        <v>108</v>
      </c>
      <c r="P43" s="87" t="s">
        <v>245</v>
      </c>
      <c r="Q43" s="87" t="s">
        <v>110</v>
      </c>
      <c r="R43" s="130">
        <v>35</v>
      </c>
      <c r="S43" s="88" t="s">
        <v>111</v>
      </c>
      <c r="T43" s="81">
        <v>35</v>
      </c>
      <c r="U43" s="81">
        <v>0</v>
      </c>
      <c r="V43" s="25">
        <f t="shared" si="59"/>
        <v>0</v>
      </c>
      <c r="W43" s="81">
        <v>35</v>
      </c>
      <c r="X43" s="81">
        <v>10</v>
      </c>
      <c r="Y43" s="25">
        <f t="shared" si="1"/>
        <v>28.571428571428569</v>
      </c>
      <c r="Z43" s="81">
        <v>35</v>
      </c>
      <c r="AA43" s="81"/>
      <c r="AB43" s="25">
        <f t="shared" si="2"/>
        <v>0</v>
      </c>
      <c r="AC43" s="81">
        <v>35</v>
      </c>
      <c r="AD43" s="81"/>
      <c r="AE43" s="25">
        <f t="shared" si="3"/>
        <v>0</v>
      </c>
      <c r="AF43" s="137">
        <f t="shared" si="43"/>
        <v>35</v>
      </c>
      <c r="AG43" s="137">
        <f t="shared" si="44"/>
        <v>10</v>
      </c>
      <c r="AH43" s="128">
        <f t="shared" si="5"/>
        <v>14.285714285714285</v>
      </c>
      <c r="AI43" s="90">
        <v>46054</v>
      </c>
      <c r="AJ43" s="90">
        <v>46477</v>
      </c>
      <c r="AK43" s="91" t="s">
        <v>112</v>
      </c>
      <c r="AL43" s="91" t="s">
        <v>113</v>
      </c>
      <c r="AM43" s="92" t="s">
        <v>114</v>
      </c>
      <c r="AN43" s="93">
        <v>419200000</v>
      </c>
      <c r="AO43" s="93">
        <v>419200000</v>
      </c>
      <c r="AP43" s="93">
        <v>419200000</v>
      </c>
      <c r="AQ43" s="94">
        <v>0</v>
      </c>
      <c r="AR43" s="91" t="s">
        <v>246</v>
      </c>
      <c r="AS43" s="91" t="s">
        <v>112</v>
      </c>
      <c r="AT43" s="150" t="s">
        <v>247</v>
      </c>
      <c r="AU43" s="165" t="s">
        <v>2264</v>
      </c>
      <c r="AV43" s="232" t="s">
        <v>2234</v>
      </c>
      <c r="AW43" s="126" t="s">
        <v>2243</v>
      </c>
      <c r="BA43" s="255">
        <v>0</v>
      </c>
      <c r="BB43" s="256">
        <v>0</v>
      </c>
      <c r="BC43" s="223" t="e">
        <f t="shared" si="8"/>
        <v>#DIV/0!</v>
      </c>
      <c r="BD43" s="255">
        <v>0</v>
      </c>
      <c r="BE43" s="256">
        <v>0</v>
      </c>
      <c r="BF43" s="223" t="e">
        <f t="shared" si="9"/>
        <v>#DIV/0!</v>
      </c>
      <c r="BG43" s="255">
        <v>0</v>
      </c>
      <c r="BH43" s="256">
        <v>0</v>
      </c>
      <c r="BI43" s="223" t="e">
        <f t="shared" si="10"/>
        <v>#DIV/0!</v>
      </c>
      <c r="BJ43" s="224">
        <f t="shared" si="11"/>
        <v>0</v>
      </c>
      <c r="BK43" s="225">
        <f t="shared" si="12"/>
        <v>0</v>
      </c>
      <c r="BL43" s="223" t="e">
        <f t="shared" si="13"/>
        <v>#DIV/0!</v>
      </c>
      <c r="BM43" s="255">
        <v>29</v>
      </c>
      <c r="BN43" s="256">
        <v>4</v>
      </c>
      <c r="BO43" s="223">
        <f t="shared" si="45"/>
        <v>0.13793103448275862</v>
      </c>
      <c r="BP43" s="255">
        <v>29</v>
      </c>
      <c r="BQ43" s="256">
        <v>12</v>
      </c>
      <c r="BR43" s="223">
        <f t="shared" si="46"/>
        <v>0.41379310344827586</v>
      </c>
      <c r="BS43" s="255">
        <v>29</v>
      </c>
      <c r="BT43" s="255">
        <v>13</v>
      </c>
      <c r="BU43" s="223">
        <f t="shared" si="47"/>
        <v>0.44827586206896552</v>
      </c>
      <c r="BV43" s="224">
        <f t="shared" si="17"/>
        <v>87</v>
      </c>
      <c r="BW43" s="224">
        <f t="shared" si="18"/>
        <v>29</v>
      </c>
      <c r="BX43" s="223">
        <f t="shared" si="19"/>
        <v>0.33333333333333331</v>
      </c>
      <c r="BY43" s="223">
        <f t="shared" si="20"/>
        <v>0.82857142857142863</v>
      </c>
      <c r="BZ43" s="223">
        <f t="shared" si="21"/>
        <v>-0.82857142857142863</v>
      </c>
      <c r="CA43" s="226"/>
      <c r="CB43" s="175"/>
      <c r="CC43" s="191">
        <v>29</v>
      </c>
      <c r="CD43" s="192">
        <v>15</v>
      </c>
      <c r="CE43" s="193">
        <f t="shared" si="48"/>
        <v>0.51724137931034486</v>
      </c>
      <c r="CF43" s="191">
        <v>29</v>
      </c>
      <c r="CG43" s="192">
        <v>20</v>
      </c>
      <c r="CH43" s="193">
        <f t="shared" si="49"/>
        <v>0.68965517241379315</v>
      </c>
      <c r="CI43" s="197"/>
      <c r="CJ43" s="198"/>
      <c r="CK43" s="193" t="e">
        <f t="shared" si="50"/>
        <v>#DIV/0!</v>
      </c>
      <c r="CL43" s="195">
        <f t="shared" si="51"/>
        <v>58</v>
      </c>
      <c r="CM43" s="194">
        <f t="shared" si="52"/>
        <v>35</v>
      </c>
      <c r="CN43" s="193">
        <f t="shared" si="53"/>
        <v>0.60344827586206895</v>
      </c>
      <c r="CO43" s="175"/>
      <c r="CP43" s="196">
        <f t="shared" si="54"/>
        <v>145</v>
      </c>
      <c r="CQ43" s="196">
        <f t="shared" si="55"/>
        <v>64</v>
      </c>
      <c r="CR43" s="199">
        <f t="shared" si="56"/>
        <v>0.44137931034482758</v>
      </c>
      <c r="CS43" s="261">
        <f t="shared" si="29"/>
        <v>-29</v>
      </c>
      <c r="CT43" s="175"/>
      <c r="CU43" s="196">
        <f t="shared" si="30"/>
        <v>-8.6999999999999993</v>
      </c>
      <c r="CV43" s="259"/>
      <c r="CW43" s="199">
        <f t="shared" si="31"/>
        <v>0</v>
      </c>
      <c r="CX43" s="196">
        <f t="shared" si="32"/>
        <v>-8.6999999999999993</v>
      </c>
      <c r="CY43" s="259"/>
      <c r="CZ43" s="199">
        <f t="shared" si="33"/>
        <v>0</v>
      </c>
      <c r="DA43" s="196">
        <f t="shared" si="34"/>
        <v>-8.6999999999999993</v>
      </c>
      <c r="DB43" s="259"/>
      <c r="DC43" s="199">
        <f t="shared" si="35"/>
        <v>0</v>
      </c>
      <c r="DD43" s="196">
        <f t="shared" si="36"/>
        <v>-2.9000000000000004</v>
      </c>
      <c r="DE43" s="259"/>
      <c r="DF43" s="199">
        <f t="shared" si="37"/>
        <v>0</v>
      </c>
      <c r="DG43" s="175"/>
      <c r="DH43" s="196">
        <f t="shared" si="38"/>
        <v>35</v>
      </c>
      <c r="DI43" s="196">
        <f t="shared" si="39"/>
        <v>64</v>
      </c>
      <c r="DJ43" s="199">
        <f t="shared" si="40"/>
        <v>1.8285714285714285</v>
      </c>
      <c r="DK43" s="265">
        <f t="shared" si="41"/>
        <v>-29</v>
      </c>
      <c r="DL43" s="244">
        <v>39</v>
      </c>
      <c r="DM43">
        <f t="shared" si="58"/>
        <v>0</v>
      </c>
    </row>
    <row r="44" spans="1:117" x14ac:dyDescent="0.3">
      <c r="A44" s="246">
        <v>40</v>
      </c>
      <c r="B44" s="91" t="s">
        <v>239</v>
      </c>
      <c r="C44" s="91" t="s">
        <v>97</v>
      </c>
      <c r="D44" s="91" t="s">
        <v>98</v>
      </c>
      <c r="E44" s="91" t="s">
        <v>99</v>
      </c>
      <c r="F44" s="91" t="s">
        <v>240</v>
      </c>
      <c r="G44" s="87" t="s">
        <v>241</v>
      </c>
      <c r="H44" s="87" t="s">
        <v>242</v>
      </c>
      <c r="I44" s="87" t="s">
        <v>243</v>
      </c>
      <c r="J44" s="87" t="s">
        <v>243</v>
      </c>
      <c r="K44" s="85" t="s">
        <v>104</v>
      </c>
      <c r="L44" s="85" t="s">
        <v>105</v>
      </c>
      <c r="M44" s="87" t="s">
        <v>106</v>
      </c>
      <c r="N44" s="87" t="s">
        <v>244</v>
      </c>
      <c r="O44" s="87" t="s">
        <v>108</v>
      </c>
      <c r="P44" s="87" t="s">
        <v>248</v>
      </c>
      <c r="Q44" s="87" t="s">
        <v>110</v>
      </c>
      <c r="R44" s="130">
        <v>102</v>
      </c>
      <c r="S44" s="88" t="s">
        <v>111</v>
      </c>
      <c r="T44" s="81">
        <v>0</v>
      </c>
      <c r="U44" s="81">
        <v>0</v>
      </c>
      <c r="V44" s="25" t="e">
        <f t="shared" si="59"/>
        <v>#DIV/0!</v>
      </c>
      <c r="W44" s="81">
        <v>34</v>
      </c>
      <c r="X44" s="81">
        <v>24</v>
      </c>
      <c r="Y44" s="25">
        <f t="shared" si="1"/>
        <v>70.588235294117652</v>
      </c>
      <c r="Z44" s="81">
        <v>34</v>
      </c>
      <c r="AA44" s="81"/>
      <c r="AB44" s="25">
        <f t="shared" si="2"/>
        <v>0</v>
      </c>
      <c r="AC44" s="81">
        <v>34</v>
      </c>
      <c r="AD44" s="81"/>
      <c r="AE44" s="25">
        <f t="shared" si="3"/>
        <v>0</v>
      </c>
      <c r="AF44" s="137">
        <f t="shared" si="43"/>
        <v>102</v>
      </c>
      <c r="AG44" s="137">
        <f t="shared" si="44"/>
        <v>24</v>
      </c>
      <c r="AH44" s="128">
        <f t="shared" si="5"/>
        <v>70.588235294117652</v>
      </c>
      <c r="AI44" s="90">
        <v>46113</v>
      </c>
      <c r="AJ44" s="90">
        <v>46477</v>
      </c>
      <c r="AK44" s="91" t="s">
        <v>112</v>
      </c>
      <c r="AL44" s="91" t="s">
        <v>113</v>
      </c>
      <c r="AM44" s="92" t="s">
        <v>114</v>
      </c>
      <c r="AN44" s="93">
        <v>171000000</v>
      </c>
      <c r="AO44" s="93">
        <v>171000000</v>
      </c>
      <c r="AP44" s="93">
        <v>171000000</v>
      </c>
      <c r="AQ44" s="94">
        <v>0</v>
      </c>
      <c r="AR44" s="91" t="s">
        <v>246</v>
      </c>
      <c r="AS44" s="91" t="s">
        <v>112</v>
      </c>
      <c r="AT44" s="150" t="s">
        <v>247</v>
      </c>
      <c r="AU44" s="165" t="s">
        <v>2264</v>
      </c>
      <c r="AV44" s="232" t="s">
        <v>2234</v>
      </c>
      <c r="AW44" s="126" t="s">
        <v>2243</v>
      </c>
      <c r="BA44" s="255">
        <v>0</v>
      </c>
      <c r="BB44" s="256">
        <v>0</v>
      </c>
      <c r="BC44" s="223" t="e">
        <f t="shared" si="8"/>
        <v>#DIV/0!</v>
      </c>
      <c r="BD44" s="255">
        <v>0</v>
      </c>
      <c r="BE44" s="256">
        <v>0</v>
      </c>
      <c r="BF44" s="223" t="e">
        <f t="shared" si="9"/>
        <v>#DIV/0!</v>
      </c>
      <c r="BG44" s="255">
        <v>0</v>
      </c>
      <c r="BH44" s="256">
        <v>0</v>
      </c>
      <c r="BI44" s="223" t="e">
        <f t="shared" si="10"/>
        <v>#DIV/0!</v>
      </c>
      <c r="BJ44" s="224">
        <f t="shared" si="11"/>
        <v>0</v>
      </c>
      <c r="BK44" s="225">
        <f t="shared" si="12"/>
        <v>0</v>
      </c>
      <c r="BL44" s="223" t="e">
        <f t="shared" si="13"/>
        <v>#DIV/0!</v>
      </c>
      <c r="BM44" s="255">
        <v>87</v>
      </c>
      <c r="BN44" s="256">
        <v>0</v>
      </c>
      <c r="BO44" s="223">
        <f t="shared" si="45"/>
        <v>0</v>
      </c>
      <c r="BP44" s="255">
        <v>87</v>
      </c>
      <c r="BQ44" s="256">
        <v>0</v>
      </c>
      <c r="BR44" s="223">
        <f t="shared" si="46"/>
        <v>0</v>
      </c>
      <c r="BS44" s="255">
        <v>87</v>
      </c>
      <c r="BT44" s="255">
        <v>3</v>
      </c>
      <c r="BU44" s="223">
        <f t="shared" si="47"/>
        <v>3.4482758620689655E-2</v>
      </c>
      <c r="BV44" s="224">
        <f t="shared" si="17"/>
        <v>261</v>
      </c>
      <c r="BW44" s="224">
        <f t="shared" si="18"/>
        <v>3</v>
      </c>
      <c r="BX44" s="223">
        <f t="shared" si="19"/>
        <v>1.1494252873563218E-2</v>
      </c>
      <c r="BY44" s="223">
        <f t="shared" si="20"/>
        <v>2.9411764705882353E-2</v>
      </c>
      <c r="BZ44" s="223">
        <f t="shared" si="21"/>
        <v>-2.9411764705882353E-2</v>
      </c>
      <c r="CA44" s="226"/>
      <c r="CB44" s="175"/>
      <c r="CC44" s="191">
        <v>87</v>
      </c>
      <c r="CD44" s="192">
        <v>15</v>
      </c>
      <c r="CE44" s="193">
        <f t="shared" si="48"/>
        <v>0.17241379310344829</v>
      </c>
      <c r="CF44" s="191">
        <v>87</v>
      </c>
      <c r="CG44" s="192">
        <v>30</v>
      </c>
      <c r="CH44" s="193">
        <f t="shared" si="49"/>
        <v>0.34482758620689657</v>
      </c>
      <c r="CI44" s="197"/>
      <c r="CJ44" s="198"/>
      <c r="CK44" s="193" t="e">
        <f t="shared" si="50"/>
        <v>#DIV/0!</v>
      </c>
      <c r="CL44" s="195">
        <f t="shared" si="51"/>
        <v>174</v>
      </c>
      <c r="CM44" s="194">
        <f t="shared" si="52"/>
        <v>45</v>
      </c>
      <c r="CN44" s="193">
        <f t="shared" si="53"/>
        <v>0.25862068965517243</v>
      </c>
      <c r="CO44" s="175"/>
      <c r="CP44" s="196">
        <f t="shared" si="54"/>
        <v>435</v>
      </c>
      <c r="CQ44" s="196">
        <f t="shared" si="55"/>
        <v>48</v>
      </c>
      <c r="CR44" s="199">
        <f t="shared" si="56"/>
        <v>0.1103448275862069</v>
      </c>
      <c r="CS44" s="261">
        <f t="shared" si="29"/>
        <v>54</v>
      </c>
      <c r="CT44" s="175"/>
      <c r="CU44" s="196">
        <f t="shared" si="30"/>
        <v>16.2</v>
      </c>
      <c r="CV44" s="259"/>
      <c r="CW44" s="199">
        <f t="shared" si="31"/>
        <v>0</v>
      </c>
      <c r="CX44" s="196">
        <f t="shared" si="32"/>
        <v>16.2</v>
      </c>
      <c r="CY44" s="259"/>
      <c r="CZ44" s="199">
        <f t="shared" si="33"/>
        <v>0</v>
      </c>
      <c r="DA44" s="196">
        <f t="shared" si="34"/>
        <v>16.2</v>
      </c>
      <c r="DB44" s="259"/>
      <c r="DC44" s="199">
        <f t="shared" si="35"/>
        <v>0</v>
      </c>
      <c r="DD44" s="196">
        <f t="shared" si="36"/>
        <v>5.4</v>
      </c>
      <c r="DE44" s="259"/>
      <c r="DF44" s="199">
        <f t="shared" si="37"/>
        <v>0</v>
      </c>
      <c r="DG44" s="175"/>
      <c r="DH44" s="196">
        <f t="shared" si="38"/>
        <v>102</v>
      </c>
      <c r="DI44" s="196">
        <f t="shared" si="39"/>
        <v>48</v>
      </c>
      <c r="DJ44" s="199">
        <f t="shared" si="40"/>
        <v>0.47058823529411764</v>
      </c>
      <c r="DK44" s="265">
        <f t="shared" si="41"/>
        <v>54</v>
      </c>
      <c r="DL44" s="244">
        <v>40</v>
      </c>
      <c r="DM44">
        <f t="shared" si="58"/>
        <v>0</v>
      </c>
    </row>
    <row r="45" spans="1:117" x14ac:dyDescent="0.3">
      <c r="A45" s="246">
        <v>41</v>
      </c>
      <c r="B45" s="91" t="s">
        <v>239</v>
      </c>
      <c r="C45" s="91" t="s">
        <v>97</v>
      </c>
      <c r="D45" s="91" t="s">
        <v>98</v>
      </c>
      <c r="E45" s="91" t="s">
        <v>99</v>
      </c>
      <c r="F45" s="91" t="s">
        <v>240</v>
      </c>
      <c r="G45" s="87" t="s">
        <v>241</v>
      </c>
      <c r="H45" s="87" t="s">
        <v>242</v>
      </c>
      <c r="I45" s="87" t="s">
        <v>243</v>
      </c>
      <c r="J45" s="87" t="s">
        <v>243</v>
      </c>
      <c r="K45" s="85" t="s">
        <v>104</v>
      </c>
      <c r="L45" s="85" t="s">
        <v>105</v>
      </c>
      <c r="M45" s="87" t="s">
        <v>106</v>
      </c>
      <c r="N45" s="87" t="s">
        <v>244</v>
      </c>
      <c r="O45" s="87" t="s">
        <v>108</v>
      </c>
      <c r="P45" s="87" t="s">
        <v>249</v>
      </c>
      <c r="Q45" s="87" t="s">
        <v>110</v>
      </c>
      <c r="R45" s="130">
        <v>102</v>
      </c>
      <c r="S45" s="88" t="s">
        <v>111</v>
      </c>
      <c r="T45" s="81">
        <v>0</v>
      </c>
      <c r="U45" s="81">
        <v>0</v>
      </c>
      <c r="V45" s="25">
        <v>0</v>
      </c>
      <c r="W45" s="81">
        <v>34</v>
      </c>
      <c r="X45" s="81">
        <v>29</v>
      </c>
      <c r="Y45" s="25">
        <f t="shared" si="1"/>
        <v>85.294117647058826</v>
      </c>
      <c r="Z45" s="81">
        <v>34</v>
      </c>
      <c r="AA45" s="81"/>
      <c r="AB45" s="25">
        <f t="shared" si="2"/>
        <v>0</v>
      </c>
      <c r="AC45" s="81">
        <v>34</v>
      </c>
      <c r="AD45" s="81"/>
      <c r="AE45" s="25">
        <f t="shared" si="3"/>
        <v>0</v>
      </c>
      <c r="AF45" s="137">
        <f t="shared" si="43"/>
        <v>102</v>
      </c>
      <c r="AG45" s="137">
        <f t="shared" si="44"/>
        <v>29</v>
      </c>
      <c r="AH45" s="128">
        <f t="shared" si="5"/>
        <v>85.294117647058826</v>
      </c>
      <c r="AI45" s="90">
        <v>46113</v>
      </c>
      <c r="AJ45" s="90">
        <v>46477</v>
      </c>
      <c r="AK45" s="91" t="s">
        <v>112</v>
      </c>
      <c r="AL45" s="91" t="s">
        <v>113</v>
      </c>
      <c r="AM45" s="92" t="s">
        <v>114</v>
      </c>
      <c r="AN45" s="93">
        <v>119000000</v>
      </c>
      <c r="AO45" s="93">
        <v>119000000</v>
      </c>
      <c r="AP45" s="93">
        <v>119000000</v>
      </c>
      <c r="AQ45" s="94">
        <v>0</v>
      </c>
      <c r="AR45" s="91" t="s">
        <v>159</v>
      </c>
      <c r="AS45" s="91" t="s">
        <v>112</v>
      </c>
      <c r="AT45" s="150" t="s">
        <v>247</v>
      </c>
      <c r="AU45" s="165" t="s">
        <v>2264</v>
      </c>
      <c r="AV45" s="232" t="s">
        <v>2234</v>
      </c>
      <c r="AW45" s="126" t="s">
        <v>2243</v>
      </c>
      <c r="BA45" s="255">
        <v>0</v>
      </c>
      <c r="BB45" s="256">
        <v>0</v>
      </c>
      <c r="BC45" s="223" t="e">
        <f t="shared" si="8"/>
        <v>#DIV/0!</v>
      </c>
      <c r="BD45" s="255">
        <v>0</v>
      </c>
      <c r="BE45" s="256">
        <v>0</v>
      </c>
      <c r="BF45" s="223" t="e">
        <f t="shared" si="9"/>
        <v>#DIV/0!</v>
      </c>
      <c r="BG45" s="255">
        <v>0</v>
      </c>
      <c r="BH45" s="256">
        <v>0</v>
      </c>
      <c r="BI45" s="223" t="e">
        <f t="shared" si="10"/>
        <v>#DIV/0!</v>
      </c>
      <c r="BJ45" s="224">
        <f t="shared" si="11"/>
        <v>0</v>
      </c>
      <c r="BK45" s="225">
        <f t="shared" si="12"/>
        <v>0</v>
      </c>
      <c r="BL45" s="223" t="e">
        <f t="shared" si="13"/>
        <v>#DIV/0!</v>
      </c>
      <c r="BM45" s="255">
        <v>0</v>
      </c>
      <c r="BN45" s="256">
        <v>0</v>
      </c>
      <c r="BO45" s="223" t="e">
        <f t="shared" si="45"/>
        <v>#DIV/0!</v>
      </c>
      <c r="BP45" s="255">
        <v>0</v>
      </c>
      <c r="BQ45" s="256">
        <v>0</v>
      </c>
      <c r="BR45" s="223" t="e">
        <f t="shared" si="46"/>
        <v>#DIV/0!</v>
      </c>
      <c r="BS45" s="255">
        <v>29</v>
      </c>
      <c r="BT45" s="255">
        <v>8</v>
      </c>
      <c r="BU45" s="223">
        <f t="shared" si="47"/>
        <v>0.27586206896551724</v>
      </c>
      <c r="BV45" s="224">
        <f t="shared" si="17"/>
        <v>29</v>
      </c>
      <c r="BW45" s="224">
        <f t="shared" si="18"/>
        <v>8</v>
      </c>
      <c r="BX45" s="223">
        <f t="shared" si="19"/>
        <v>0.27586206896551724</v>
      </c>
      <c r="BY45" s="223">
        <f t="shared" si="20"/>
        <v>7.8431372549019607E-2</v>
      </c>
      <c r="BZ45" s="223">
        <f t="shared" si="21"/>
        <v>-7.8431372549019607E-2</v>
      </c>
      <c r="CA45" s="226"/>
      <c r="CB45" s="175"/>
      <c r="CC45" s="191">
        <v>29</v>
      </c>
      <c r="CD45" s="192">
        <v>21</v>
      </c>
      <c r="CE45" s="193">
        <f t="shared" si="48"/>
        <v>0.72413793103448276</v>
      </c>
      <c r="CF45" s="191">
        <v>0</v>
      </c>
      <c r="CG45" s="192">
        <v>0</v>
      </c>
      <c r="CH45" s="193" t="e">
        <f t="shared" si="49"/>
        <v>#DIV/0!</v>
      </c>
      <c r="CI45" s="197"/>
      <c r="CJ45" s="198"/>
      <c r="CK45" s="193" t="e">
        <f t="shared" si="50"/>
        <v>#DIV/0!</v>
      </c>
      <c r="CL45" s="195">
        <f t="shared" si="51"/>
        <v>29</v>
      </c>
      <c r="CM45" s="194">
        <f t="shared" si="52"/>
        <v>21</v>
      </c>
      <c r="CN45" s="193">
        <f t="shared" si="53"/>
        <v>0.72413793103448276</v>
      </c>
      <c r="CO45" s="175"/>
      <c r="CP45" s="196">
        <f t="shared" si="54"/>
        <v>58</v>
      </c>
      <c r="CQ45" s="196">
        <f t="shared" si="55"/>
        <v>29</v>
      </c>
      <c r="CR45" s="199">
        <f t="shared" si="56"/>
        <v>0.5</v>
      </c>
      <c r="CS45" s="261">
        <f t="shared" si="29"/>
        <v>73</v>
      </c>
      <c r="CT45" s="175"/>
      <c r="CU45" s="196">
        <f t="shared" si="30"/>
        <v>21.9</v>
      </c>
      <c r="CV45" s="259"/>
      <c r="CW45" s="199">
        <f t="shared" si="31"/>
        <v>0</v>
      </c>
      <c r="CX45" s="196">
        <f t="shared" si="32"/>
        <v>21.9</v>
      </c>
      <c r="CY45" s="259"/>
      <c r="CZ45" s="199">
        <f t="shared" si="33"/>
        <v>0</v>
      </c>
      <c r="DA45" s="196">
        <f t="shared" si="34"/>
        <v>21.9</v>
      </c>
      <c r="DB45" s="259"/>
      <c r="DC45" s="199">
        <f t="shared" si="35"/>
        <v>0</v>
      </c>
      <c r="DD45" s="196">
        <f t="shared" si="36"/>
        <v>7.3000000000000007</v>
      </c>
      <c r="DE45" s="259"/>
      <c r="DF45" s="199">
        <f t="shared" si="37"/>
        <v>0</v>
      </c>
      <c r="DG45" s="175"/>
      <c r="DH45" s="196">
        <f t="shared" si="38"/>
        <v>102</v>
      </c>
      <c r="DI45" s="196">
        <f t="shared" si="39"/>
        <v>29</v>
      </c>
      <c r="DJ45" s="199">
        <f t="shared" si="40"/>
        <v>0.28431372549019607</v>
      </c>
      <c r="DK45" s="265">
        <f t="shared" si="41"/>
        <v>73</v>
      </c>
      <c r="DL45" s="244">
        <v>41</v>
      </c>
      <c r="DM45">
        <f t="shared" si="58"/>
        <v>0</v>
      </c>
    </row>
    <row r="46" spans="1:117" ht="66" x14ac:dyDescent="0.3">
      <c r="A46" s="246">
        <v>42</v>
      </c>
      <c r="B46" s="91" t="s">
        <v>250</v>
      </c>
      <c r="C46" s="91" t="s">
        <v>133</v>
      </c>
      <c r="D46" s="91" t="s">
        <v>119</v>
      </c>
      <c r="E46" s="91" t="s">
        <v>134</v>
      </c>
      <c r="F46" s="91" t="s">
        <v>251</v>
      </c>
      <c r="G46" s="87" t="s">
        <v>252</v>
      </c>
      <c r="H46" s="87" t="s">
        <v>253</v>
      </c>
      <c r="I46" s="87" t="s">
        <v>254</v>
      </c>
      <c r="J46" s="87" t="s">
        <v>254</v>
      </c>
      <c r="K46" s="85" t="s">
        <v>104</v>
      </c>
      <c r="L46" s="85" t="s">
        <v>105</v>
      </c>
      <c r="M46" s="87" t="s">
        <v>106</v>
      </c>
      <c r="N46" s="87" t="s">
        <v>255</v>
      </c>
      <c r="O46" s="87" t="s">
        <v>127</v>
      </c>
      <c r="P46" s="242" t="s">
        <v>256</v>
      </c>
      <c r="Q46" s="87" t="s">
        <v>129</v>
      </c>
      <c r="R46" s="130">
        <v>1</v>
      </c>
      <c r="S46" s="88" t="s">
        <v>111</v>
      </c>
      <c r="T46" s="81">
        <v>0</v>
      </c>
      <c r="U46" s="81">
        <v>0</v>
      </c>
      <c r="V46" s="25">
        <v>0</v>
      </c>
      <c r="W46" s="81">
        <v>0</v>
      </c>
      <c r="X46" s="81">
        <v>0</v>
      </c>
      <c r="Y46" s="25" t="e">
        <f t="shared" si="1"/>
        <v>#DIV/0!</v>
      </c>
      <c r="Z46" s="81">
        <v>1</v>
      </c>
      <c r="AA46" s="81"/>
      <c r="AB46" s="25">
        <f t="shared" si="2"/>
        <v>0</v>
      </c>
      <c r="AC46" s="81">
        <v>1</v>
      </c>
      <c r="AD46" s="81"/>
      <c r="AE46" s="25">
        <f t="shared" si="3"/>
        <v>0</v>
      </c>
      <c r="AF46" s="137">
        <f t="shared" si="43"/>
        <v>1</v>
      </c>
      <c r="AG46" s="137">
        <f t="shared" si="44"/>
        <v>0</v>
      </c>
      <c r="AH46" s="128" t="e">
        <f t="shared" si="5"/>
        <v>#DIV/0!</v>
      </c>
      <c r="AI46" s="90">
        <v>46054</v>
      </c>
      <c r="AJ46" s="90">
        <v>46477</v>
      </c>
      <c r="AK46" s="91" t="s">
        <v>112</v>
      </c>
      <c r="AL46" s="91" t="s">
        <v>113</v>
      </c>
      <c r="AM46" s="92" t="s">
        <v>114</v>
      </c>
      <c r="AN46" s="93">
        <v>120000000</v>
      </c>
      <c r="AO46" s="93">
        <v>120000000</v>
      </c>
      <c r="AP46" s="93">
        <v>120000000</v>
      </c>
      <c r="AQ46" s="94">
        <v>0</v>
      </c>
      <c r="AR46" s="91" t="s">
        <v>246</v>
      </c>
      <c r="AS46" s="91" t="s">
        <v>112</v>
      </c>
      <c r="AT46" s="150" t="s">
        <v>247</v>
      </c>
      <c r="AU46" s="165" t="s">
        <v>2264</v>
      </c>
      <c r="AV46" s="232" t="s">
        <v>2234</v>
      </c>
      <c r="AW46" s="126" t="s">
        <v>2243</v>
      </c>
      <c r="BA46" s="255"/>
      <c r="BB46" s="256"/>
      <c r="BC46" s="223" t="e">
        <f t="shared" si="8"/>
        <v>#DIV/0!</v>
      </c>
      <c r="BD46" s="255"/>
      <c r="BE46" s="256"/>
      <c r="BF46" s="223" t="e">
        <f t="shared" si="9"/>
        <v>#DIV/0!</v>
      </c>
      <c r="BG46" s="255"/>
      <c r="BH46" s="256"/>
      <c r="BI46" s="223" t="e">
        <f t="shared" si="10"/>
        <v>#DIV/0!</v>
      </c>
      <c r="BJ46" s="224">
        <f t="shared" si="11"/>
        <v>0</v>
      </c>
      <c r="BK46" s="225">
        <f t="shared" si="12"/>
        <v>0</v>
      </c>
      <c r="BL46" s="223" t="e">
        <f t="shared" si="13"/>
        <v>#DIV/0!</v>
      </c>
      <c r="BM46" s="255"/>
      <c r="BN46" s="256"/>
      <c r="BO46" s="223" t="e">
        <f t="shared" si="45"/>
        <v>#DIV/0!</v>
      </c>
      <c r="BP46" s="255"/>
      <c r="BQ46" s="256"/>
      <c r="BR46" s="223" t="e">
        <f t="shared" si="46"/>
        <v>#DIV/0!</v>
      </c>
      <c r="BS46" s="255"/>
      <c r="BT46" s="255"/>
      <c r="BU46" s="223" t="e">
        <f t="shared" si="47"/>
        <v>#DIV/0!</v>
      </c>
      <c r="BV46" s="224">
        <f t="shared" si="17"/>
        <v>0</v>
      </c>
      <c r="BW46" s="224">
        <f t="shared" si="18"/>
        <v>0</v>
      </c>
      <c r="BX46" s="223" t="e">
        <f t="shared" si="19"/>
        <v>#DIV/0!</v>
      </c>
      <c r="BY46" s="223">
        <f t="shared" si="20"/>
        <v>0</v>
      </c>
      <c r="BZ46" s="223">
        <f t="shared" si="21"/>
        <v>0</v>
      </c>
      <c r="CA46" s="226"/>
      <c r="CB46" s="175"/>
      <c r="CC46" s="191"/>
      <c r="CD46" s="192"/>
      <c r="CE46" s="193" t="e">
        <f t="shared" si="48"/>
        <v>#DIV/0!</v>
      </c>
      <c r="CF46" s="191"/>
      <c r="CG46" s="192"/>
      <c r="CH46" s="193" t="e">
        <f t="shared" si="49"/>
        <v>#DIV/0!</v>
      </c>
      <c r="CI46" s="197"/>
      <c r="CJ46" s="198"/>
      <c r="CK46" s="193" t="e">
        <f t="shared" si="50"/>
        <v>#DIV/0!</v>
      </c>
      <c r="CL46" s="195">
        <f t="shared" si="51"/>
        <v>0</v>
      </c>
      <c r="CM46" s="194">
        <f t="shared" si="52"/>
        <v>0</v>
      </c>
      <c r="CN46" s="193" t="e">
        <f t="shared" si="53"/>
        <v>#DIV/0!</v>
      </c>
      <c r="CO46" s="175"/>
      <c r="CP46" s="196">
        <f t="shared" si="54"/>
        <v>0</v>
      </c>
      <c r="CQ46" s="196">
        <f t="shared" si="55"/>
        <v>0</v>
      </c>
      <c r="CR46" s="199" t="e">
        <f t="shared" si="56"/>
        <v>#DIV/0!</v>
      </c>
      <c r="CS46" s="261">
        <f t="shared" si="29"/>
        <v>1</v>
      </c>
      <c r="CT46" s="175"/>
      <c r="CU46" s="196">
        <f t="shared" si="30"/>
        <v>0.3</v>
      </c>
      <c r="CV46" s="259"/>
      <c r="CW46" s="199">
        <f t="shared" si="31"/>
        <v>0</v>
      </c>
      <c r="CX46" s="196">
        <f t="shared" si="32"/>
        <v>0.3</v>
      </c>
      <c r="CY46" s="259"/>
      <c r="CZ46" s="199">
        <f t="shared" si="33"/>
        <v>0</v>
      </c>
      <c r="DA46" s="196">
        <f t="shared" si="34"/>
        <v>0.3</v>
      </c>
      <c r="DB46" s="259"/>
      <c r="DC46" s="199">
        <f t="shared" si="35"/>
        <v>0</v>
      </c>
      <c r="DD46" s="196">
        <f t="shared" si="36"/>
        <v>0.1</v>
      </c>
      <c r="DE46" s="259"/>
      <c r="DF46" s="199">
        <f t="shared" si="37"/>
        <v>0</v>
      </c>
      <c r="DG46" s="175"/>
      <c r="DH46" s="196">
        <f t="shared" si="38"/>
        <v>1</v>
      </c>
      <c r="DI46" s="196">
        <f t="shared" si="39"/>
        <v>0</v>
      </c>
      <c r="DJ46" s="199">
        <f t="shared" si="40"/>
        <v>0</v>
      </c>
      <c r="DK46" s="265">
        <f t="shared" si="41"/>
        <v>1</v>
      </c>
      <c r="DL46" s="244">
        <v>42</v>
      </c>
      <c r="DM46">
        <f t="shared" si="58"/>
        <v>0</v>
      </c>
    </row>
    <row r="47" spans="1:117" x14ac:dyDescent="0.3">
      <c r="A47" s="246">
        <v>43</v>
      </c>
      <c r="B47" s="91" t="s">
        <v>250</v>
      </c>
      <c r="C47" s="91" t="s">
        <v>133</v>
      </c>
      <c r="D47" s="91" t="s">
        <v>119</v>
      </c>
      <c r="E47" s="91" t="s">
        <v>134</v>
      </c>
      <c r="F47" s="91" t="s">
        <v>257</v>
      </c>
      <c r="G47" s="87" t="s">
        <v>258</v>
      </c>
      <c r="H47" s="87" t="s">
        <v>259</v>
      </c>
      <c r="I47" s="87" t="s">
        <v>243</v>
      </c>
      <c r="J47" s="87" t="s">
        <v>243</v>
      </c>
      <c r="K47" s="85" t="s">
        <v>104</v>
      </c>
      <c r="L47" s="85" t="s">
        <v>105</v>
      </c>
      <c r="M47" s="87" t="s">
        <v>106</v>
      </c>
      <c r="N47" s="87" t="s">
        <v>260</v>
      </c>
      <c r="O47" s="87" t="s">
        <v>127</v>
      </c>
      <c r="P47" s="241" t="s">
        <v>261</v>
      </c>
      <c r="Q47" s="87" t="s">
        <v>129</v>
      </c>
      <c r="R47" s="130">
        <v>4</v>
      </c>
      <c r="S47" s="88" t="s">
        <v>111</v>
      </c>
      <c r="T47" s="81">
        <v>0</v>
      </c>
      <c r="U47" s="81">
        <v>0</v>
      </c>
      <c r="V47" s="25">
        <v>0</v>
      </c>
      <c r="W47" s="81">
        <v>1</v>
      </c>
      <c r="X47" s="81">
        <v>0</v>
      </c>
      <c r="Y47" s="25">
        <f t="shared" si="1"/>
        <v>0</v>
      </c>
      <c r="Z47" s="81">
        <v>2</v>
      </c>
      <c r="AA47" s="81"/>
      <c r="AB47" s="25">
        <f t="shared" si="2"/>
        <v>0</v>
      </c>
      <c r="AC47" s="81">
        <v>4</v>
      </c>
      <c r="AD47" s="81"/>
      <c r="AE47" s="25">
        <f t="shared" si="3"/>
        <v>0</v>
      </c>
      <c r="AF47" s="137">
        <f t="shared" si="43"/>
        <v>4</v>
      </c>
      <c r="AG47" s="137">
        <f t="shared" si="44"/>
        <v>0</v>
      </c>
      <c r="AH47" s="128">
        <f t="shared" si="5"/>
        <v>0</v>
      </c>
      <c r="AI47" s="90">
        <v>46113</v>
      </c>
      <c r="AJ47" s="90">
        <v>46477</v>
      </c>
      <c r="AK47" s="91" t="s">
        <v>112</v>
      </c>
      <c r="AL47" s="91" t="s">
        <v>113</v>
      </c>
      <c r="AM47" s="92" t="s">
        <v>114</v>
      </c>
      <c r="AN47" s="93">
        <v>120000000</v>
      </c>
      <c r="AO47" s="93">
        <v>120000000</v>
      </c>
      <c r="AP47" s="93">
        <v>120000000</v>
      </c>
      <c r="AQ47" s="94">
        <v>0</v>
      </c>
      <c r="AR47" s="91" t="s">
        <v>262</v>
      </c>
      <c r="AS47" s="91" t="s">
        <v>112</v>
      </c>
      <c r="AT47" s="150" t="s">
        <v>247</v>
      </c>
      <c r="AU47" s="165" t="s">
        <v>2264</v>
      </c>
      <c r="AV47" s="232" t="s">
        <v>2234</v>
      </c>
      <c r="AW47" s="126" t="s">
        <v>2243</v>
      </c>
      <c r="BA47" s="255"/>
      <c r="BB47" s="256"/>
      <c r="BC47" s="223" t="e">
        <f t="shared" si="8"/>
        <v>#DIV/0!</v>
      </c>
      <c r="BD47" s="255"/>
      <c r="BE47" s="256"/>
      <c r="BF47" s="223" t="e">
        <f t="shared" si="9"/>
        <v>#DIV/0!</v>
      </c>
      <c r="BG47" s="255"/>
      <c r="BH47" s="256"/>
      <c r="BI47" s="223" t="e">
        <f t="shared" si="10"/>
        <v>#DIV/0!</v>
      </c>
      <c r="BJ47" s="224">
        <f t="shared" si="11"/>
        <v>0</v>
      </c>
      <c r="BK47" s="225">
        <f t="shared" si="12"/>
        <v>0</v>
      </c>
      <c r="BL47" s="223" t="e">
        <f t="shared" si="13"/>
        <v>#DIV/0!</v>
      </c>
      <c r="BM47" s="255"/>
      <c r="BN47" s="256"/>
      <c r="BO47" s="223" t="e">
        <f t="shared" si="45"/>
        <v>#DIV/0!</v>
      </c>
      <c r="BP47" s="255"/>
      <c r="BQ47" s="256"/>
      <c r="BR47" s="223" t="e">
        <f t="shared" si="46"/>
        <v>#DIV/0!</v>
      </c>
      <c r="BS47" s="255"/>
      <c r="BT47" s="255"/>
      <c r="BU47" s="223" t="e">
        <f t="shared" si="47"/>
        <v>#DIV/0!</v>
      </c>
      <c r="BV47" s="224">
        <f t="shared" si="17"/>
        <v>0</v>
      </c>
      <c r="BW47" s="224">
        <f t="shared" si="18"/>
        <v>0</v>
      </c>
      <c r="BX47" s="223" t="e">
        <f t="shared" si="19"/>
        <v>#DIV/0!</v>
      </c>
      <c r="BY47" s="223">
        <f t="shared" si="20"/>
        <v>0</v>
      </c>
      <c r="BZ47" s="223">
        <f t="shared" si="21"/>
        <v>0</v>
      </c>
      <c r="CA47" s="226"/>
      <c r="CB47" s="175"/>
      <c r="CC47" s="191"/>
      <c r="CD47" s="192"/>
      <c r="CE47" s="193" t="e">
        <f t="shared" si="48"/>
        <v>#DIV/0!</v>
      </c>
      <c r="CF47" s="191"/>
      <c r="CG47" s="192"/>
      <c r="CH47" s="193" t="e">
        <f t="shared" si="49"/>
        <v>#DIV/0!</v>
      </c>
      <c r="CI47" s="197"/>
      <c r="CJ47" s="198"/>
      <c r="CK47" s="193" t="e">
        <f t="shared" si="50"/>
        <v>#DIV/0!</v>
      </c>
      <c r="CL47" s="195">
        <f t="shared" si="51"/>
        <v>0</v>
      </c>
      <c r="CM47" s="194">
        <f t="shared" si="52"/>
        <v>0</v>
      </c>
      <c r="CN47" s="193" t="e">
        <f t="shared" si="53"/>
        <v>#DIV/0!</v>
      </c>
      <c r="CO47" s="175"/>
      <c r="CP47" s="196">
        <f t="shared" si="54"/>
        <v>0</v>
      </c>
      <c r="CQ47" s="196">
        <f t="shared" si="55"/>
        <v>0</v>
      </c>
      <c r="CR47" s="199" t="e">
        <f t="shared" si="56"/>
        <v>#DIV/0!</v>
      </c>
      <c r="CS47" s="261">
        <f t="shared" si="29"/>
        <v>4</v>
      </c>
      <c r="CT47" s="175"/>
      <c r="CU47" s="196">
        <f t="shared" si="30"/>
        <v>1.2</v>
      </c>
      <c r="CV47" s="259"/>
      <c r="CW47" s="199">
        <f t="shared" si="31"/>
        <v>0</v>
      </c>
      <c r="CX47" s="196">
        <f t="shared" si="32"/>
        <v>1.2</v>
      </c>
      <c r="CY47" s="259"/>
      <c r="CZ47" s="199">
        <f t="shared" si="33"/>
        <v>0</v>
      </c>
      <c r="DA47" s="196">
        <f t="shared" si="34"/>
        <v>1.2</v>
      </c>
      <c r="DB47" s="259"/>
      <c r="DC47" s="199">
        <f t="shared" si="35"/>
        <v>0</v>
      </c>
      <c r="DD47" s="196">
        <f t="shared" si="36"/>
        <v>0.4</v>
      </c>
      <c r="DE47" s="259"/>
      <c r="DF47" s="199">
        <f t="shared" si="37"/>
        <v>0</v>
      </c>
      <c r="DG47" s="175"/>
      <c r="DH47" s="196">
        <f t="shared" si="38"/>
        <v>4</v>
      </c>
      <c r="DI47" s="196">
        <f t="shared" si="39"/>
        <v>0</v>
      </c>
      <c r="DJ47" s="199">
        <f t="shared" si="40"/>
        <v>0</v>
      </c>
      <c r="DK47" s="265">
        <f t="shared" si="41"/>
        <v>4</v>
      </c>
      <c r="DL47" s="244">
        <v>43</v>
      </c>
      <c r="DM47">
        <f t="shared" si="58"/>
        <v>0</v>
      </c>
    </row>
    <row r="48" spans="1:117" x14ac:dyDescent="0.3">
      <c r="A48" s="246">
        <v>44</v>
      </c>
      <c r="B48" s="91" t="s">
        <v>250</v>
      </c>
      <c r="C48" s="91" t="s">
        <v>133</v>
      </c>
      <c r="D48" s="91" t="s">
        <v>119</v>
      </c>
      <c r="E48" s="91" t="s">
        <v>134</v>
      </c>
      <c r="F48" s="91" t="s">
        <v>257</v>
      </c>
      <c r="G48" s="87" t="s">
        <v>258</v>
      </c>
      <c r="H48" s="87" t="s">
        <v>259</v>
      </c>
      <c r="I48" s="87" t="s">
        <v>243</v>
      </c>
      <c r="J48" s="87" t="s">
        <v>243</v>
      </c>
      <c r="K48" s="85" t="s">
        <v>104</v>
      </c>
      <c r="L48" s="85" t="s">
        <v>105</v>
      </c>
      <c r="M48" s="87" t="s">
        <v>106</v>
      </c>
      <c r="N48" s="87" t="s">
        <v>260</v>
      </c>
      <c r="O48" s="87" t="s">
        <v>127</v>
      </c>
      <c r="P48" s="241" t="s">
        <v>263</v>
      </c>
      <c r="Q48" s="87" t="s">
        <v>129</v>
      </c>
      <c r="R48" s="130">
        <v>4</v>
      </c>
      <c r="S48" s="88" t="s">
        <v>111</v>
      </c>
      <c r="T48" s="81">
        <v>0</v>
      </c>
      <c r="U48" s="81">
        <v>0</v>
      </c>
      <c r="V48" s="25">
        <v>0</v>
      </c>
      <c r="W48" s="81">
        <v>1</v>
      </c>
      <c r="X48" s="81">
        <v>0</v>
      </c>
      <c r="Y48" s="25">
        <f t="shared" si="1"/>
        <v>0</v>
      </c>
      <c r="Z48" s="81">
        <v>1</v>
      </c>
      <c r="AA48" s="81"/>
      <c r="AB48" s="25">
        <f t="shared" si="2"/>
        <v>0</v>
      </c>
      <c r="AC48" s="81">
        <v>2</v>
      </c>
      <c r="AD48" s="81"/>
      <c r="AE48" s="25">
        <f t="shared" si="3"/>
        <v>0</v>
      </c>
      <c r="AF48" s="137">
        <f t="shared" si="43"/>
        <v>4</v>
      </c>
      <c r="AG48" s="137">
        <f t="shared" si="44"/>
        <v>0</v>
      </c>
      <c r="AH48" s="128">
        <f t="shared" si="5"/>
        <v>0</v>
      </c>
      <c r="AI48" s="90">
        <v>46113</v>
      </c>
      <c r="AJ48" s="90">
        <v>46477</v>
      </c>
      <c r="AK48" s="91" t="s">
        <v>112</v>
      </c>
      <c r="AL48" s="91" t="s">
        <v>113</v>
      </c>
      <c r="AM48" s="92" t="s">
        <v>114</v>
      </c>
      <c r="AN48" s="93">
        <v>120000000</v>
      </c>
      <c r="AO48" s="93">
        <v>120000000</v>
      </c>
      <c r="AP48" s="93">
        <v>120000000</v>
      </c>
      <c r="AQ48" s="94">
        <v>0</v>
      </c>
      <c r="AR48" s="91" t="s">
        <v>262</v>
      </c>
      <c r="AS48" s="91" t="s">
        <v>112</v>
      </c>
      <c r="AT48" s="150" t="s">
        <v>247</v>
      </c>
      <c r="AU48" s="165" t="s">
        <v>2264</v>
      </c>
      <c r="AV48" s="232" t="s">
        <v>2234</v>
      </c>
      <c r="AW48" s="126" t="s">
        <v>2243</v>
      </c>
      <c r="BA48" s="255"/>
      <c r="BB48" s="256"/>
      <c r="BC48" s="223" t="e">
        <f t="shared" si="8"/>
        <v>#DIV/0!</v>
      </c>
      <c r="BD48" s="255"/>
      <c r="BE48" s="256"/>
      <c r="BF48" s="223" t="e">
        <f t="shared" si="9"/>
        <v>#DIV/0!</v>
      </c>
      <c r="BG48" s="255"/>
      <c r="BH48" s="256"/>
      <c r="BI48" s="223" t="e">
        <f t="shared" si="10"/>
        <v>#DIV/0!</v>
      </c>
      <c r="BJ48" s="224">
        <f t="shared" si="11"/>
        <v>0</v>
      </c>
      <c r="BK48" s="225">
        <f t="shared" si="12"/>
        <v>0</v>
      </c>
      <c r="BL48" s="223" t="e">
        <f t="shared" si="13"/>
        <v>#DIV/0!</v>
      </c>
      <c r="BM48" s="255"/>
      <c r="BN48" s="256"/>
      <c r="BO48" s="223" t="e">
        <f t="shared" si="45"/>
        <v>#DIV/0!</v>
      </c>
      <c r="BP48" s="255"/>
      <c r="BQ48" s="256"/>
      <c r="BR48" s="223" t="e">
        <f t="shared" si="46"/>
        <v>#DIV/0!</v>
      </c>
      <c r="BS48" s="255"/>
      <c r="BT48" s="255"/>
      <c r="BU48" s="223" t="e">
        <f t="shared" si="47"/>
        <v>#DIV/0!</v>
      </c>
      <c r="BV48" s="224">
        <f t="shared" si="17"/>
        <v>0</v>
      </c>
      <c r="BW48" s="224">
        <f t="shared" si="18"/>
        <v>0</v>
      </c>
      <c r="BX48" s="223" t="e">
        <f t="shared" si="19"/>
        <v>#DIV/0!</v>
      </c>
      <c r="BY48" s="223">
        <f t="shared" si="20"/>
        <v>0</v>
      </c>
      <c r="BZ48" s="223">
        <f t="shared" si="21"/>
        <v>0</v>
      </c>
      <c r="CA48" s="226"/>
      <c r="CB48" s="175"/>
      <c r="CC48" s="191"/>
      <c r="CD48" s="192"/>
      <c r="CE48" s="193" t="e">
        <f t="shared" si="48"/>
        <v>#DIV/0!</v>
      </c>
      <c r="CF48" s="191"/>
      <c r="CG48" s="192"/>
      <c r="CH48" s="193" t="e">
        <f t="shared" si="49"/>
        <v>#DIV/0!</v>
      </c>
      <c r="CI48" s="197"/>
      <c r="CJ48" s="198"/>
      <c r="CK48" s="193" t="e">
        <f t="shared" si="50"/>
        <v>#DIV/0!</v>
      </c>
      <c r="CL48" s="195">
        <f t="shared" si="51"/>
        <v>0</v>
      </c>
      <c r="CM48" s="194">
        <f t="shared" si="52"/>
        <v>0</v>
      </c>
      <c r="CN48" s="193" t="e">
        <f t="shared" si="53"/>
        <v>#DIV/0!</v>
      </c>
      <c r="CO48" s="175"/>
      <c r="CP48" s="196">
        <f t="shared" si="54"/>
        <v>0</v>
      </c>
      <c r="CQ48" s="196">
        <f t="shared" si="55"/>
        <v>0</v>
      </c>
      <c r="CR48" s="199" t="e">
        <f t="shared" si="56"/>
        <v>#DIV/0!</v>
      </c>
      <c r="CS48" s="261">
        <f t="shared" si="29"/>
        <v>4</v>
      </c>
      <c r="CT48" s="175"/>
      <c r="CU48" s="196">
        <f t="shared" si="30"/>
        <v>1.2</v>
      </c>
      <c r="CV48" s="259"/>
      <c r="CW48" s="199">
        <f t="shared" si="31"/>
        <v>0</v>
      </c>
      <c r="CX48" s="196">
        <f t="shared" si="32"/>
        <v>1.2</v>
      </c>
      <c r="CY48" s="259"/>
      <c r="CZ48" s="199">
        <f t="shared" si="33"/>
        <v>0</v>
      </c>
      <c r="DA48" s="196">
        <f t="shared" si="34"/>
        <v>1.2</v>
      </c>
      <c r="DB48" s="259"/>
      <c r="DC48" s="199">
        <f t="shared" si="35"/>
        <v>0</v>
      </c>
      <c r="DD48" s="196">
        <f t="shared" si="36"/>
        <v>0.4</v>
      </c>
      <c r="DE48" s="259"/>
      <c r="DF48" s="199">
        <f t="shared" si="37"/>
        <v>0</v>
      </c>
      <c r="DG48" s="175"/>
      <c r="DH48" s="196">
        <f t="shared" si="38"/>
        <v>4</v>
      </c>
      <c r="DI48" s="196">
        <f t="shared" si="39"/>
        <v>0</v>
      </c>
      <c r="DJ48" s="199">
        <f t="shared" si="40"/>
        <v>0</v>
      </c>
      <c r="DK48" s="265">
        <f t="shared" si="41"/>
        <v>4</v>
      </c>
      <c r="DL48" s="244">
        <v>44</v>
      </c>
      <c r="DM48">
        <f t="shared" si="58"/>
        <v>0</v>
      </c>
    </row>
    <row r="49" spans="1:117" x14ac:dyDescent="0.3">
      <c r="A49" s="246">
        <v>45</v>
      </c>
      <c r="B49" s="91" t="s">
        <v>250</v>
      </c>
      <c r="C49" s="91" t="s">
        <v>133</v>
      </c>
      <c r="D49" s="91" t="s">
        <v>119</v>
      </c>
      <c r="E49" s="91" t="s">
        <v>134</v>
      </c>
      <c r="F49" s="91" t="s">
        <v>257</v>
      </c>
      <c r="G49" s="87" t="s">
        <v>258</v>
      </c>
      <c r="H49" s="87" t="s">
        <v>259</v>
      </c>
      <c r="I49" s="87" t="s">
        <v>243</v>
      </c>
      <c r="J49" s="87" t="s">
        <v>243</v>
      </c>
      <c r="K49" s="85" t="s">
        <v>104</v>
      </c>
      <c r="L49" s="85" t="s">
        <v>105</v>
      </c>
      <c r="M49" s="87" t="s">
        <v>106</v>
      </c>
      <c r="N49" s="87" t="s">
        <v>260</v>
      </c>
      <c r="O49" s="87" t="s">
        <v>127</v>
      </c>
      <c r="P49" s="241" t="s">
        <v>264</v>
      </c>
      <c r="Q49" s="87" t="s">
        <v>129</v>
      </c>
      <c r="R49" s="130">
        <v>2</v>
      </c>
      <c r="S49" s="88" t="s">
        <v>111</v>
      </c>
      <c r="T49" s="81">
        <v>0</v>
      </c>
      <c r="U49" s="81">
        <v>0</v>
      </c>
      <c r="V49" s="25">
        <v>0</v>
      </c>
      <c r="W49" s="81">
        <v>0</v>
      </c>
      <c r="X49" s="81">
        <v>0</v>
      </c>
      <c r="Y49" s="25" t="e">
        <f t="shared" si="1"/>
        <v>#DIV/0!</v>
      </c>
      <c r="Z49" s="81">
        <v>1</v>
      </c>
      <c r="AA49" s="81"/>
      <c r="AB49" s="25">
        <f t="shared" si="2"/>
        <v>0</v>
      </c>
      <c r="AC49" s="81">
        <v>1</v>
      </c>
      <c r="AD49" s="81"/>
      <c r="AE49" s="25">
        <f t="shared" si="3"/>
        <v>0</v>
      </c>
      <c r="AF49" s="137">
        <f t="shared" si="43"/>
        <v>2</v>
      </c>
      <c r="AG49" s="137">
        <f t="shared" si="44"/>
        <v>0</v>
      </c>
      <c r="AH49" s="128" t="e">
        <f t="shared" si="5"/>
        <v>#DIV/0!</v>
      </c>
      <c r="AI49" s="90">
        <v>46113</v>
      </c>
      <c r="AJ49" s="90">
        <v>46477</v>
      </c>
      <c r="AK49" s="91" t="s">
        <v>112</v>
      </c>
      <c r="AL49" s="91" t="s">
        <v>113</v>
      </c>
      <c r="AM49" s="92" t="s">
        <v>114</v>
      </c>
      <c r="AN49" s="93">
        <v>60000000</v>
      </c>
      <c r="AO49" s="93">
        <v>60000000</v>
      </c>
      <c r="AP49" s="93">
        <v>60000000</v>
      </c>
      <c r="AQ49" s="94">
        <v>0</v>
      </c>
      <c r="AR49" s="91" t="s">
        <v>262</v>
      </c>
      <c r="AS49" s="91" t="s">
        <v>112</v>
      </c>
      <c r="AT49" s="150" t="s">
        <v>247</v>
      </c>
      <c r="AU49" s="165" t="s">
        <v>2264</v>
      </c>
      <c r="AV49" s="232" t="s">
        <v>2234</v>
      </c>
      <c r="AW49" s="126" t="s">
        <v>2243</v>
      </c>
      <c r="BA49" s="255"/>
      <c r="BB49" s="256"/>
      <c r="BC49" s="223" t="e">
        <f t="shared" si="8"/>
        <v>#DIV/0!</v>
      </c>
      <c r="BD49" s="255"/>
      <c r="BE49" s="256"/>
      <c r="BF49" s="223" t="e">
        <f t="shared" si="9"/>
        <v>#DIV/0!</v>
      </c>
      <c r="BG49" s="255"/>
      <c r="BH49" s="256"/>
      <c r="BI49" s="223" t="e">
        <f t="shared" si="10"/>
        <v>#DIV/0!</v>
      </c>
      <c r="BJ49" s="224">
        <f t="shared" si="11"/>
        <v>0</v>
      </c>
      <c r="BK49" s="225">
        <f t="shared" si="12"/>
        <v>0</v>
      </c>
      <c r="BL49" s="223" t="e">
        <f t="shared" si="13"/>
        <v>#DIV/0!</v>
      </c>
      <c r="BM49" s="255"/>
      <c r="BN49" s="256"/>
      <c r="BO49" s="223" t="e">
        <f t="shared" si="45"/>
        <v>#DIV/0!</v>
      </c>
      <c r="BP49" s="255"/>
      <c r="BQ49" s="256"/>
      <c r="BR49" s="223" t="e">
        <f t="shared" si="46"/>
        <v>#DIV/0!</v>
      </c>
      <c r="BS49" s="255"/>
      <c r="BT49" s="255"/>
      <c r="BU49" s="223" t="e">
        <f t="shared" si="47"/>
        <v>#DIV/0!</v>
      </c>
      <c r="BV49" s="224">
        <f t="shared" si="17"/>
        <v>0</v>
      </c>
      <c r="BW49" s="224">
        <f t="shared" si="18"/>
        <v>0</v>
      </c>
      <c r="BX49" s="223" t="e">
        <f t="shared" si="19"/>
        <v>#DIV/0!</v>
      </c>
      <c r="BY49" s="223">
        <f t="shared" si="20"/>
        <v>0</v>
      </c>
      <c r="BZ49" s="223">
        <f t="shared" si="21"/>
        <v>0</v>
      </c>
      <c r="CA49" s="226"/>
      <c r="CB49" s="175"/>
      <c r="CC49" s="191"/>
      <c r="CD49" s="192"/>
      <c r="CE49" s="193" t="e">
        <f t="shared" si="48"/>
        <v>#DIV/0!</v>
      </c>
      <c r="CF49" s="191"/>
      <c r="CG49" s="192"/>
      <c r="CH49" s="193" t="e">
        <f t="shared" si="49"/>
        <v>#DIV/0!</v>
      </c>
      <c r="CI49" s="197"/>
      <c r="CJ49" s="198"/>
      <c r="CK49" s="193" t="e">
        <f t="shared" si="50"/>
        <v>#DIV/0!</v>
      </c>
      <c r="CL49" s="195">
        <f t="shared" si="51"/>
        <v>0</v>
      </c>
      <c r="CM49" s="194">
        <f t="shared" si="52"/>
        <v>0</v>
      </c>
      <c r="CN49" s="193" t="e">
        <f t="shared" si="53"/>
        <v>#DIV/0!</v>
      </c>
      <c r="CO49" s="175"/>
      <c r="CP49" s="196">
        <f t="shared" si="54"/>
        <v>0</v>
      </c>
      <c r="CQ49" s="196">
        <f t="shared" si="55"/>
        <v>0</v>
      </c>
      <c r="CR49" s="199" t="e">
        <f t="shared" si="56"/>
        <v>#DIV/0!</v>
      </c>
      <c r="CS49" s="261">
        <f t="shared" si="29"/>
        <v>2</v>
      </c>
      <c r="CT49" s="175"/>
      <c r="CU49" s="196">
        <f t="shared" si="30"/>
        <v>0.6</v>
      </c>
      <c r="CV49" s="259"/>
      <c r="CW49" s="199">
        <f t="shared" si="31"/>
        <v>0</v>
      </c>
      <c r="CX49" s="196">
        <f t="shared" si="32"/>
        <v>0.6</v>
      </c>
      <c r="CY49" s="259"/>
      <c r="CZ49" s="199">
        <f t="shared" si="33"/>
        <v>0</v>
      </c>
      <c r="DA49" s="196">
        <f t="shared" si="34"/>
        <v>0.6</v>
      </c>
      <c r="DB49" s="259"/>
      <c r="DC49" s="199">
        <f t="shared" si="35"/>
        <v>0</v>
      </c>
      <c r="DD49" s="196">
        <f t="shared" si="36"/>
        <v>0.2</v>
      </c>
      <c r="DE49" s="259"/>
      <c r="DF49" s="199">
        <f t="shared" si="37"/>
        <v>0</v>
      </c>
      <c r="DG49" s="175"/>
      <c r="DH49" s="196">
        <f t="shared" si="38"/>
        <v>2</v>
      </c>
      <c r="DI49" s="196">
        <f t="shared" si="39"/>
        <v>0</v>
      </c>
      <c r="DJ49" s="199">
        <f t="shared" si="40"/>
        <v>0</v>
      </c>
      <c r="DK49" s="265">
        <f t="shared" si="41"/>
        <v>2</v>
      </c>
      <c r="DL49" s="244">
        <v>45</v>
      </c>
      <c r="DM49">
        <f t="shared" si="58"/>
        <v>0</v>
      </c>
    </row>
    <row r="50" spans="1:117" x14ac:dyDescent="0.3">
      <c r="A50" s="246">
        <v>46</v>
      </c>
      <c r="B50" s="91" t="s">
        <v>250</v>
      </c>
      <c r="C50" s="91" t="s">
        <v>118</v>
      </c>
      <c r="D50" s="91" t="s">
        <v>119</v>
      </c>
      <c r="E50" s="91" t="s">
        <v>155</v>
      </c>
      <c r="F50" s="91" t="s">
        <v>257</v>
      </c>
      <c r="G50" s="87" t="s">
        <v>265</v>
      </c>
      <c r="H50" s="87" t="s">
        <v>259</v>
      </c>
      <c r="I50" s="87" t="s">
        <v>243</v>
      </c>
      <c r="J50" s="87" t="s">
        <v>266</v>
      </c>
      <c r="K50" s="85" t="s">
        <v>104</v>
      </c>
      <c r="L50" s="85" t="s">
        <v>105</v>
      </c>
      <c r="M50" s="87" t="s">
        <v>106</v>
      </c>
      <c r="N50" s="87" t="s">
        <v>255</v>
      </c>
      <c r="O50" s="87" t="s">
        <v>127</v>
      </c>
      <c r="P50" s="241" t="s">
        <v>267</v>
      </c>
      <c r="Q50" s="87" t="s">
        <v>129</v>
      </c>
      <c r="R50" s="130">
        <v>1</v>
      </c>
      <c r="S50" s="88" t="s">
        <v>111</v>
      </c>
      <c r="T50" s="81">
        <v>0</v>
      </c>
      <c r="U50" s="81">
        <v>0</v>
      </c>
      <c r="V50" s="25">
        <v>0</v>
      </c>
      <c r="W50" s="81">
        <v>1</v>
      </c>
      <c r="X50" s="81">
        <v>0</v>
      </c>
      <c r="Y50" s="25">
        <f t="shared" si="1"/>
        <v>0</v>
      </c>
      <c r="Z50" s="81">
        <v>0</v>
      </c>
      <c r="AA50" s="81"/>
      <c r="AB50" s="25" t="e">
        <f t="shared" si="2"/>
        <v>#DIV/0!</v>
      </c>
      <c r="AC50" s="81">
        <v>0</v>
      </c>
      <c r="AD50" s="81"/>
      <c r="AE50" s="25" t="e">
        <f t="shared" si="3"/>
        <v>#DIV/0!</v>
      </c>
      <c r="AF50" s="137">
        <f t="shared" si="43"/>
        <v>1</v>
      </c>
      <c r="AG50" s="137">
        <f t="shared" si="44"/>
        <v>0</v>
      </c>
      <c r="AH50" s="128">
        <f t="shared" si="5"/>
        <v>0</v>
      </c>
      <c r="AI50" s="90">
        <v>46113</v>
      </c>
      <c r="AJ50" s="90">
        <v>46477</v>
      </c>
      <c r="AK50" s="91" t="s">
        <v>112</v>
      </c>
      <c r="AL50" s="91" t="s">
        <v>113</v>
      </c>
      <c r="AM50" s="92" t="s">
        <v>114</v>
      </c>
      <c r="AN50" s="93">
        <v>50000000</v>
      </c>
      <c r="AO50" s="93">
        <v>50000000</v>
      </c>
      <c r="AP50" s="93">
        <v>50000000</v>
      </c>
      <c r="AQ50" s="94">
        <v>0</v>
      </c>
      <c r="AR50" s="91" t="s">
        <v>159</v>
      </c>
      <c r="AS50" s="91" t="s">
        <v>112</v>
      </c>
      <c r="AT50" s="150" t="s">
        <v>247</v>
      </c>
      <c r="AU50" s="165" t="s">
        <v>2264</v>
      </c>
      <c r="AV50" s="232" t="s">
        <v>2234</v>
      </c>
      <c r="AW50" s="126" t="s">
        <v>2243</v>
      </c>
      <c r="BA50" s="255"/>
      <c r="BB50" s="256"/>
      <c r="BC50" s="223" t="e">
        <f t="shared" si="8"/>
        <v>#DIV/0!</v>
      </c>
      <c r="BD50" s="255"/>
      <c r="BE50" s="256"/>
      <c r="BF50" s="223" t="e">
        <f t="shared" si="9"/>
        <v>#DIV/0!</v>
      </c>
      <c r="BG50" s="255"/>
      <c r="BH50" s="256"/>
      <c r="BI50" s="223" t="e">
        <f t="shared" si="10"/>
        <v>#DIV/0!</v>
      </c>
      <c r="BJ50" s="224">
        <f t="shared" si="11"/>
        <v>0</v>
      </c>
      <c r="BK50" s="225">
        <f t="shared" si="12"/>
        <v>0</v>
      </c>
      <c r="BL50" s="223" t="e">
        <f t="shared" si="13"/>
        <v>#DIV/0!</v>
      </c>
      <c r="BM50" s="255"/>
      <c r="BN50" s="256"/>
      <c r="BO50" s="223" t="e">
        <f t="shared" si="45"/>
        <v>#DIV/0!</v>
      </c>
      <c r="BP50" s="255"/>
      <c r="BQ50" s="256"/>
      <c r="BR50" s="223" t="e">
        <f t="shared" si="46"/>
        <v>#DIV/0!</v>
      </c>
      <c r="BS50" s="255"/>
      <c r="BT50" s="255"/>
      <c r="BU50" s="223" t="e">
        <f t="shared" si="47"/>
        <v>#DIV/0!</v>
      </c>
      <c r="BV50" s="224">
        <f t="shared" si="17"/>
        <v>0</v>
      </c>
      <c r="BW50" s="224">
        <f t="shared" si="18"/>
        <v>0</v>
      </c>
      <c r="BX50" s="223" t="e">
        <f t="shared" si="19"/>
        <v>#DIV/0!</v>
      </c>
      <c r="BY50" s="223">
        <f t="shared" si="20"/>
        <v>0</v>
      </c>
      <c r="BZ50" s="223">
        <f t="shared" si="21"/>
        <v>0</v>
      </c>
      <c r="CA50" s="226"/>
      <c r="CB50" s="175"/>
      <c r="CC50" s="191"/>
      <c r="CD50" s="192"/>
      <c r="CE50" s="193" t="e">
        <f t="shared" si="48"/>
        <v>#DIV/0!</v>
      </c>
      <c r="CF50" s="191"/>
      <c r="CG50" s="192"/>
      <c r="CH50" s="193" t="e">
        <f t="shared" si="49"/>
        <v>#DIV/0!</v>
      </c>
      <c r="CI50" s="197"/>
      <c r="CJ50" s="198"/>
      <c r="CK50" s="193" t="e">
        <f t="shared" si="50"/>
        <v>#DIV/0!</v>
      </c>
      <c r="CL50" s="195">
        <f t="shared" si="51"/>
        <v>0</v>
      </c>
      <c r="CM50" s="194">
        <f t="shared" si="52"/>
        <v>0</v>
      </c>
      <c r="CN50" s="193" t="e">
        <f t="shared" si="53"/>
        <v>#DIV/0!</v>
      </c>
      <c r="CO50" s="175"/>
      <c r="CP50" s="196">
        <f t="shared" si="54"/>
        <v>0</v>
      </c>
      <c r="CQ50" s="196">
        <f t="shared" si="55"/>
        <v>0</v>
      </c>
      <c r="CR50" s="199" t="e">
        <f t="shared" si="56"/>
        <v>#DIV/0!</v>
      </c>
      <c r="CS50" s="261">
        <f t="shared" si="29"/>
        <v>1</v>
      </c>
      <c r="CT50" s="175"/>
      <c r="CU50" s="196">
        <f t="shared" si="30"/>
        <v>0.3</v>
      </c>
      <c r="CV50" s="259"/>
      <c r="CW50" s="199">
        <f t="shared" si="31"/>
        <v>0</v>
      </c>
      <c r="CX50" s="196">
        <f t="shared" si="32"/>
        <v>0.3</v>
      </c>
      <c r="CY50" s="259"/>
      <c r="CZ50" s="199">
        <f t="shared" si="33"/>
        <v>0</v>
      </c>
      <c r="DA50" s="196">
        <f t="shared" si="34"/>
        <v>0.3</v>
      </c>
      <c r="DB50" s="259"/>
      <c r="DC50" s="199">
        <f t="shared" si="35"/>
        <v>0</v>
      </c>
      <c r="DD50" s="196">
        <f t="shared" si="36"/>
        <v>0.1</v>
      </c>
      <c r="DE50" s="259"/>
      <c r="DF50" s="199">
        <f t="shared" si="37"/>
        <v>0</v>
      </c>
      <c r="DG50" s="175"/>
      <c r="DH50" s="196">
        <f t="shared" si="38"/>
        <v>1</v>
      </c>
      <c r="DI50" s="196">
        <f t="shared" si="39"/>
        <v>0</v>
      </c>
      <c r="DJ50" s="199">
        <f t="shared" si="40"/>
        <v>0</v>
      </c>
      <c r="DK50" s="265">
        <f t="shared" si="41"/>
        <v>1</v>
      </c>
      <c r="DL50" s="244">
        <v>46</v>
      </c>
      <c r="DM50">
        <f t="shared" si="58"/>
        <v>0</v>
      </c>
    </row>
    <row r="51" spans="1:117" x14ac:dyDescent="0.3">
      <c r="A51" s="246">
        <v>47</v>
      </c>
      <c r="B51" s="91" t="s">
        <v>250</v>
      </c>
      <c r="C51" s="91" t="s">
        <v>118</v>
      </c>
      <c r="D51" s="91" t="s">
        <v>119</v>
      </c>
      <c r="E51" s="91" t="s">
        <v>155</v>
      </c>
      <c r="F51" s="91" t="s">
        <v>268</v>
      </c>
      <c r="G51" s="87" t="s">
        <v>258</v>
      </c>
      <c r="H51" s="87" t="s">
        <v>259</v>
      </c>
      <c r="I51" s="87" t="s">
        <v>243</v>
      </c>
      <c r="J51" s="87" t="s">
        <v>243</v>
      </c>
      <c r="K51" s="85" t="s">
        <v>104</v>
      </c>
      <c r="L51" s="85" t="s">
        <v>105</v>
      </c>
      <c r="M51" s="87" t="s">
        <v>106</v>
      </c>
      <c r="N51" s="87" t="s">
        <v>244</v>
      </c>
      <c r="O51" s="87" t="s">
        <v>127</v>
      </c>
      <c r="P51" s="241" t="s">
        <v>269</v>
      </c>
      <c r="Q51" s="87" t="s">
        <v>129</v>
      </c>
      <c r="R51" s="130">
        <v>9</v>
      </c>
      <c r="S51" s="88" t="s">
        <v>111</v>
      </c>
      <c r="T51" s="81">
        <v>0</v>
      </c>
      <c r="U51" s="81"/>
      <c r="V51" s="25">
        <v>0</v>
      </c>
      <c r="W51" s="81">
        <v>3</v>
      </c>
      <c r="X51" s="81">
        <v>2</v>
      </c>
      <c r="Y51" s="25">
        <f t="shared" si="1"/>
        <v>66.666666666666657</v>
      </c>
      <c r="Z51" s="81">
        <v>3</v>
      </c>
      <c r="AA51" s="81"/>
      <c r="AB51" s="25">
        <f t="shared" si="2"/>
        <v>0</v>
      </c>
      <c r="AC51" s="81">
        <v>3</v>
      </c>
      <c r="AD51" s="81"/>
      <c r="AE51" s="25">
        <f t="shared" si="3"/>
        <v>0</v>
      </c>
      <c r="AF51" s="137">
        <f t="shared" si="43"/>
        <v>9</v>
      </c>
      <c r="AG51" s="137">
        <f t="shared" si="44"/>
        <v>2</v>
      </c>
      <c r="AH51" s="128" t="e">
        <f t="shared" si="5"/>
        <v>#DIV/0!</v>
      </c>
      <c r="AI51" s="90">
        <v>46113</v>
      </c>
      <c r="AJ51" s="90">
        <v>46477</v>
      </c>
      <c r="AK51" s="91" t="s">
        <v>112</v>
      </c>
      <c r="AL51" s="91" t="s">
        <v>113</v>
      </c>
      <c r="AM51" s="92" t="s">
        <v>114</v>
      </c>
      <c r="AN51" s="93">
        <v>32000000</v>
      </c>
      <c r="AO51" s="93">
        <v>32000000</v>
      </c>
      <c r="AP51" s="93">
        <v>32000000</v>
      </c>
      <c r="AQ51" s="94">
        <v>0</v>
      </c>
      <c r="AR51" s="91" t="s">
        <v>159</v>
      </c>
      <c r="AS51" s="91" t="s">
        <v>112</v>
      </c>
      <c r="AT51" s="150" t="s">
        <v>247</v>
      </c>
      <c r="AU51" s="165" t="s">
        <v>2264</v>
      </c>
      <c r="AV51" s="232" t="s">
        <v>2234</v>
      </c>
      <c r="AW51" s="126" t="s">
        <v>2243</v>
      </c>
      <c r="BA51" s="255"/>
      <c r="BB51" s="256"/>
      <c r="BC51" s="223" t="e">
        <f t="shared" si="8"/>
        <v>#DIV/0!</v>
      </c>
      <c r="BD51" s="255"/>
      <c r="BE51" s="256"/>
      <c r="BF51" s="223" t="e">
        <f t="shared" si="9"/>
        <v>#DIV/0!</v>
      </c>
      <c r="BG51" s="255"/>
      <c r="BH51" s="256"/>
      <c r="BI51" s="223" t="e">
        <f t="shared" si="10"/>
        <v>#DIV/0!</v>
      </c>
      <c r="BJ51" s="224">
        <f t="shared" si="11"/>
        <v>0</v>
      </c>
      <c r="BK51" s="225">
        <f t="shared" si="12"/>
        <v>0</v>
      </c>
      <c r="BL51" s="223" t="e">
        <f t="shared" si="13"/>
        <v>#DIV/0!</v>
      </c>
      <c r="BM51" s="255"/>
      <c r="BN51" s="256"/>
      <c r="BO51" s="223" t="e">
        <f t="shared" si="45"/>
        <v>#DIV/0!</v>
      </c>
      <c r="BP51" s="255"/>
      <c r="BQ51" s="256"/>
      <c r="BR51" s="223" t="e">
        <f t="shared" si="46"/>
        <v>#DIV/0!</v>
      </c>
      <c r="BS51" s="255"/>
      <c r="BT51" s="255"/>
      <c r="BU51" s="223" t="e">
        <f t="shared" si="47"/>
        <v>#DIV/0!</v>
      </c>
      <c r="BV51" s="224">
        <f t="shared" si="17"/>
        <v>0</v>
      </c>
      <c r="BW51" s="224">
        <f t="shared" si="18"/>
        <v>0</v>
      </c>
      <c r="BX51" s="223" t="e">
        <f t="shared" si="19"/>
        <v>#DIV/0!</v>
      </c>
      <c r="BY51" s="223">
        <f t="shared" si="20"/>
        <v>0</v>
      </c>
      <c r="BZ51" s="223">
        <f t="shared" si="21"/>
        <v>0</v>
      </c>
      <c r="CA51" s="226"/>
      <c r="CB51" s="175"/>
      <c r="CC51" s="191"/>
      <c r="CD51" s="192"/>
      <c r="CE51" s="193" t="e">
        <f t="shared" si="48"/>
        <v>#DIV/0!</v>
      </c>
      <c r="CF51" s="191"/>
      <c r="CG51" s="192"/>
      <c r="CH51" s="193" t="e">
        <f t="shared" si="49"/>
        <v>#DIV/0!</v>
      </c>
      <c r="CI51" s="197"/>
      <c r="CJ51" s="198"/>
      <c r="CK51" s="193" t="e">
        <f t="shared" si="50"/>
        <v>#DIV/0!</v>
      </c>
      <c r="CL51" s="195">
        <f t="shared" si="51"/>
        <v>0</v>
      </c>
      <c r="CM51" s="194">
        <f t="shared" si="52"/>
        <v>0</v>
      </c>
      <c r="CN51" s="193" t="e">
        <f t="shared" si="53"/>
        <v>#DIV/0!</v>
      </c>
      <c r="CO51" s="175"/>
      <c r="CP51" s="196">
        <f t="shared" si="54"/>
        <v>0</v>
      </c>
      <c r="CQ51" s="196">
        <f t="shared" si="55"/>
        <v>0</v>
      </c>
      <c r="CR51" s="199" t="e">
        <f t="shared" si="56"/>
        <v>#DIV/0!</v>
      </c>
      <c r="CS51" s="261">
        <f t="shared" si="29"/>
        <v>9</v>
      </c>
      <c r="CT51" s="175"/>
      <c r="CU51" s="196">
        <f t="shared" si="30"/>
        <v>2.6999999999999997</v>
      </c>
      <c r="CV51" s="259"/>
      <c r="CW51" s="199">
        <f t="shared" si="31"/>
        <v>0</v>
      </c>
      <c r="CX51" s="196">
        <f t="shared" si="32"/>
        <v>2.6999999999999997</v>
      </c>
      <c r="CY51" s="259"/>
      <c r="CZ51" s="199">
        <f t="shared" si="33"/>
        <v>0</v>
      </c>
      <c r="DA51" s="196">
        <f t="shared" si="34"/>
        <v>2.6999999999999997</v>
      </c>
      <c r="DB51" s="259"/>
      <c r="DC51" s="199">
        <f t="shared" si="35"/>
        <v>0</v>
      </c>
      <c r="DD51" s="196">
        <f t="shared" si="36"/>
        <v>0.9</v>
      </c>
      <c r="DE51" s="259"/>
      <c r="DF51" s="199">
        <f t="shared" si="37"/>
        <v>0</v>
      </c>
      <c r="DG51" s="175"/>
      <c r="DH51" s="196">
        <f t="shared" si="38"/>
        <v>9</v>
      </c>
      <c r="DI51" s="196">
        <f t="shared" si="39"/>
        <v>0</v>
      </c>
      <c r="DJ51" s="199">
        <f t="shared" si="40"/>
        <v>0</v>
      </c>
      <c r="DK51" s="265">
        <f t="shared" si="41"/>
        <v>9</v>
      </c>
      <c r="DL51" s="244">
        <v>47</v>
      </c>
      <c r="DM51">
        <f t="shared" si="58"/>
        <v>0</v>
      </c>
    </row>
    <row r="52" spans="1:117" x14ac:dyDescent="0.3">
      <c r="A52" s="246">
        <v>48</v>
      </c>
      <c r="B52" s="91" t="s">
        <v>270</v>
      </c>
      <c r="C52" s="91" t="s">
        <v>97</v>
      </c>
      <c r="D52" s="91" t="s">
        <v>98</v>
      </c>
      <c r="E52" s="91" t="s">
        <v>205</v>
      </c>
      <c r="F52" s="91" t="s">
        <v>271</v>
      </c>
      <c r="G52" s="87" t="s">
        <v>272</v>
      </c>
      <c r="H52" s="87" t="s">
        <v>273</v>
      </c>
      <c r="I52" s="87" t="s">
        <v>274</v>
      </c>
      <c r="J52" s="87" t="s">
        <v>274</v>
      </c>
      <c r="K52" s="85" t="s">
        <v>104</v>
      </c>
      <c r="L52" s="85" t="s">
        <v>105</v>
      </c>
      <c r="M52" s="87" t="s">
        <v>106</v>
      </c>
      <c r="N52" s="87" t="s">
        <v>275</v>
      </c>
      <c r="O52" s="87" t="s">
        <v>276</v>
      </c>
      <c r="P52" s="87" t="s">
        <v>277</v>
      </c>
      <c r="Q52" s="87" t="s">
        <v>110</v>
      </c>
      <c r="R52" s="130">
        <v>29</v>
      </c>
      <c r="S52" s="88" t="s">
        <v>111</v>
      </c>
      <c r="T52" s="81">
        <v>7</v>
      </c>
      <c r="U52" s="81">
        <v>0</v>
      </c>
      <c r="V52" s="25">
        <f>U52/T52*100</f>
        <v>0</v>
      </c>
      <c r="W52" s="81">
        <v>7</v>
      </c>
      <c r="X52" s="81">
        <v>0</v>
      </c>
      <c r="Y52" s="25">
        <f t="shared" si="1"/>
        <v>0</v>
      </c>
      <c r="Z52" s="81">
        <v>7</v>
      </c>
      <c r="AA52" s="81"/>
      <c r="AB52" s="25">
        <f t="shared" si="2"/>
        <v>0</v>
      </c>
      <c r="AC52" s="81">
        <v>8</v>
      </c>
      <c r="AD52" s="81"/>
      <c r="AE52" s="25">
        <f t="shared" si="3"/>
        <v>0</v>
      </c>
      <c r="AF52" s="137">
        <f t="shared" si="43"/>
        <v>29</v>
      </c>
      <c r="AG52" s="137">
        <f t="shared" si="44"/>
        <v>0</v>
      </c>
      <c r="AH52" s="128">
        <f t="shared" si="5"/>
        <v>0</v>
      </c>
      <c r="AI52" s="90">
        <v>46113</v>
      </c>
      <c r="AJ52" s="90">
        <v>46477</v>
      </c>
      <c r="AK52" s="91" t="s">
        <v>112</v>
      </c>
      <c r="AL52" s="91" t="s">
        <v>113</v>
      </c>
      <c r="AM52" s="92" t="s">
        <v>114</v>
      </c>
      <c r="AN52" s="93">
        <v>150000000</v>
      </c>
      <c r="AO52" s="93">
        <v>150000000</v>
      </c>
      <c r="AP52" s="93">
        <v>150000000</v>
      </c>
      <c r="AQ52" s="94">
        <v>0</v>
      </c>
      <c r="AR52" s="91" t="s">
        <v>159</v>
      </c>
      <c r="AS52" s="91" t="s">
        <v>112</v>
      </c>
      <c r="AT52" s="150" t="s">
        <v>298</v>
      </c>
      <c r="AU52" s="165" t="s">
        <v>2264</v>
      </c>
      <c r="AV52" s="232" t="s">
        <v>2234</v>
      </c>
      <c r="AW52" s="126" t="s">
        <v>2249</v>
      </c>
      <c r="BA52" s="255"/>
      <c r="BB52" s="256"/>
      <c r="BC52" s="223" t="e">
        <f t="shared" si="8"/>
        <v>#DIV/0!</v>
      </c>
      <c r="BD52" s="255"/>
      <c r="BE52" s="256"/>
      <c r="BF52" s="223" t="e">
        <f t="shared" si="9"/>
        <v>#DIV/0!</v>
      </c>
      <c r="BG52" s="255"/>
      <c r="BH52" s="256"/>
      <c r="BI52" s="223" t="e">
        <f t="shared" si="10"/>
        <v>#DIV/0!</v>
      </c>
      <c r="BJ52" s="224">
        <f t="shared" si="11"/>
        <v>0</v>
      </c>
      <c r="BK52" s="225">
        <f t="shared" si="12"/>
        <v>0</v>
      </c>
      <c r="BL52" s="223" t="e">
        <f t="shared" si="13"/>
        <v>#DIV/0!</v>
      </c>
      <c r="BM52" s="255"/>
      <c r="BN52" s="256"/>
      <c r="BO52" s="223" t="e">
        <f t="shared" si="45"/>
        <v>#DIV/0!</v>
      </c>
      <c r="BP52" s="255"/>
      <c r="BQ52" s="256"/>
      <c r="BR52" s="223" t="e">
        <f t="shared" si="46"/>
        <v>#DIV/0!</v>
      </c>
      <c r="BS52" s="255"/>
      <c r="BT52" s="255"/>
      <c r="BU52" s="223" t="e">
        <f t="shared" si="47"/>
        <v>#DIV/0!</v>
      </c>
      <c r="BV52" s="224">
        <f t="shared" si="17"/>
        <v>0</v>
      </c>
      <c r="BW52" s="224">
        <f t="shared" si="18"/>
        <v>0</v>
      </c>
      <c r="BX52" s="223" t="e">
        <f t="shared" si="19"/>
        <v>#DIV/0!</v>
      </c>
      <c r="BY52" s="223">
        <f t="shared" si="20"/>
        <v>0</v>
      </c>
      <c r="BZ52" s="223">
        <f t="shared" si="21"/>
        <v>0</v>
      </c>
      <c r="CA52" s="226"/>
      <c r="CB52" s="175"/>
      <c r="CC52" s="191"/>
      <c r="CD52" s="192"/>
      <c r="CE52" s="193" t="e">
        <f t="shared" si="48"/>
        <v>#DIV/0!</v>
      </c>
      <c r="CF52" s="191"/>
      <c r="CG52" s="192"/>
      <c r="CH52" s="193" t="e">
        <f t="shared" si="49"/>
        <v>#DIV/0!</v>
      </c>
      <c r="CI52" s="197"/>
      <c r="CJ52" s="198"/>
      <c r="CK52" s="193" t="e">
        <f t="shared" si="50"/>
        <v>#DIV/0!</v>
      </c>
      <c r="CL52" s="195">
        <f t="shared" si="51"/>
        <v>0</v>
      </c>
      <c r="CM52" s="194">
        <f t="shared" si="52"/>
        <v>0</v>
      </c>
      <c r="CN52" s="193" t="e">
        <f t="shared" si="53"/>
        <v>#DIV/0!</v>
      </c>
      <c r="CO52" s="175"/>
      <c r="CP52" s="196">
        <f t="shared" si="54"/>
        <v>0</v>
      </c>
      <c r="CQ52" s="196">
        <f t="shared" si="55"/>
        <v>0</v>
      </c>
      <c r="CR52" s="199" t="e">
        <f t="shared" si="56"/>
        <v>#DIV/0!</v>
      </c>
      <c r="CS52" s="261">
        <f t="shared" si="29"/>
        <v>29</v>
      </c>
      <c r="CT52" s="175"/>
      <c r="CU52" s="196">
        <f t="shared" si="30"/>
        <v>8.6999999999999993</v>
      </c>
      <c r="CV52" s="259"/>
      <c r="CW52" s="199">
        <f t="shared" si="31"/>
        <v>0</v>
      </c>
      <c r="CX52" s="196">
        <f t="shared" si="32"/>
        <v>8.6999999999999993</v>
      </c>
      <c r="CY52" s="259"/>
      <c r="CZ52" s="199">
        <f t="shared" si="33"/>
        <v>0</v>
      </c>
      <c r="DA52" s="196">
        <f t="shared" si="34"/>
        <v>8.6999999999999993</v>
      </c>
      <c r="DB52" s="259"/>
      <c r="DC52" s="199">
        <f t="shared" si="35"/>
        <v>0</v>
      </c>
      <c r="DD52" s="196">
        <f t="shared" si="36"/>
        <v>2.9000000000000004</v>
      </c>
      <c r="DE52" s="259"/>
      <c r="DF52" s="199">
        <f t="shared" si="37"/>
        <v>0</v>
      </c>
      <c r="DG52" s="175"/>
      <c r="DH52" s="196">
        <f t="shared" si="38"/>
        <v>29</v>
      </c>
      <c r="DI52" s="196">
        <f t="shared" si="39"/>
        <v>0</v>
      </c>
      <c r="DJ52" s="199">
        <f t="shared" si="40"/>
        <v>0</v>
      </c>
      <c r="DK52" s="265">
        <f t="shared" si="41"/>
        <v>29</v>
      </c>
      <c r="DL52" s="244">
        <v>48</v>
      </c>
      <c r="DM52">
        <f t="shared" si="58"/>
        <v>0</v>
      </c>
    </row>
    <row r="53" spans="1:117" x14ac:dyDescent="0.3">
      <c r="A53" s="246">
        <v>49</v>
      </c>
      <c r="B53" s="91" t="s">
        <v>270</v>
      </c>
      <c r="C53" s="91" t="s">
        <v>195</v>
      </c>
      <c r="D53" s="91" t="s">
        <v>196</v>
      </c>
      <c r="E53" s="91" t="s">
        <v>278</v>
      </c>
      <c r="F53" s="91" t="s">
        <v>271</v>
      </c>
      <c r="G53" s="87" t="s">
        <v>279</v>
      </c>
      <c r="H53" s="87" t="s">
        <v>280</v>
      </c>
      <c r="I53" s="87" t="s">
        <v>281</v>
      </c>
      <c r="J53" s="87" t="s">
        <v>281</v>
      </c>
      <c r="K53" s="85" t="s">
        <v>104</v>
      </c>
      <c r="L53" s="85" t="s">
        <v>105</v>
      </c>
      <c r="M53" s="87" t="s">
        <v>106</v>
      </c>
      <c r="N53" s="87" t="s">
        <v>275</v>
      </c>
      <c r="O53" s="87" t="s">
        <v>108</v>
      </c>
      <c r="P53" s="87" t="s">
        <v>282</v>
      </c>
      <c r="Q53" s="87" t="s">
        <v>110</v>
      </c>
      <c r="R53" s="130">
        <v>4</v>
      </c>
      <c r="S53" s="88" t="s">
        <v>111</v>
      </c>
      <c r="T53" s="81">
        <v>1</v>
      </c>
      <c r="U53" s="81">
        <v>0</v>
      </c>
      <c r="V53" s="25">
        <v>0</v>
      </c>
      <c r="W53" s="81">
        <v>1</v>
      </c>
      <c r="X53" s="81">
        <v>0</v>
      </c>
      <c r="Y53" s="25">
        <f t="shared" si="1"/>
        <v>0</v>
      </c>
      <c r="Z53" s="81">
        <v>1</v>
      </c>
      <c r="AA53" s="81"/>
      <c r="AB53" s="25">
        <f t="shared" si="2"/>
        <v>0</v>
      </c>
      <c r="AC53" s="81">
        <v>1</v>
      </c>
      <c r="AD53" s="81"/>
      <c r="AE53" s="25">
        <f t="shared" si="3"/>
        <v>0</v>
      </c>
      <c r="AF53" s="137">
        <f t="shared" si="43"/>
        <v>4</v>
      </c>
      <c r="AG53" s="137">
        <f t="shared" si="44"/>
        <v>0</v>
      </c>
      <c r="AH53" s="128">
        <f t="shared" si="5"/>
        <v>0</v>
      </c>
      <c r="AI53" s="90">
        <v>46113</v>
      </c>
      <c r="AJ53" s="90">
        <v>46477</v>
      </c>
      <c r="AK53" s="91" t="s">
        <v>112</v>
      </c>
      <c r="AL53" s="91" t="s">
        <v>113</v>
      </c>
      <c r="AM53" s="92" t="s">
        <v>114</v>
      </c>
      <c r="AN53" s="93">
        <v>80274232</v>
      </c>
      <c r="AO53" s="93">
        <v>80274232</v>
      </c>
      <c r="AP53" s="93">
        <v>80274232</v>
      </c>
      <c r="AQ53" s="94">
        <v>0</v>
      </c>
      <c r="AR53" s="91" t="s">
        <v>159</v>
      </c>
      <c r="AS53" s="91" t="s">
        <v>112</v>
      </c>
      <c r="AT53" s="150" t="s">
        <v>298</v>
      </c>
      <c r="AU53" s="165" t="s">
        <v>2264</v>
      </c>
      <c r="AV53" s="232" t="s">
        <v>2234</v>
      </c>
      <c r="AW53" s="126" t="s">
        <v>2249</v>
      </c>
      <c r="BA53" s="255"/>
      <c r="BB53" s="256"/>
      <c r="BC53" s="223" t="e">
        <f t="shared" si="8"/>
        <v>#DIV/0!</v>
      </c>
      <c r="BD53" s="255"/>
      <c r="BE53" s="256"/>
      <c r="BF53" s="223" t="e">
        <f t="shared" si="9"/>
        <v>#DIV/0!</v>
      </c>
      <c r="BG53" s="255"/>
      <c r="BH53" s="256"/>
      <c r="BI53" s="223" t="e">
        <f t="shared" si="10"/>
        <v>#DIV/0!</v>
      </c>
      <c r="BJ53" s="224">
        <f t="shared" si="11"/>
        <v>0</v>
      </c>
      <c r="BK53" s="225">
        <f t="shared" si="12"/>
        <v>0</v>
      </c>
      <c r="BL53" s="223" t="e">
        <f t="shared" si="13"/>
        <v>#DIV/0!</v>
      </c>
      <c r="BM53" s="255"/>
      <c r="BN53" s="256"/>
      <c r="BO53" s="223" t="e">
        <f t="shared" si="45"/>
        <v>#DIV/0!</v>
      </c>
      <c r="BP53" s="255"/>
      <c r="BQ53" s="256"/>
      <c r="BR53" s="223" t="e">
        <f t="shared" si="46"/>
        <v>#DIV/0!</v>
      </c>
      <c r="BS53" s="255"/>
      <c r="BT53" s="255"/>
      <c r="BU53" s="223" t="e">
        <f t="shared" si="47"/>
        <v>#DIV/0!</v>
      </c>
      <c r="BV53" s="224">
        <f t="shared" si="17"/>
        <v>0</v>
      </c>
      <c r="BW53" s="224">
        <f t="shared" si="18"/>
        <v>0</v>
      </c>
      <c r="BX53" s="223" t="e">
        <f t="shared" si="19"/>
        <v>#DIV/0!</v>
      </c>
      <c r="BY53" s="223">
        <f t="shared" si="20"/>
        <v>0</v>
      </c>
      <c r="BZ53" s="223">
        <f t="shared" si="21"/>
        <v>0</v>
      </c>
      <c r="CA53" s="226"/>
      <c r="CB53" s="175"/>
      <c r="CC53" s="191"/>
      <c r="CD53" s="192"/>
      <c r="CE53" s="193" t="e">
        <f t="shared" si="48"/>
        <v>#DIV/0!</v>
      </c>
      <c r="CF53" s="191"/>
      <c r="CG53" s="192"/>
      <c r="CH53" s="193" t="e">
        <f t="shared" si="49"/>
        <v>#DIV/0!</v>
      </c>
      <c r="CI53" s="197"/>
      <c r="CJ53" s="198"/>
      <c r="CK53" s="193" t="e">
        <f t="shared" si="50"/>
        <v>#DIV/0!</v>
      </c>
      <c r="CL53" s="195">
        <f t="shared" si="51"/>
        <v>0</v>
      </c>
      <c r="CM53" s="194">
        <f t="shared" si="52"/>
        <v>0</v>
      </c>
      <c r="CN53" s="193" t="e">
        <f t="shared" si="53"/>
        <v>#DIV/0!</v>
      </c>
      <c r="CO53" s="175"/>
      <c r="CP53" s="196">
        <f t="shared" si="54"/>
        <v>0</v>
      </c>
      <c r="CQ53" s="196">
        <f t="shared" si="55"/>
        <v>0</v>
      </c>
      <c r="CR53" s="199" t="e">
        <f t="shared" si="56"/>
        <v>#DIV/0!</v>
      </c>
      <c r="CS53" s="261">
        <f t="shared" si="29"/>
        <v>4</v>
      </c>
      <c r="CT53" s="175"/>
      <c r="CU53" s="196">
        <f t="shared" si="30"/>
        <v>1.2</v>
      </c>
      <c r="CV53" s="259"/>
      <c r="CW53" s="199">
        <f t="shared" si="31"/>
        <v>0</v>
      </c>
      <c r="CX53" s="196">
        <f t="shared" si="32"/>
        <v>1.2</v>
      </c>
      <c r="CY53" s="259"/>
      <c r="CZ53" s="199">
        <f t="shared" si="33"/>
        <v>0</v>
      </c>
      <c r="DA53" s="196">
        <f t="shared" si="34"/>
        <v>1.2</v>
      </c>
      <c r="DB53" s="259"/>
      <c r="DC53" s="199">
        <f t="shared" si="35"/>
        <v>0</v>
      </c>
      <c r="DD53" s="196">
        <f t="shared" si="36"/>
        <v>0.4</v>
      </c>
      <c r="DE53" s="259"/>
      <c r="DF53" s="199">
        <f t="shared" si="37"/>
        <v>0</v>
      </c>
      <c r="DG53" s="175"/>
      <c r="DH53" s="196">
        <f t="shared" si="38"/>
        <v>4</v>
      </c>
      <c r="DI53" s="196">
        <f t="shared" si="39"/>
        <v>0</v>
      </c>
      <c r="DJ53" s="199">
        <f t="shared" si="40"/>
        <v>0</v>
      </c>
      <c r="DK53" s="265">
        <f t="shared" si="41"/>
        <v>4</v>
      </c>
      <c r="DL53" s="244">
        <v>49</v>
      </c>
      <c r="DM53">
        <f t="shared" si="58"/>
        <v>0</v>
      </c>
    </row>
    <row r="54" spans="1:117" x14ac:dyDescent="0.3">
      <c r="A54" s="246">
        <v>50</v>
      </c>
      <c r="B54" s="91" t="s">
        <v>270</v>
      </c>
      <c r="C54" s="91" t="s">
        <v>97</v>
      </c>
      <c r="D54" s="91" t="s">
        <v>98</v>
      </c>
      <c r="E54" s="91" t="s">
        <v>205</v>
      </c>
      <c r="F54" s="91" t="s">
        <v>283</v>
      </c>
      <c r="G54" s="87" t="s">
        <v>284</v>
      </c>
      <c r="H54" s="87" t="s">
        <v>284</v>
      </c>
      <c r="I54" s="87" t="s">
        <v>285</v>
      </c>
      <c r="J54" s="87" t="s">
        <v>285</v>
      </c>
      <c r="K54" s="85" t="s">
        <v>104</v>
      </c>
      <c r="L54" s="85" t="s">
        <v>105</v>
      </c>
      <c r="M54" s="87" t="s">
        <v>106</v>
      </c>
      <c r="N54" s="87" t="s">
        <v>286</v>
      </c>
      <c r="O54" s="87" t="s">
        <v>287</v>
      </c>
      <c r="P54" s="87" t="s">
        <v>288</v>
      </c>
      <c r="Q54" s="87" t="s">
        <v>110</v>
      </c>
      <c r="R54" s="130">
        <v>200</v>
      </c>
      <c r="S54" s="88" t="s">
        <v>111</v>
      </c>
      <c r="T54" s="81">
        <v>50</v>
      </c>
      <c r="U54" s="81">
        <v>0</v>
      </c>
      <c r="V54" s="25">
        <f t="shared" ref="V54:V66" si="60">U54/T54*100</f>
        <v>0</v>
      </c>
      <c r="W54" s="81">
        <v>50</v>
      </c>
      <c r="X54" s="81">
        <v>0</v>
      </c>
      <c r="Y54" s="25">
        <f t="shared" si="1"/>
        <v>0</v>
      </c>
      <c r="Z54" s="81">
        <v>50</v>
      </c>
      <c r="AA54" s="81">
        <v>0</v>
      </c>
      <c r="AB54" s="25">
        <f t="shared" si="2"/>
        <v>0</v>
      </c>
      <c r="AC54" s="81">
        <v>50</v>
      </c>
      <c r="AD54" s="81"/>
      <c r="AE54" s="25">
        <f t="shared" si="3"/>
        <v>0</v>
      </c>
      <c r="AF54" s="137">
        <f t="shared" si="43"/>
        <v>200</v>
      </c>
      <c r="AG54" s="137">
        <f t="shared" si="44"/>
        <v>0</v>
      </c>
      <c r="AH54" s="128">
        <f t="shared" si="5"/>
        <v>0</v>
      </c>
      <c r="AI54" s="90">
        <v>46113</v>
      </c>
      <c r="AJ54" s="90">
        <v>46477</v>
      </c>
      <c r="AK54" s="91" t="s">
        <v>112</v>
      </c>
      <c r="AL54" s="91" t="s">
        <v>113</v>
      </c>
      <c r="AM54" s="92" t="s">
        <v>114</v>
      </c>
      <c r="AN54" s="93">
        <v>310000000</v>
      </c>
      <c r="AO54" s="93">
        <v>310000000</v>
      </c>
      <c r="AP54" s="93">
        <v>310000000</v>
      </c>
      <c r="AQ54" s="94">
        <v>0</v>
      </c>
      <c r="AR54" s="91" t="s">
        <v>159</v>
      </c>
      <c r="AS54" s="91" t="s">
        <v>112</v>
      </c>
      <c r="AT54" s="150" t="s">
        <v>298</v>
      </c>
      <c r="AU54" s="165" t="s">
        <v>2264</v>
      </c>
      <c r="AV54" s="232" t="s">
        <v>2234</v>
      </c>
      <c r="AW54" s="126" t="s">
        <v>2249</v>
      </c>
      <c r="BA54" s="255"/>
      <c r="BB54" s="256"/>
      <c r="BC54" s="223" t="e">
        <f t="shared" si="8"/>
        <v>#DIV/0!</v>
      </c>
      <c r="BD54" s="255"/>
      <c r="BE54" s="256"/>
      <c r="BF54" s="223" t="e">
        <f t="shared" si="9"/>
        <v>#DIV/0!</v>
      </c>
      <c r="BG54" s="255"/>
      <c r="BH54" s="256"/>
      <c r="BI54" s="223" t="e">
        <f t="shared" si="10"/>
        <v>#DIV/0!</v>
      </c>
      <c r="BJ54" s="224">
        <f t="shared" si="11"/>
        <v>0</v>
      </c>
      <c r="BK54" s="225">
        <f t="shared" si="12"/>
        <v>0</v>
      </c>
      <c r="BL54" s="223" t="e">
        <f t="shared" si="13"/>
        <v>#DIV/0!</v>
      </c>
      <c r="BM54" s="255"/>
      <c r="BN54" s="256"/>
      <c r="BO54" s="223" t="e">
        <f t="shared" si="45"/>
        <v>#DIV/0!</v>
      </c>
      <c r="BP54" s="255"/>
      <c r="BQ54" s="256"/>
      <c r="BR54" s="223" t="e">
        <f t="shared" si="46"/>
        <v>#DIV/0!</v>
      </c>
      <c r="BS54" s="255"/>
      <c r="BT54" s="255"/>
      <c r="BU54" s="223" t="e">
        <f t="shared" si="47"/>
        <v>#DIV/0!</v>
      </c>
      <c r="BV54" s="224">
        <f t="shared" si="17"/>
        <v>0</v>
      </c>
      <c r="BW54" s="224">
        <f t="shared" si="18"/>
        <v>0</v>
      </c>
      <c r="BX54" s="223" t="e">
        <f t="shared" si="19"/>
        <v>#DIV/0!</v>
      </c>
      <c r="BY54" s="223">
        <f t="shared" si="20"/>
        <v>0</v>
      </c>
      <c r="BZ54" s="223">
        <f t="shared" si="21"/>
        <v>0</v>
      </c>
      <c r="CA54" s="226"/>
      <c r="CB54" s="175"/>
      <c r="CC54" s="191"/>
      <c r="CD54" s="192"/>
      <c r="CE54" s="193" t="e">
        <f t="shared" si="48"/>
        <v>#DIV/0!</v>
      </c>
      <c r="CF54" s="191"/>
      <c r="CG54" s="192"/>
      <c r="CH54" s="193" t="e">
        <f t="shared" si="49"/>
        <v>#DIV/0!</v>
      </c>
      <c r="CI54" s="197"/>
      <c r="CJ54" s="198"/>
      <c r="CK54" s="193" t="e">
        <f t="shared" si="50"/>
        <v>#DIV/0!</v>
      </c>
      <c r="CL54" s="195">
        <f t="shared" si="51"/>
        <v>0</v>
      </c>
      <c r="CM54" s="194">
        <f t="shared" si="52"/>
        <v>0</v>
      </c>
      <c r="CN54" s="193" t="e">
        <f t="shared" si="53"/>
        <v>#DIV/0!</v>
      </c>
      <c r="CO54" s="175"/>
      <c r="CP54" s="196">
        <f t="shared" si="54"/>
        <v>0</v>
      </c>
      <c r="CQ54" s="196">
        <f t="shared" si="55"/>
        <v>0</v>
      </c>
      <c r="CR54" s="199" t="e">
        <f t="shared" si="56"/>
        <v>#DIV/0!</v>
      </c>
      <c r="CS54" s="261">
        <f t="shared" si="29"/>
        <v>200</v>
      </c>
      <c r="CT54" s="175"/>
      <c r="CU54" s="196">
        <f t="shared" si="30"/>
        <v>60</v>
      </c>
      <c r="CV54" s="259"/>
      <c r="CW54" s="199">
        <f t="shared" si="31"/>
        <v>0</v>
      </c>
      <c r="CX54" s="196">
        <f t="shared" si="32"/>
        <v>60</v>
      </c>
      <c r="CY54" s="259"/>
      <c r="CZ54" s="199">
        <f t="shared" si="33"/>
        <v>0</v>
      </c>
      <c r="DA54" s="196">
        <f t="shared" si="34"/>
        <v>60</v>
      </c>
      <c r="DB54" s="259"/>
      <c r="DC54" s="199">
        <f t="shared" si="35"/>
        <v>0</v>
      </c>
      <c r="DD54" s="196">
        <f t="shared" si="36"/>
        <v>20</v>
      </c>
      <c r="DE54" s="259"/>
      <c r="DF54" s="199">
        <f t="shared" si="37"/>
        <v>0</v>
      </c>
      <c r="DG54" s="175"/>
      <c r="DH54" s="196">
        <f t="shared" si="38"/>
        <v>200</v>
      </c>
      <c r="DI54" s="196">
        <f t="shared" si="39"/>
        <v>0</v>
      </c>
      <c r="DJ54" s="199">
        <f t="shared" si="40"/>
        <v>0</v>
      </c>
      <c r="DK54" s="265">
        <f t="shared" si="41"/>
        <v>200</v>
      </c>
      <c r="DL54" s="244">
        <v>50</v>
      </c>
      <c r="DM54">
        <f t="shared" si="58"/>
        <v>0</v>
      </c>
    </row>
    <row r="55" spans="1:117" x14ac:dyDescent="0.3">
      <c r="A55" s="246">
        <v>51</v>
      </c>
      <c r="B55" s="91" t="s">
        <v>270</v>
      </c>
      <c r="C55" s="91" t="s">
        <v>133</v>
      </c>
      <c r="D55" s="91" t="s">
        <v>119</v>
      </c>
      <c r="E55" s="91" t="s">
        <v>289</v>
      </c>
      <c r="F55" s="91" t="s">
        <v>290</v>
      </c>
      <c r="G55" s="87" t="s">
        <v>291</v>
      </c>
      <c r="H55" s="87" t="s">
        <v>292</v>
      </c>
      <c r="I55" s="87" t="s">
        <v>285</v>
      </c>
      <c r="J55" s="87" t="s">
        <v>285</v>
      </c>
      <c r="K55" s="85" t="s">
        <v>104</v>
      </c>
      <c r="L55" s="85" t="s">
        <v>105</v>
      </c>
      <c r="M55" s="87" t="s">
        <v>106</v>
      </c>
      <c r="N55" s="87" t="s">
        <v>275</v>
      </c>
      <c r="O55" s="87" t="s">
        <v>293</v>
      </c>
      <c r="P55" s="241" t="s">
        <v>294</v>
      </c>
      <c r="Q55" s="87" t="s">
        <v>129</v>
      </c>
      <c r="R55" s="130">
        <v>1</v>
      </c>
      <c r="S55" s="88" t="s">
        <v>111</v>
      </c>
      <c r="T55" s="81">
        <v>0</v>
      </c>
      <c r="U55" s="81">
        <v>0</v>
      </c>
      <c r="V55" s="25" t="e">
        <f t="shared" si="60"/>
        <v>#DIV/0!</v>
      </c>
      <c r="W55" s="81">
        <v>0</v>
      </c>
      <c r="X55" s="81">
        <v>1</v>
      </c>
      <c r="Y55" s="25" t="e">
        <f t="shared" si="1"/>
        <v>#DIV/0!</v>
      </c>
      <c r="Z55" s="81">
        <v>1</v>
      </c>
      <c r="AA55" s="81">
        <v>0</v>
      </c>
      <c r="AB55" s="25">
        <f t="shared" si="2"/>
        <v>0</v>
      </c>
      <c r="AC55" s="81">
        <v>0</v>
      </c>
      <c r="AD55" s="81"/>
      <c r="AE55" s="25" t="e">
        <f t="shared" si="3"/>
        <v>#DIV/0!</v>
      </c>
      <c r="AF55" s="137">
        <f t="shared" si="43"/>
        <v>1</v>
      </c>
      <c r="AG55" s="137">
        <f t="shared" si="44"/>
        <v>1</v>
      </c>
      <c r="AH55" s="128">
        <f t="shared" si="5"/>
        <v>100</v>
      </c>
      <c r="AI55" s="90">
        <v>46113</v>
      </c>
      <c r="AJ55" s="90">
        <v>46477</v>
      </c>
      <c r="AK55" s="91" t="s">
        <v>112</v>
      </c>
      <c r="AL55" s="91" t="s">
        <v>113</v>
      </c>
      <c r="AM55" s="92" t="s">
        <v>114</v>
      </c>
      <c r="AN55" s="93">
        <v>20000000</v>
      </c>
      <c r="AO55" s="93">
        <v>20000000</v>
      </c>
      <c r="AP55" s="93">
        <v>20000000</v>
      </c>
      <c r="AQ55" s="94">
        <f>AO55</f>
        <v>20000000</v>
      </c>
      <c r="AR55" s="91" t="s">
        <v>159</v>
      </c>
      <c r="AS55" s="91" t="s">
        <v>112</v>
      </c>
      <c r="AT55" s="150" t="s">
        <v>298</v>
      </c>
      <c r="AU55" s="165" t="s">
        <v>2264</v>
      </c>
      <c r="AV55" s="232" t="s">
        <v>2234</v>
      </c>
      <c r="AW55" s="126" t="s">
        <v>2249</v>
      </c>
      <c r="BA55" s="255"/>
      <c r="BB55" s="256"/>
      <c r="BC55" s="223" t="e">
        <f t="shared" si="8"/>
        <v>#DIV/0!</v>
      </c>
      <c r="BD55" s="255"/>
      <c r="BE55" s="256"/>
      <c r="BF55" s="223" t="e">
        <f t="shared" si="9"/>
        <v>#DIV/0!</v>
      </c>
      <c r="BG55" s="255"/>
      <c r="BH55" s="256"/>
      <c r="BI55" s="223" t="e">
        <f t="shared" si="10"/>
        <v>#DIV/0!</v>
      </c>
      <c r="BJ55" s="224">
        <f t="shared" si="11"/>
        <v>0</v>
      </c>
      <c r="BK55" s="225">
        <f t="shared" si="12"/>
        <v>0</v>
      </c>
      <c r="BL55" s="223" t="e">
        <f t="shared" si="13"/>
        <v>#DIV/0!</v>
      </c>
      <c r="BM55" s="255">
        <v>1</v>
      </c>
      <c r="BN55" s="256">
        <v>1</v>
      </c>
      <c r="BO55" s="223">
        <f t="shared" si="45"/>
        <v>1</v>
      </c>
      <c r="BP55" s="255"/>
      <c r="BQ55" s="256"/>
      <c r="BR55" s="223" t="e">
        <f t="shared" si="46"/>
        <v>#DIV/0!</v>
      </c>
      <c r="BS55" s="255"/>
      <c r="BT55" s="255"/>
      <c r="BU55" s="223" t="e">
        <f t="shared" si="47"/>
        <v>#DIV/0!</v>
      </c>
      <c r="BV55" s="224">
        <f t="shared" si="17"/>
        <v>1</v>
      </c>
      <c r="BW55" s="224">
        <f t="shared" si="18"/>
        <v>1</v>
      </c>
      <c r="BX55" s="223">
        <f t="shared" si="19"/>
        <v>1</v>
      </c>
      <c r="BY55" s="223">
        <f t="shared" si="20"/>
        <v>1</v>
      </c>
      <c r="BZ55" s="223">
        <f t="shared" si="21"/>
        <v>-1</v>
      </c>
      <c r="CA55" s="226"/>
      <c r="CB55" s="175"/>
      <c r="CC55" s="191"/>
      <c r="CD55" s="192"/>
      <c r="CE55" s="193" t="e">
        <f t="shared" si="48"/>
        <v>#DIV/0!</v>
      </c>
      <c r="CF55" s="191"/>
      <c r="CG55" s="192"/>
      <c r="CH55" s="193" t="e">
        <f t="shared" si="49"/>
        <v>#DIV/0!</v>
      </c>
      <c r="CI55" s="197"/>
      <c r="CJ55" s="198"/>
      <c r="CK55" s="193" t="e">
        <f t="shared" si="50"/>
        <v>#DIV/0!</v>
      </c>
      <c r="CL55" s="195">
        <f t="shared" si="51"/>
        <v>0</v>
      </c>
      <c r="CM55" s="194">
        <f t="shared" si="52"/>
        <v>0</v>
      </c>
      <c r="CN55" s="193" t="e">
        <f t="shared" si="53"/>
        <v>#DIV/0!</v>
      </c>
      <c r="CO55" s="175"/>
      <c r="CP55" s="196">
        <f t="shared" si="54"/>
        <v>1</v>
      </c>
      <c r="CQ55" s="196">
        <f t="shared" si="55"/>
        <v>1</v>
      </c>
      <c r="CR55" s="199">
        <f t="shared" si="56"/>
        <v>1</v>
      </c>
      <c r="CS55" s="261">
        <f t="shared" si="29"/>
        <v>0</v>
      </c>
      <c r="CT55" s="175"/>
      <c r="CU55" s="196">
        <f t="shared" si="30"/>
        <v>0</v>
      </c>
      <c r="CV55" s="259"/>
      <c r="CW55" s="199" t="e">
        <f t="shared" si="31"/>
        <v>#DIV/0!</v>
      </c>
      <c r="CX55" s="196">
        <f t="shared" si="32"/>
        <v>0</v>
      </c>
      <c r="CY55" s="259"/>
      <c r="CZ55" s="199" t="e">
        <f t="shared" si="33"/>
        <v>#DIV/0!</v>
      </c>
      <c r="DA55" s="196">
        <f t="shared" si="34"/>
        <v>0</v>
      </c>
      <c r="DB55" s="259"/>
      <c r="DC55" s="199" t="e">
        <f t="shared" si="35"/>
        <v>#DIV/0!</v>
      </c>
      <c r="DD55" s="196">
        <f t="shared" si="36"/>
        <v>0</v>
      </c>
      <c r="DE55" s="259"/>
      <c r="DF55" s="199" t="e">
        <f t="shared" si="37"/>
        <v>#DIV/0!</v>
      </c>
      <c r="DG55" s="175"/>
      <c r="DH55" s="196">
        <f t="shared" si="38"/>
        <v>1</v>
      </c>
      <c r="DI55" s="196">
        <f t="shared" si="39"/>
        <v>1</v>
      </c>
      <c r="DJ55" s="199">
        <f t="shared" si="40"/>
        <v>1</v>
      </c>
      <c r="DK55" s="265">
        <f t="shared" si="41"/>
        <v>0</v>
      </c>
      <c r="DL55" s="244">
        <v>51</v>
      </c>
      <c r="DM55">
        <f t="shared" si="58"/>
        <v>0</v>
      </c>
    </row>
    <row r="56" spans="1:117" x14ac:dyDescent="0.3">
      <c r="A56" s="246">
        <v>52</v>
      </c>
      <c r="B56" s="91" t="s">
        <v>270</v>
      </c>
      <c r="C56" s="91" t="s">
        <v>97</v>
      </c>
      <c r="D56" s="91" t="s">
        <v>98</v>
      </c>
      <c r="E56" s="91" t="s">
        <v>205</v>
      </c>
      <c r="F56" s="91" t="s">
        <v>283</v>
      </c>
      <c r="G56" s="87" t="s">
        <v>284</v>
      </c>
      <c r="H56" s="87" t="s">
        <v>284</v>
      </c>
      <c r="I56" s="87" t="s">
        <v>295</v>
      </c>
      <c r="J56" s="87" t="s">
        <v>295</v>
      </c>
      <c r="K56" s="85" t="s">
        <v>104</v>
      </c>
      <c r="L56" s="85" t="s">
        <v>105</v>
      </c>
      <c r="M56" s="87" t="s">
        <v>106</v>
      </c>
      <c r="N56" s="87" t="s">
        <v>286</v>
      </c>
      <c r="O56" s="87" t="s">
        <v>287</v>
      </c>
      <c r="P56" s="87" t="s">
        <v>296</v>
      </c>
      <c r="Q56" s="87" t="s">
        <v>110</v>
      </c>
      <c r="R56" s="130">
        <v>29</v>
      </c>
      <c r="S56" s="88" t="s">
        <v>111</v>
      </c>
      <c r="T56" s="81">
        <v>0</v>
      </c>
      <c r="U56" s="81">
        <v>0</v>
      </c>
      <c r="V56" s="25" t="e">
        <f t="shared" si="60"/>
        <v>#DIV/0!</v>
      </c>
      <c r="W56" s="81">
        <v>0</v>
      </c>
      <c r="X56" s="81">
        <v>0</v>
      </c>
      <c r="Y56" s="25" t="e">
        <f t="shared" si="1"/>
        <v>#DIV/0!</v>
      </c>
      <c r="Z56" s="81">
        <v>29</v>
      </c>
      <c r="AA56" s="81">
        <v>0</v>
      </c>
      <c r="AB56" s="25">
        <f t="shared" si="2"/>
        <v>0</v>
      </c>
      <c r="AC56" s="81">
        <v>0</v>
      </c>
      <c r="AD56" s="81"/>
      <c r="AE56" s="25" t="e">
        <f t="shared" si="3"/>
        <v>#DIV/0!</v>
      </c>
      <c r="AF56" s="137">
        <f t="shared" si="43"/>
        <v>29</v>
      </c>
      <c r="AG56" s="137">
        <f t="shared" si="44"/>
        <v>0</v>
      </c>
      <c r="AH56" s="128">
        <f t="shared" si="5"/>
        <v>0</v>
      </c>
      <c r="AI56" s="90">
        <v>46113</v>
      </c>
      <c r="AJ56" s="90">
        <v>46477</v>
      </c>
      <c r="AK56" s="91" t="s">
        <v>112</v>
      </c>
      <c r="AL56" s="91" t="s">
        <v>113</v>
      </c>
      <c r="AM56" s="92" t="s">
        <v>114</v>
      </c>
      <c r="AN56" s="93">
        <v>90000000</v>
      </c>
      <c r="AO56" s="93">
        <v>90000000</v>
      </c>
      <c r="AP56" s="93">
        <v>90000000</v>
      </c>
      <c r="AQ56" s="94">
        <v>0</v>
      </c>
      <c r="AR56" s="91" t="s">
        <v>297</v>
      </c>
      <c r="AS56" s="91" t="s">
        <v>112</v>
      </c>
      <c r="AT56" s="150" t="s">
        <v>298</v>
      </c>
      <c r="AU56" s="165" t="s">
        <v>2264</v>
      </c>
      <c r="AV56" s="232" t="s">
        <v>2234</v>
      </c>
      <c r="AW56" s="126" t="s">
        <v>2249</v>
      </c>
      <c r="BA56" s="255"/>
      <c r="BB56" s="256"/>
      <c r="BC56" s="223" t="e">
        <f t="shared" si="8"/>
        <v>#DIV/0!</v>
      </c>
      <c r="BD56" s="255"/>
      <c r="BE56" s="256"/>
      <c r="BF56" s="223" t="e">
        <f t="shared" si="9"/>
        <v>#DIV/0!</v>
      </c>
      <c r="BG56" s="255"/>
      <c r="BH56" s="256"/>
      <c r="BI56" s="223" t="e">
        <f t="shared" si="10"/>
        <v>#DIV/0!</v>
      </c>
      <c r="BJ56" s="224">
        <f t="shared" si="11"/>
        <v>0</v>
      </c>
      <c r="BK56" s="225">
        <f t="shared" si="12"/>
        <v>0</v>
      </c>
      <c r="BL56" s="223" t="e">
        <f t="shared" si="13"/>
        <v>#DIV/0!</v>
      </c>
      <c r="BM56" s="255"/>
      <c r="BN56" s="256"/>
      <c r="BO56" s="223" t="e">
        <f t="shared" si="45"/>
        <v>#DIV/0!</v>
      </c>
      <c r="BP56" s="255"/>
      <c r="BQ56" s="256"/>
      <c r="BR56" s="223" t="e">
        <f t="shared" si="46"/>
        <v>#DIV/0!</v>
      </c>
      <c r="BS56" s="255"/>
      <c r="BT56" s="255"/>
      <c r="BU56" s="223" t="e">
        <f t="shared" si="47"/>
        <v>#DIV/0!</v>
      </c>
      <c r="BV56" s="224">
        <f t="shared" si="17"/>
        <v>0</v>
      </c>
      <c r="BW56" s="224">
        <f t="shared" si="18"/>
        <v>0</v>
      </c>
      <c r="BX56" s="223" t="e">
        <f t="shared" si="19"/>
        <v>#DIV/0!</v>
      </c>
      <c r="BY56" s="223">
        <f t="shared" si="20"/>
        <v>0</v>
      </c>
      <c r="BZ56" s="223">
        <f t="shared" si="21"/>
        <v>0</v>
      </c>
      <c r="CA56" s="226"/>
      <c r="CB56" s="175"/>
      <c r="CC56" s="191"/>
      <c r="CD56" s="192"/>
      <c r="CE56" s="193" t="e">
        <f t="shared" si="48"/>
        <v>#DIV/0!</v>
      </c>
      <c r="CF56" s="191">
        <v>29</v>
      </c>
      <c r="CG56" s="192">
        <v>29</v>
      </c>
      <c r="CH56" s="193">
        <f t="shared" si="49"/>
        <v>1</v>
      </c>
      <c r="CI56" s="197"/>
      <c r="CJ56" s="198"/>
      <c r="CK56" s="193" t="e">
        <f t="shared" si="50"/>
        <v>#DIV/0!</v>
      </c>
      <c r="CL56" s="195">
        <f t="shared" si="51"/>
        <v>29</v>
      </c>
      <c r="CM56" s="194">
        <f t="shared" si="52"/>
        <v>29</v>
      </c>
      <c r="CN56" s="193">
        <f t="shared" si="53"/>
        <v>1</v>
      </c>
      <c r="CO56" s="175"/>
      <c r="CP56" s="196">
        <f t="shared" si="54"/>
        <v>29</v>
      </c>
      <c r="CQ56" s="196">
        <f t="shared" si="55"/>
        <v>29</v>
      </c>
      <c r="CR56" s="199">
        <f t="shared" si="56"/>
        <v>1</v>
      </c>
      <c r="CS56" s="261">
        <f t="shared" si="29"/>
        <v>0</v>
      </c>
      <c r="CT56" s="175"/>
      <c r="CU56" s="196">
        <f t="shared" si="30"/>
        <v>0</v>
      </c>
      <c r="CV56" s="259"/>
      <c r="CW56" s="199" t="e">
        <f t="shared" si="31"/>
        <v>#DIV/0!</v>
      </c>
      <c r="CX56" s="196">
        <f t="shared" si="32"/>
        <v>0</v>
      </c>
      <c r="CY56" s="259"/>
      <c r="CZ56" s="199" t="e">
        <f t="shared" si="33"/>
        <v>#DIV/0!</v>
      </c>
      <c r="DA56" s="196">
        <f t="shared" si="34"/>
        <v>0</v>
      </c>
      <c r="DB56" s="259"/>
      <c r="DC56" s="199" t="e">
        <f t="shared" si="35"/>
        <v>#DIV/0!</v>
      </c>
      <c r="DD56" s="196">
        <f t="shared" si="36"/>
        <v>0</v>
      </c>
      <c r="DE56" s="259"/>
      <c r="DF56" s="199" t="e">
        <f t="shared" si="37"/>
        <v>#DIV/0!</v>
      </c>
      <c r="DG56" s="175"/>
      <c r="DH56" s="196">
        <f t="shared" si="38"/>
        <v>29</v>
      </c>
      <c r="DI56" s="196">
        <f t="shared" si="39"/>
        <v>29</v>
      </c>
      <c r="DJ56" s="199">
        <f t="shared" si="40"/>
        <v>1</v>
      </c>
      <c r="DK56" s="265">
        <f t="shared" si="41"/>
        <v>0</v>
      </c>
      <c r="DL56" s="244">
        <v>52</v>
      </c>
      <c r="DM56">
        <f t="shared" si="58"/>
        <v>0</v>
      </c>
    </row>
    <row r="57" spans="1:117" x14ac:dyDescent="0.3">
      <c r="A57" s="246">
        <v>53</v>
      </c>
      <c r="B57" s="91" t="s">
        <v>270</v>
      </c>
      <c r="C57" s="91" t="s">
        <v>133</v>
      </c>
      <c r="D57" s="91" t="s">
        <v>119</v>
      </c>
      <c r="E57" s="91" t="s">
        <v>289</v>
      </c>
      <c r="F57" s="91" t="s">
        <v>290</v>
      </c>
      <c r="G57" s="87" t="s">
        <v>284</v>
      </c>
      <c r="H57" s="87" t="s">
        <v>284</v>
      </c>
      <c r="I57" s="87" t="s">
        <v>295</v>
      </c>
      <c r="J57" s="87" t="s">
        <v>295</v>
      </c>
      <c r="K57" s="85" t="s">
        <v>104</v>
      </c>
      <c r="L57" s="85" t="s">
        <v>105</v>
      </c>
      <c r="M57" s="87" t="s">
        <v>106</v>
      </c>
      <c r="N57" s="87" t="s">
        <v>275</v>
      </c>
      <c r="O57" s="87" t="s">
        <v>293</v>
      </c>
      <c r="P57" s="241" t="s">
        <v>299</v>
      </c>
      <c r="Q57" s="87" t="s">
        <v>129</v>
      </c>
      <c r="R57" s="130">
        <v>2</v>
      </c>
      <c r="S57" s="88" t="s">
        <v>111</v>
      </c>
      <c r="T57" s="81">
        <v>0</v>
      </c>
      <c r="U57" s="81">
        <v>0</v>
      </c>
      <c r="V57" s="25" t="e">
        <f t="shared" si="60"/>
        <v>#DIV/0!</v>
      </c>
      <c r="W57" s="81">
        <v>1</v>
      </c>
      <c r="X57" s="81">
        <v>1</v>
      </c>
      <c r="Y57" s="25">
        <f t="shared" si="1"/>
        <v>100</v>
      </c>
      <c r="Z57" s="81">
        <v>1</v>
      </c>
      <c r="AA57" s="81"/>
      <c r="AB57" s="25">
        <f t="shared" si="2"/>
        <v>0</v>
      </c>
      <c r="AC57" s="81">
        <v>0</v>
      </c>
      <c r="AD57" s="81"/>
      <c r="AE57" s="25" t="e">
        <f t="shared" si="3"/>
        <v>#DIV/0!</v>
      </c>
      <c r="AF57" s="137">
        <f t="shared" si="43"/>
        <v>2</v>
      </c>
      <c r="AG57" s="137">
        <f t="shared" si="44"/>
        <v>1</v>
      </c>
      <c r="AH57" s="128">
        <f t="shared" si="5"/>
        <v>100</v>
      </c>
      <c r="AI57" s="90">
        <v>46113</v>
      </c>
      <c r="AJ57" s="90">
        <v>46477</v>
      </c>
      <c r="AK57" s="91" t="s">
        <v>112</v>
      </c>
      <c r="AL57" s="91" t="s">
        <v>113</v>
      </c>
      <c r="AM57" s="92" t="s">
        <v>114</v>
      </c>
      <c r="AN57" s="93">
        <v>60000000</v>
      </c>
      <c r="AO57" s="93">
        <v>60000000</v>
      </c>
      <c r="AP57" s="93">
        <v>60000000</v>
      </c>
      <c r="AQ57" s="94">
        <f>AO57</f>
        <v>60000000</v>
      </c>
      <c r="AR57" s="91" t="s">
        <v>207</v>
      </c>
      <c r="AS57" s="91" t="s">
        <v>112</v>
      </c>
      <c r="AT57" s="150" t="s">
        <v>298</v>
      </c>
      <c r="AU57" s="165" t="s">
        <v>2264</v>
      </c>
      <c r="AV57" s="232" t="s">
        <v>2234</v>
      </c>
      <c r="AW57" s="126" t="s">
        <v>2249</v>
      </c>
      <c r="BA57" s="255"/>
      <c r="BB57" s="256"/>
      <c r="BC57" s="223" t="e">
        <f t="shared" si="8"/>
        <v>#DIV/0!</v>
      </c>
      <c r="BD57" s="255"/>
      <c r="BE57" s="256"/>
      <c r="BF57" s="223" t="e">
        <f t="shared" si="9"/>
        <v>#DIV/0!</v>
      </c>
      <c r="BG57" s="255"/>
      <c r="BH57" s="256"/>
      <c r="BI57" s="223" t="e">
        <f t="shared" si="10"/>
        <v>#DIV/0!</v>
      </c>
      <c r="BJ57" s="224">
        <f t="shared" si="11"/>
        <v>0</v>
      </c>
      <c r="BK57" s="225">
        <f t="shared" si="12"/>
        <v>0</v>
      </c>
      <c r="BL57" s="223" t="e">
        <f t="shared" si="13"/>
        <v>#DIV/0!</v>
      </c>
      <c r="BM57" s="255"/>
      <c r="BN57" s="256"/>
      <c r="BO57" s="223" t="e">
        <f t="shared" si="45"/>
        <v>#DIV/0!</v>
      </c>
      <c r="BP57" s="255"/>
      <c r="BQ57" s="256"/>
      <c r="BR57" s="223" t="e">
        <f t="shared" si="46"/>
        <v>#DIV/0!</v>
      </c>
      <c r="BS57" s="255">
        <v>2</v>
      </c>
      <c r="BT57" s="255">
        <v>2</v>
      </c>
      <c r="BU57" s="223">
        <f t="shared" si="47"/>
        <v>1</v>
      </c>
      <c r="BV57" s="224">
        <f t="shared" si="17"/>
        <v>2</v>
      </c>
      <c r="BW57" s="224">
        <f t="shared" si="18"/>
        <v>2</v>
      </c>
      <c r="BX57" s="223">
        <f t="shared" si="19"/>
        <v>1</v>
      </c>
      <c r="BY57" s="223">
        <f t="shared" si="20"/>
        <v>1</v>
      </c>
      <c r="BZ57" s="223">
        <f t="shared" si="21"/>
        <v>-1</v>
      </c>
      <c r="CA57" s="226"/>
      <c r="CB57" s="175"/>
      <c r="CC57" s="191"/>
      <c r="CD57" s="192"/>
      <c r="CE57" s="193" t="e">
        <f t="shared" si="48"/>
        <v>#DIV/0!</v>
      </c>
      <c r="CF57" s="191"/>
      <c r="CG57" s="192"/>
      <c r="CH57" s="193" t="e">
        <f t="shared" si="49"/>
        <v>#DIV/0!</v>
      </c>
      <c r="CI57" s="197"/>
      <c r="CJ57" s="198"/>
      <c r="CK57" s="193" t="e">
        <f t="shared" si="50"/>
        <v>#DIV/0!</v>
      </c>
      <c r="CL57" s="195">
        <f t="shared" si="51"/>
        <v>0</v>
      </c>
      <c r="CM57" s="194">
        <f t="shared" si="52"/>
        <v>0</v>
      </c>
      <c r="CN57" s="193" t="e">
        <f t="shared" si="53"/>
        <v>#DIV/0!</v>
      </c>
      <c r="CO57" s="175"/>
      <c r="CP57" s="196">
        <f t="shared" si="54"/>
        <v>2</v>
      </c>
      <c r="CQ57" s="196">
        <f t="shared" si="55"/>
        <v>2</v>
      </c>
      <c r="CR57" s="199">
        <f t="shared" si="56"/>
        <v>1</v>
      </c>
      <c r="CS57" s="261">
        <f t="shared" si="29"/>
        <v>0</v>
      </c>
      <c r="CT57" s="175"/>
      <c r="CU57" s="196">
        <f t="shared" si="30"/>
        <v>0</v>
      </c>
      <c r="CV57" s="259"/>
      <c r="CW57" s="199" t="e">
        <f t="shared" si="31"/>
        <v>#DIV/0!</v>
      </c>
      <c r="CX57" s="196">
        <f t="shared" si="32"/>
        <v>0</v>
      </c>
      <c r="CY57" s="259"/>
      <c r="CZ57" s="199" t="e">
        <f t="shared" si="33"/>
        <v>#DIV/0!</v>
      </c>
      <c r="DA57" s="196">
        <f t="shared" si="34"/>
        <v>0</v>
      </c>
      <c r="DB57" s="259"/>
      <c r="DC57" s="199" t="e">
        <f t="shared" si="35"/>
        <v>#DIV/0!</v>
      </c>
      <c r="DD57" s="196">
        <f t="shared" si="36"/>
        <v>0</v>
      </c>
      <c r="DE57" s="259"/>
      <c r="DF57" s="199" t="e">
        <f t="shared" si="37"/>
        <v>#DIV/0!</v>
      </c>
      <c r="DG57" s="175"/>
      <c r="DH57" s="196">
        <f t="shared" si="38"/>
        <v>2</v>
      </c>
      <c r="DI57" s="196">
        <f t="shared" si="39"/>
        <v>2</v>
      </c>
      <c r="DJ57" s="199">
        <f t="shared" si="40"/>
        <v>1</v>
      </c>
      <c r="DK57" s="265">
        <f t="shared" si="41"/>
        <v>0</v>
      </c>
      <c r="DL57" s="244">
        <v>53</v>
      </c>
      <c r="DM57">
        <f t="shared" si="58"/>
        <v>0</v>
      </c>
    </row>
    <row r="58" spans="1:117" x14ac:dyDescent="0.3">
      <c r="A58" s="246">
        <v>54</v>
      </c>
      <c r="B58" s="91" t="s">
        <v>270</v>
      </c>
      <c r="C58" s="91" t="s">
        <v>118</v>
      </c>
      <c r="D58" s="91" t="s">
        <v>119</v>
      </c>
      <c r="E58" s="91" t="s">
        <v>289</v>
      </c>
      <c r="F58" s="91" t="s">
        <v>300</v>
      </c>
      <c r="G58" s="87" t="s">
        <v>290</v>
      </c>
      <c r="H58" s="87" t="s">
        <v>301</v>
      </c>
      <c r="I58" s="87" t="s">
        <v>295</v>
      </c>
      <c r="J58" s="87" t="s">
        <v>295</v>
      </c>
      <c r="K58" s="85" t="s">
        <v>104</v>
      </c>
      <c r="L58" s="85" t="s">
        <v>105</v>
      </c>
      <c r="M58" s="87" t="s">
        <v>106</v>
      </c>
      <c r="N58" s="87" t="s">
        <v>275</v>
      </c>
      <c r="O58" s="87" t="s">
        <v>293</v>
      </c>
      <c r="P58" s="87" t="s">
        <v>302</v>
      </c>
      <c r="Q58" s="87" t="s">
        <v>129</v>
      </c>
      <c r="R58" s="130">
        <v>29</v>
      </c>
      <c r="S58" s="88" t="s">
        <v>111</v>
      </c>
      <c r="T58" s="81">
        <v>0</v>
      </c>
      <c r="U58" s="81">
        <v>0</v>
      </c>
      <c r="V58" s="25" t="e">
        <f t="shared" si="60"/>
        <v>#DIV/0!</v>
      </c>
      <c r="W58" s="81">
        <v>10</v>
      </c>
      <c r="X58" s="81">
        <v>0</v>
      </c>
      <c r="Y58" s="25">
        <f t="shared" si="1"/>
        <v>0</v>
      </c>
      <c r="Z58" s="81">
        <v>10</v>
      </c>
      <c r="AA58" s="81"/>
      <c r="AB58" s="25">
        <f t="shared" si="2"/>
        <v>0</v>
      </c>
      <c r="AC58" s="81">
        <v>9</v>
      </c>
      <c r="AD58" s="81"/>
      <c r="AE58" s="25">
        <f t="shared" si="3"/>
        <v>0</v>
      </c>
      <c r="AF58" s="137">
        <f t="shared" si="43"/>
        <v>29</v>
      </c>
      <c r="AG58" s="137">
        <f t="shared" si="44"/>
        <v>0</v>
      </c>
      <c r="AH58" s="128">
        <f t="shared" si="5"/>
        <v>0</v>
      </c>
      <c r="AI58" s="90">
        <v>46113</v>
      </c>
      <c r="AJ58" s="90">
        <v>46477</v>
      </c>
      <c r="AK58" s="91" t="s">
        <v>112</v>
      </c>
      <c r="AL58" s="91" t="s">
        <v>113</v>
      </c>
      <c r="AM58" s="92" t="s">
        <v>114</v>
      </c>
      <c r="AN58" s="93"/>
      <c r="AO58" s="93"/>
      <c r="AP58" s="93"/>
      <c r="AQ58" s="94"/>
      <c r="AR58" s="91" t="s">
        <v>303</v>
      </c>
      <c r="AS58" s="91" t="s">
        <v>112</v>
      </c>
      <c r="AT58" s="150" t="s">
        <v>2228</v>
      </c>
      <c r="AU58" s="165" t="s">
        <v>2264</v>
      </c>
      <c r="AV58" s="232" t="s">
        <v>2234</v>
      </c>
      <c r="BA58" s="255"/>
      <c r="BB58" s="256"/>
      <c r="BC58" s="223" t="e">
        <f t="shared" si="8"/>
        <v>#DIV/0!</v>
      </c>
      <c r="BD58" s="255"/>
      <c r="BE58" s="256"/>
      <c r="BF58" s="223" t="e">
        <f t="shared" si="9"/>
        <v>#DIV/0!</v>
      </c>
      <c r="BG58" s="255"/>
      <c r="BH58" s="256"/>
      <c r="BI58" s="223" t="e">
        <f t="shared" si="10"/>
        <v>#DIV/0!</v>
      </c>
      <c r="BJ58" s="224">
        <f t="shared" si="11"/>
        <v>0</v>
      </c>
      <c r="BK58" s="225">
        <f t="shared" si="12"/>
        <v>0</v>
      </c>
      <c r="BL58" s="223" t="e">
        <f t="shared" si="13"/>
        <v>#DIV/0!</v>
      </c>
      <c r="BM58" s="255"/>
      <c r="BN58" s="256"/>
      <c r="BO58" s="223" t="e">
        <f t="shared" si="45"/>
        <v>#DIV/0!</v>
      </c>
      <c r="BP58" s="255">
        <v>29</v>
      </c>
      <c r="BQ58" s="256">
        <v>29</v>
      </c>
      <c r="BR58" s="223">
        <f t="shared" si="46"/>
        <v>1</v>
      </c>
      <c r="BS58" s="255"/>
      <c r="BT58" s="255"/>
      <c r="BU58" s="223" t="e">
        <f t="shared" si="47"/>
        <v>#DIV/0!</v>
      </c>
      <c r="BV58" s="224">
        <f t="shared" si="17"/>
        <v>29</v>
      </c>
      <c r="BW58" s="224">
        <f t="shared" si="18"/>
        <v>29</v>
      </c>
      <c r="BX58" s="223">
        <f t="shared" si="19"/>
        <v>1</v>
      </c>
      <c r="BY58" s="223">
        <f t="shared" si="20"/>
        <v>1</v>
      </c>
      <c r="BZ58" s="223">
        <f t="shared" si="21"/>
        <v>-1</v>
      </c>
      <c r="CA58" s="226"/>
      <c r="CB58" s="175"/>
      <c r="CC58" s="191"/>
      <c r="CD58" s="192"/>
      <c r="CE58" s="193" t="e">
        <f t="shared" si="48"/>
        <v>#DIV/0!</v>
      </c>
      <c r="CF58" s="191"/>
      <c r="CG58" s="192"/>
      <c r="CH58" s="193" t="e">
        <f t="shared" si="49"/>
        <v>#DIV/0!</v>
      </c>
      <c r="CI58" s="197"/>
      <c r="CJ58" s="198"/>
      <c r="CK58" s="193" t="e">
        <f t="shared" si="50"/>
        <v>#DIV/0!</v>
      </c>
      <c r="CL58" s="195">
        <f t="shared" si="51"/>
        <v>0</v>
      </c>
      <c r="CM58" s="194">
        <f t="shared" si="52"/>
        <v>0</v>
      </c>
      <c r="CN58" s="193" t="e">
        <f t="shared" si="53"/>
        <v>#DIV/0!</v>
      </c>
      <c r="CO58" s="175"/>
      <c r="CP58" s="196">
        <f t="shared" si="54"/>
        <v>29</v>
      </c>
      <c r="CQ58" s="196">
        <f t="shared" si="55"/>
        <v>29</v>
      </c>
      <c r="CR58" s="199">
        <f t="shared" si="56"/>
        <v>1</v>
      </c>
      <c r="CS58" s="261">
        <f t="shared" si="29"/>
        <v>0</v>
      </c>
      <c r="CT58" s="175"/>
      <c r="CU58" s="196">
        <f t="shared" si="30"/>
        <v>0</v>
      </c>
      <c r="CV58" s="259"/>
      <c r="CW58" s="199" t="e">
        <f t="shared" si="31"/>
        <v>#DIV/0!</v>
      </c>
      <c r="CX58" s="196">
        <f t="shared" si="32"/>
        <v>0</v>
      </c>
      <c r="CY58" s="259"/>
      <c r="CZ58" s="199" t="e">
        <f t="shared" si="33"/>
        <v>#DIV/0!</v>
      </c>
      <c r="DA58" s="196">
        <f t="shared" si="34"/>
        <v>0</v>
      </c>
      <c r="DB58" s="259"/>
      <c r="DC58" s="199" t="e">
        <f t="shared" si="35"/>
        <v>#DIV/0!</v>
      </c>
      <c r="DD58" s="196">
        <f t="shared" si="36"/>
        <v>0</v>
      </c>
      <c r="DE58" s="259"/>
      <c r="DF58" s="199" t="e">
        <f t="shared" si="37"/>
        <v>#DIV/0!</v>
      </c>
      <c r="DG58" s="175"/>
      <c r="DH58" s="196">
        <f t="shared" si="38"/>
        <v>29</v>
      </c>
      <c r="DI58" s="196">
        <f t="shared" si="39"/>
        <v>29</v>
      </c>
      <c r="DJ58" s="199">
        <f t="shared" si="40"/>
        <v>1</v>
      </c>
      <c r="DK58" s="265">
        <f t="shared" si="41"/>
        <v>0</v>
      </c>
      <c r="DL58" s="244">
        <v>54</v>
      </c>
      <c r="DM58">
        <f t="shared" si="58"/>
        <v>0</v>
      </c>
    </row>
    <row r="59" spans="1:117" x14ac:dyDescent="0.3">
      <c r="A59" s="246">
        <v>55</v>
      </c>
      <c r="B59" s="91" t="s">
        <v>270</v>
      </c>
      <c r="C59" s="91" t="s">
        <v>118</v>
      </c>
      <c r="D59" s="91" t="s">
        <v>119</v>
      </c>
      <c r="E59" s="91" t="s">
        <v>289</v>
      </c>
      <c r="F59" s="91" t="s">
        <v>300</v>
      </c>
      <c r="G59" s="87" t="s">
        <v>290</v>
      </c>
      <c r="H59" s="87" t="s">
        <v>301</v>
      </c>
      <c r="I59" s="87" t="s">
        <v>281</v>
      </c>
      <c r="J59" s="87" t="s">
        <v>281</v>
      </c>
      <c r="K59" s="85" t="s">
        <v>104</v>
      </c>
      <c r="L59" s="85" t="s">
        <v>105</v>
      </c>
      <c r="M59" s="87" t="s">
        <v>106</v>
      </c>
      <c r="N59" s="87" t="s">
        <v>286</v>
      </c>
      <c r="O59" s="87" t="s">
        <v>293</v>
      </c>
      <c r="P59" s="241" t="s">
        <v>304</v>
      </c>
      <c r="Q59" s="87" t="s">
        <v>129</v>
      </c>
      <c r="R59" s="130">
        <v>4</v>
      </c>
      <c r="S59" s="88" t="s">
        <v>111</v>
      </c>
      <c r="T59" s="81">
        <v>1</v>
      </c>
      <c r="U59" s="81">
        <v>0</v>
      </c>
      <c r="V59" s="25">
        <f t="shared" si="60"/>
        <v>0</v>
      </c>
      <c r="W59" s="81">
        <v>1</v>
      </c>
      <c r="X59" s="81">
        <v>1</v>
      </c>
      <c r="Y59" s="25">
        <f t="shared" si="1"/>
        <v>100</v>
      </c>
      <c r="Z59" s="81">
        <v>1</v>
      </c>
      <c r="AA59" s="81"/>
      <c r="AB59" s="25">
        <f t="shared" si="2"/>
        <v>0</v>
      </c>
      <c r="AC59" s="81">
        <v>1</v>
      </c>
      <c r="AD59" s="81"/>
      <c r="AE59" s="25">
        <f t="shared" si="3"/>
        <v>0</v>
      </c>
      <c r="AF59" s="137">
        <f t="shared" si="43"/>
        <v>4</v>
      </c>
      <c r="AG59" s="137">
        <f t="shared" si="44"/>
        <v>1</v>
      </c>
      <c r="AH59" s="128">
        <f t="shared" si="5"/>
        <v>50</v>
      </c>
      <c r="AI59" s="90">
        <v>46113</v>
      </c>
      <c r="AJ59" s="90">
        <v>46477</v>
      </c>
      <c r="AK59" s="91" t="s">
        <v>112</v>
      </c>
      <c r="AL59" s="91" t="s">
        <v>113</v>
      </c>
      <c r="AM59" s="92" t="s">
        <v>114</v>
      </c>
      <c r="AN59" s="93">
        <v>20000000</v>
      </c>
      <c r="AO59" s="93">
        <v>20000000</v>
      </c>
      <c r="AP59" s="93">
        <v>20000000</v>
      </c>
      <c r="AQ59" s="94">
        <v>0</v>
      </c>
      <c r="AR59" s="91" t="s">
        <v>130</v>
      </c>
      <c r="AS59" s="91" t="s">
        <v>112</v>
      </c>
      <c r="AT59" s="150" t="s">
        <v>298</v>
      </c>
      <c r="AU59" s="165" t="s">
        <v>2264</v>
      </c>
      <c r="AV59" s="232" t="s">
        <v>2234</v>
      </c>
      <c r="AW59" s="126" t="s">
        <v>2249</v>
      </c>
      <c r="BA59" s="255"/>
      <c r="BB59" s="256"/>
      <c r="BC59" s="223" t="e">
        <f t="shared" si="8"/>
        <v>#DIV/0!</v>
      </c>
      <c r="BD59" s="255"/>
      <c r="BE59" s="256"/>
      <c r="BF59" s="223" t="e">
        <f t="shared" si="9"/>
        <v>#DIV/0!</v>
      </c>
      <c r="BG59" s="255">
        <v>1</v>
      </c>
      <c r="BH59" s="256">
        <v>1</v>
      </c>
      <c r="BI59" s="223">
        <f t="shared" si="10"/>
        <v>1</v>
      </c>
      <c r="BJ59" s="224">
        <f t="shared" si="11"/>
        <v>1</v>
      </c>
      <c r="BK59" s="225">
        <f t="shared" si="12"/>
        <v>1</v>
      </c>
      <c r="BL59" s="223">
        <f t="shared" si="13"/>
        <v>1</v>
      </c>
      <c r="BM59" s="255"/>
      <c r="BN59" s="256"/>
      <c r="BO59" s="223" t="e">
        <f t="shared" si="45"/>
        <v>#DIV/0!</v>
      </c>
      <c r="BP59" s="255"/>
      <c r="BQ59" s="256"/>
      <c r="BR59" s="223" t="e">
        <f t="shared" si="46"/>
        <v>#DIV/0!</v>
      </c>
      <c r="BS59" s="255"/>
      <c r="BT59" s="255"/>
      <c r="BU59" s="223" t="e">
        <f t="shared" si="47"/>
        <v>#DIV/0!</v>
      </c>
      <c r="BV59" s="224">
        <f t="shared" si="17"/>
        <v>0</v>
      </c>
      <c r="BW59" s="224">
        <f t="shared" si="18"/>
        <v>0</v>
      </c>
      <c r="BX59" s="223" t="e">
        <f t="shared" si="19"/>
        <v>#DIV/0!</v>
      </c>
      <c r="BY59" s="223">
        <f t="shared" si="20"/>
        <v>0.25</v>
      </c>
      <c r="BZ59" s="223">
        <f t="shared" si="21"/>
        <v>-0.25</v>
      </c>
      <c r="CA59" s="226"/>
      <c r="CB59" s="175"/>
      <c r="CC59" s="191"/>
      <c r="CD59" s="192"/>
      <c r="CE59" s="193" t="e">
        <f t="shared" si="48"/>
        <v>#DIV/0!</v>
      </c>
      <c r="CF59" s="191"/>
      <c r="CG59" s="192"/>
      <c r="CH59" s="193" t="e">
        <f t="shared" si="49"/>
        <v>#DIV/0!</v>
      </c>
      <c r="CI59" s="197"/>
      <c r="CJ59" s="198"/>
      <c r="CK59" s="193" t="e">
        <f t="shared" si="50"/>
        <v>#DIV/0!</v>
      </c>
      <c r="CL59" s="195">
        <f t="shared" si="51"/>
        <v>0</v>
      </c>
      <c r="CM59" s="194">
        <f t="shared" si="52"/>
        <v>0</v>
      </c>
      <c r="CN59" s="193" t="e">
        <f t="shared" si="53"/>
        <v>#DIV/0!</v>
      </c>
      <c r="CO59" s="175"/>
      <c r="CP59" s="196">
        <f t="shared" si="54"/>
        <v>1</v>
      </c>
      <c r="CQ59" s="196">
        <f t="shared" si="55"/>
        <v>1</v>
      </c>
      <c r="CR59" s="199">
        <f t="shared" si="56"/>
        <v>1</v>
      </c>
      <c r="CS59" s="261">
        <f t="shared" si="29"/>
        <v>3</v>
      </c>
      <c r="CT59" s="175"/>
      <c r="CU59" s="196">
        <f t="shared" si="30"/>
        <v>0.89999999999999991</v>
      </c>
      <c r="CV59" s="259"/>
      <c r="CW59" s="199">
        <f t="shared" si="31"/>
        <v>0</v>
      </c>
      <c r="CX59" s="196">
        <f t="shared" si="32"/>
        <v>0.89999999999999991</v>
      </c>
      <c r="CY59" s="259"/>
      <c r="CZ59" s="199">
        <f t="shared" si="33"/>
        <v>0</v>
      </c>
      <c r="DA59" s="196">
        <f t="shared" si="34"/>
        <v>0.89999999999999991</v>
      </c>
      <c r="DB59" s="259"/>
      <c r="DC59" s="199">
        <f t="shared" si="35"/>
        <v>0</v>
      </c>
      <c r="DD59" s="196">
        <f t="shared" si="36"/>
        <v>0.30000000000000004</v>
      </c>
      <c r="DE59" s="259"/>
      <c r="DF59" s="199">
        <f t="shared" si="37"/>
        <v>0</v>
      </c>
      <c r="DG59" s="175"/>
      <c r="DH59" s="196">
        <f t="shared" si="38"/>
        <v>4</v>
      </c>
      <c r="DI59" s="196">
        <f t="shared" si="39"/>
        <v>1</v>
      </c>
      <c r="DJ59" s="199">
        <f t="shared" si="40"/>
        <v>0.25</v>
      </c>
      <c r="DK59" s="265">
        <f t="shared" si="41"/>
        <v>3</v>
      </c>
      <c r="DL59" s="244">
        <v>55</v>
      </c>
      <c r="DM59">
        <f t="shared" si="58"/>
        <v>0</v>
      </c>
    </row>
    <row r="60" spans="1:117" x14ac:dyDescent="0.3">
      <c r="A60" s="246">
        <v>56</v>
      </c>
      <c r="B60" s="91" t="s">
        <v>270</v>
      </c>
      <c r="C60" s="91" t="s">
        <v>133</v>
      </c>
      <c r="D60" s="91" t="s">
        <v>119</v>
      </c>
      <c r="E60" s="91" t="s">
        <v>289</v>
      </c>
      <c r="F60" s="91" t="s">
        <v>300</v>
      </c>
      <c r="G60" s="87" t="s">
        <v>290</v>
      </c>
      <c r="H60" s="87" t="s">
        <v>301</v>
      </c>
      <c r="I60" s="87" t="s">
        <v>285</v>
      </c>
      <c r="J60" s="87" t="s">
        <v>285</v>
      </c>
      <c r="K60" s="85" t="s">
        <v>104</v>
      </c>
      <c r="L60" s="85" t="s">
        <v>105</v>
      </c>
      <c r="M60" s="87" t="s">
        <v>106</v>
      </c>
      <c r="N60" s="87" t="s">
        <v>286</v>
      </c>
      <c r="O60" s="87" t="s">
        <v>293</v>
      </c>
      <c r="P60" s="241" t="s">
        <v>305</v>
      </c>
      <c r="Q60" s="87" t="s">
        <v>129</v>
      </c>
      <c r="R60" s="130">
        <v>29</v>
      </c>
      <c r="S60" s="88" t="s">
        <v>111</v>
      </c>
      <c r="T60" s="81">
        <v>7</v>
      </c>
      <c r="U60" s="81">
        <v>0</v>
      </c>
      <c r="V60" s="25">
        <f t="shared" si="60"/>
        <v>0</v>
      </c>
      <c r="W60" s="81">
        <v>7</v>
      </c>
      <c r="X60" s="81">
        <v>0</v>
      </c>
      <c r="Y60" s="25">
        <f t="shared" si="1"/>
        <v>0</v>
      </c>
      <c r="Z60" s="81">
        <v>7</v>
      </c>
      <c r="AA60" s="81"/>
      <c r="AB60" s="25">
        <f t="shared" si="2"/>
        <v>0</v>
      </c>
      <c r="AC60" s="81">
        <v>8</v>
      </c>
      <c r="AD60" s="81"/>
      <c r="AE60" s="25">
        <f t="shared" si="3"/>
        <v>0</v>
      </c>
      <c r="AF60" s="137">
        <f t="shared" si="43"/>
        <v>29</v>
      </c>
      <c r="AG60" s="137">
        <f t="shared" si="44"/>
        <v>0</v>
      </c>
      <c r="AH60" s="128">
        <f t="shared" si="5"/>
        <v>0</v>
      </c>
      <c r="AI60" s="90">
        <v>46113</v>
      </c>
      <c r="AJ60" s="90">
        <v>46477</v>
      </c>
      <c r="AK60" s="91" t="s">
        <v>112</v>
      </c>
      <c r="AL60" s="91" t="s">
        <v>113</v>
      </c>
      <c r="AM60" s="92" t="s">
        <v>114</v>
      </c>
      <c r="AN60" s="93">
        <v>70000000</v>
      </c>
      <c r="AO60" s="93">
        <v>70000000</v>
      </c>
      <c r="AP60" s="93">
        <v>70000000</v>
      </c>
      <c r="AQ60" s="94">
        <v>0</v>
      </c>
      <c r="AR60" s="91" t="s">
        <v>306</v>
      </c>
      <c r="AS60" s="91" t="s">
        <v>112</v>
      </c>
      <c r="AT60" s="150" t="s">
        <v>298</v>
      </c>
      <c r="AU60" s="165" t="s">
        <v>2264</v>
      </c>
      <c r="AV60" s="232" t="s">
        <v>2234</v>
      </c>
      <c r="AW60" s="126" t="s">
        <v>2249</v>
      </c>
      <c r="BA60" s="255"/>
      <c r="BB60" s="256"/>
      <c r="BC60" s="223" t="e">
        <f t="shared" si="8"/>
        <v>#DIV/0!</v>
      </c>
      <c r="BD60" s="255"/>
      <c r="BE60" s="256"/>
      <c r="BF60" s="223" t="e">
        <f t="shared" si="9"/>
        <v>#DIV/0!</v>
      </c>
      <c r="BG60" s="255"/>
      <c r="BH60" s="256"/>
      <c r="BI60" s="223" t="e">
        <f t="shared" si="10"/>
        <v>#DIV/0!</v>
      </c>
      <c r="BJ60" s="224">
        <f t="shared" si="11"/>
        <v>0</v>
      </c>
      <c r="BK60" s="225">
        <f t="shared" si="12"/>
        <v>0</v>
      </c>
      <c r="BL60" s="223" t="e">
        <f t="shared" si="13"/>
        <v>#DIV/0!</v>
      </c>
      <c r="BM60" s="255"/>
      <c r="BN60" s="256"/>
      <c r="BO60" s="223" t="e">
        <f t="shared" si="45"/>
        <v>#DIV/0!</v>
      </c>
      <c r="BP60" s="255">
        <v>29</v>
      </c>
      <c r="BQ60" s="256">
        <v>29</v>
      </c>
      <c r="BR60" s="223">
        <f t="shared" si="46"/>
        <v>1</v>
      </c>
      <c r="BS60" s="255"/>
      <c r="BT60" s="255"/>
      <c r="BU60" s="223" t="e">
        <f t="shared" si="47"/>
        <v>#DIV/0!</v>
      </c>
      <c r="BV60" s="224">
        <f t="shared" si="17"/>
        <v>29</v>
      </c>
      <c r="BW60" s="224">
        <f t="shared" si="18"/>
        <v>29</v>
      </c>
      <c r="BX60" s="223">
        <f t="shared" si="19"/>
        <v>1</v>
      </c>
      <c r="BY60" s="223">
        <f t="shared" si="20"/>
        <v>1</v>
      </c>
      <c r="BZ60" s="223">
        <f t="shared" si="21"/>
        <v>-1</v>
      </c>
      <c r="CA60" s="226"/>
      <c r="CB60" s="175"/>
      <c r="CC60" s="191"/>
      <c r="CD60" s="192"/>
      <c r="CE60" s="193" t="e">
        <f t="shared" si="48"/>
        <v>#DIV/0!</v>
      </c>
      <c r="CF60" s="191"/>
      <c r="CG60" s="192"/>
      <c r="CH60" s="193" t="e">
        <f t="shared" si="49"/>
        <v>#DIV/0!</v>
      </c>
      <c r="CI60" s="197"/>
      <c r="CJ60" s="198"/>
      <c r="CK60" s="193" t="e">
        <f t="shared" si="50"/>
        <v>#DIV/0!</v>
      </c>
      <c r="CL60" s="195">
        <f t="shared" si="51"/>
        <v>0</v>
      </c>
      <c r="CM60" s="194">
        <f t="shared" si="52"/>
        <v>0</v>
      </c>
      <c r="CN60" s="193" t="e">
        <f t="shared" si="53"/>
        <v>#DIV/0!</v>
      </c>
      <c r="CO60" s="175"/>
      <c r="CP60" s="196">
        <f t="shared" si="54"/>
        <v>29</v>
      </c>
      <c r="CQ60" s="196">
        <f t="shared" si="55"/>
        <v>29</v>
      </c>
      <c r="CR60" s="199">
        <f t="shared" si="56"/>
        <v>1</v>
      </c>
      <c r="CS60" s="261">
        <f t="shared" si="29"/>
        <v>0</v>
      </c>
      <c r="CT60" s="175"/>
      <c r="CU60" s="196">
        <f t="shared" si="30"/>
        <v>0</v>
      </c>
      <c r="CV60" s="259"/>
      <c r="CW60" s="199" t="e">
        <f t="shared" si="31"/>
        <v>#DIV/0!</v>
      </c>
      <c r="CX60" s="196">
        <f t="shared" si="32"/>
        <v>0</v>
      </c>
      <c r="CY60" s="259"/>
      <c r="CZ60" s="199" t="e">
        <f t="shared" si="33"/>
        <v>#DIV/0!</v>
      </c>
      <c r="DA60" s="196">
        <f t="shared" si="34"/>
        <v>0</v>
      </c>
      <c r="DB60" s="259"/>
      <c r="DC60" s="199" t="e">
        <f t="shared" si="35"/>
        <v>#DIV/0!</v>
      </c>
      <c r="DD60" s="196">
        <f t="shared" si="36"/>
        <v>0</v>
      </c>
      <c r="DE60" s="259"/>
      <c r="DF60" s="199" t="e">
        <f t="shared" si="37"/>
        <v>#DIV/0!</v>
      </c>
      <c r="DG60" s="175"/>
      <c r="DH60" s="196">
        <f t="shared" si="38"/>
        <v>29</v>
      </c>
      <c r="DI60" s="196">
        <f t="shared" si="39"/>
        <v>29</v>
      </c>
      <c r="DJ60" s="199">
        <f t="shared" si="40"/>
        <v>1</v>
      </c>
      <c r="DK60" s="265">
        <f t="shared" si="41"/>
        <v>0</v>
      </c>
      <c r="DL60" s="244">
        <v>56</v>
      </c>
      <c r="DM60">
        <f t="shared" si="58"/>
        <v>0</v>
      </c>
    </row>
    <row r="61" spans="1:117" x14ac:dyDescent="0.3">
      <c r="A61" s="246">
        <v>57</v>
      </c>
      <c r="B61" s="91" t="s">
        <v>270</v>
      </c>
      <c r="C61" s="91" t="s">
        <v>133</v>
      </c>
      <c r="D61" s="91" t="s">
        <v>119</v>
      </c>
      <c r="E61" s="91" t="s">
        <v>289</v>
      </c>
      <c r="F61" s="91" t="s">
        <v>300</v>
      </c>
      <c r="G61" s="87" t="s">
        <v>290</v>
      </c>
      <c r="H61" s="87" t="s">
        <v>301</v>
      </c>
      <c r="I61" s="87" t="s">
        <v>285</v>
      </c>
      <c r="J61" s="87" t="s">
        <v>285</v>
      </c>
      <c r="K61" s="85" t="s">
        <v>104</v>
      </c>
      <c r="L61" s="85" t="s">
        <v>105</v>
      </c>
      <c r="M61" s="87" t="s">
        <v>106</v>
      </c>
      <c r="N61" s="87" t="s">
        <v>286</v>
      </c>
      <c r="O61" s="87" t="s">
        <v>293</v>
      </c>
      <c r="P61" s="241" t="s">
        <v>307</v>
      </c>
      <c r="Q61" s="87" t="s">
        <v>129</v>
      </c>
      <c r="R61" s="130">
        <v>29</v>
      </c>
      <c r="S61" s="88" t="s">
        <v>111</v>
      </c>
      <c r="T61" s="81">
        <v>0</v>
      </c>
      <c r="U61" s="81">
        <v>0</v>
      </c>
      <c r="V61" s="25" t="e">
        <f t="shared" si="60"/>
        <v>#DIV/0!</v>
      </c>
      <c r="W61" s="81">
        <v>10</v>
      </c>
      <c r="X61" s="81">
        <v>10</v>
      </c>
      <c r="Y61" s="25">
        <f t="shared" si="1"/>
        <v>100</v>
      </c>
      <c r="Z61" s="81">
        <v>10</v>
      </c>
      <c r="AA61" s="81"/>
      <c r="AB61" s="25">
        <f t="shared" si="2"/>
        <v>0</v>
      </c>
      <c r="AC61" s="81">
        <v>9</v>
      </c>
      <c r="AD61" s="81"/>
      <c r="AE61" s="25">
        <f t="shared" si="3"/>
        <v>0</v>
      </c>
      <c r="AF61" s="137">
        <f t="shared" si="43"/>
        <v>29</v>
      </c>
      <c r="AG61" s="137">
        <f t="shared" si="44"/>
        <v>10</v>
      </c>
      <c r="AH61" s="128">
        <f t="shared" si="5"/>
        <v>100</v>
      </c>
      <c r="AI61" s="90">
        <v>46113</v>
      </c>
      <c r="AJ61" s="90">
        <v>46477</v>
      </c>
      <c r="AK61" s="91" t="s">
        <v>112</v>
      </c>
      <c r="AL61" s="91" t="s">
        <v>113</v>
      </c>
      <c r="AM61" s="92" t="s">
        <v>114</v>
      </c>
      <c r="AN61" s="93">
        <v>70000000</v>
      </c>
      <c r="AO61" s="93">
        <v>70000000</v>
      </c>
      <c r="AP61" s="93">
        <v>70000000</v>
      </c>
      <c r="AQ61" s="94">
        <f>AO61</f>
        <v>70000000</v>
      </c>
      <c r="AR61" s="91" t="s">
        <v>130</v>
      </c>
      <c r="AS61" s="91" t="s">
        <v>112</v>
      </c>
      <c r="AT61" s="150" t="s">
        <v>298</v>
      </c>
      <c r="AU61" s="165" t="s">
        <v>2264</v>
      </c>
      <c r="AV61" s="232" t="s">
        <v>2234</v>
      </c>
      <c r="AW61" s="126" t="s">
        <v>2249</v>
      </c>
      <c r="BA61" s="255"/>
      <c r="BB61" s="256"/>
      <c r="BC61" s="223" t="e">
        <f t="shared" si="8"/>
        <v>#DIV/0!</v>
      </c>
      <c r="BD61" s="255"/>
      <c r="BE61" s="256"/>
      <c r="BF61" s="223" t="e">
        <f t="shared" si="9"/>
        <v>#DIV/0!</v>
      </c>
      <c r="BG61" s="255"/>
      <c r="BH61" s="256"/>
      <c r="BI61" s="223" t="e">
        <f t="shared" si="10"/>
        <v>#DIV/0!</v>
      </c>
      <c r="BJ61" s="224">
        <f t="shared" si="11"/>
        <v>0</v>
      </c>
      <c r="BK61" s="225">
        <f t="shared" si="12"/>
        <v>0</v>
      </c>
      <c r="BL61" s="223" t="e">
        <f t="shared" si="13"/>
        <v>#DIV/0!</v>
      </c>
      <c r="BM61" s="255"/>
      <c r="BN61" s="256"/>
      <c r="BO61" s="223" t="e">
        <f t="shared" si="45"/>
        <v>#DIV/0!</v>
      </c>
      <c r="BP61" s="255">
        <v>29</v>
      </c>
      <c r="BQ61" s="256">
        <v>29</v>
      </c>
      <c r="BR61" s="223">
        <f t="shared" si="46"/>
        <v>1</v>
      </c>
      <c r="BS61" s="255"/>
      <c r="BT61" s="255"/>
      <c r="BU61" s="223" t="e">
        <f t="shared" si="47"/>
        <v>#DIV/0!</v>
      </c>
      <c r="BV61" s="224">
        <f t="shared" si="17"/>
        <v>29</v>
      </c>
      <c r="BW61" s="224">
        <f t="shared" si="18"/>
        <v>29</v>
      </c>
      <c r="BX61" s="223">
        <f t="shared" si="19"/>
        <v>1</v>
      </c>
      <c r="BY61" s="223">
        <f t="shared" si="20"/>
        <v>1</v>
      </c>
      <c r="BZ61" s="223">
        <f t="shared" si="21"/>
        <v>-1</v>
      </c>
      <c r="CA61" s="226"/>
      <c r="CB61" s="175"/>
      <c r="CC61" s="191"/>
      <c r="CD61" s="192"/>
      <c r="CE61" s="193" t="e">
        <f t="shared" si="48"/>
        <v>#DIV/0!</v>
      </c>
      <c r="CF61" s="191"/>
      <c r="CG61" s="192"/>
      <c r="CH61" s="193" t="e">
        <f t="shared" si="49"/>
        <v>#DIV/0!</v>
      </c>
      <c r="CI61" s="197"/>
      <c r="CJ61" s="198"/>
      <c r="CK61" s="193" t="e">
        <f t="shared" si="50"/>
        <v>#DIV/0!</v>
      </c>
      <c r="CL61" s="195">
        <f t="shared" si="51"/>
        <v>0</v>
      </c>
      <c r="CM61" s="194">
        <f t="shared" si="52"/>
        <v>0</v>
      </c>
      <c r="CN61" s="193" t="e">
        <f t="shared" si="53"/>
        <v>#DIV/0!</v>
      </c>
      <c r="CO61" s="175"/>
      <c r="CP61" s="196">
        <f t="shared" si="54"/>
        <v>29</v>
      </c>
      <c r="CQ61" s="196">
        <f t="shared" si="55"/>
        <v>29</v>
      </c>
      <c r="CR61" s="199">
        <f t="shared" si="56"/>
        <v>1</v>
      </c>
      <c r="CS61" s="261">
        <f t="shared" si="29"/>
        <v>0</v>
      </c>
      <c r="CT61" s="175"/>
      <c r="CU61" s="196">
        <f t="shared" si="30"/>
        <v>0</v>
      </c>
      <c r="CV61" s="259"/>
      <c r="CW61" s="199" t="e">
        <f t="shared" si="31"/>
        <v>#DIV/0!</v>
      </c>
      <c r="CX61" s="196">
        <f t="shared" si="32"/>
        <v>0</v>
      </c>
      <c r="CY61" s="259"/>
      <c r="CZ61" s="199" t="e">
        <f t="shared" si="33"/>
        <v>#DIV/0!</v>
      </c>
      <c r="DA61" s="196">
        <f t="shared" si="34"/>
        <v>0</v>
      </c>
      <c r="DB61" s="259"/>
      <c r="DC61" s="199" t="e">
        <f t="shared" si="35"/>
        <v>#DIV/0!</v>
      </c>
      <c r="DD61" s="196">
        <f t="shared" si="36"/>
        <v>0</v>
      </c>
      <c r="DE61" s="259"/>
      <c r="DF61" s="199" t="e">
        <f t="shared" si="37"/>
        <v>#DIV/0!</v>
      </c>
      <c r="DG61" s="175"/>
      <c r="DH61" s="196">
        <f t="shared" si="38"/>
        <v>29</v>
      </c>
      <c r="DI61" s="196">
        <f t="shared" si="39"/>
        <v>29</v>
      </c>
      <c r="DJ61" s="199">
        <f t="shared" si="40"/>
        <v>1</v>
      </c>
      <c r="DK61" s="265">
        <f t="shared" si="41"/>
        <v>0</v>
      </c>
      <c r="DL61" s="244">
        <v>57</v>
      </c>
      <c r="DM61">
        <f t="shared" si="58"/>
        <v>0</v>
      </c>
    </row>
    <row r="62" spans="1:117" x14ac:dyDescent="0.3">
      <c r="A62" s="246">
        <v>58</v>
      </c>
      <c r="B62" s="91" t="s">
        <v>270</v>
      </c>
      <c r="C62" s="91" t="s">
        <v>133</v>
      </c>
      <c r="D62" s="91" t="s">
        <v>119</v>
      </c>
      <c r="E62" s="91" t="s">
        <v>289</v>
      </c>
      <c r="F62" s="91" t="s">
        <v>300</v>
      </c>
      <c r="G62" s="87" t="s">
        <v>290</v>
      </c>
      <c r="H62" s="87" t="s">
        <v>301</v>
      </c>
      <c r="I62" s="87" t="s">
        <v>285</v>
      </c>
      <c r="J62" s="87" t="s">
        <v>285</v>
      </c>
      <c r="K62" s="85" t="s">
        <v>104</v>
      </c>
      <c r="L62" s="85" t="s">
        <v>105</v>
      </c>
      <c r="M62" s="87" t="s">
        <v>106</v>
      </c>
      <c r="N62" s="87" t="s">
        <v>286</v>
      </c>
      <c r="O62" s="87" t="s">
        <v>293</v>
      </c>
      <c r="P62" s="241" t="s">
        <v>308</v>
      </c>
      <c r="Q62" s="87" t="s">
        <v>129</v>
      </c>
      <c r="R62" s="130">
        <v>4</v>
      </c>
      <c r="S62" s="88" t="s">
        <v>111</v>
      </c>
      <c r="T62" s="81">
        <v>0</v>
      </c>
      <c r="U62" s="81">
        <v>0</v>
      </c>
      <c r="V62" s="25" t="e">
        <f t="shared" si="60"/>
        <v>#DIV/0!</v>
      </c>
      <c r="W62" s="81">
        <v>2</v>
      </c>
      <c r="X62" s="81">
        <v>0</v>
      </c>
      <c r="Y62" s="25">
        <f t="shared" si="1"/>
        <v>0</v>
      </c>
      <c r="Z62" s="81">
        <v>2</v>
      </c>
      <c r="AA62" s="81"/>
      <c r="AB62" s="25">
        <f t="shared" si="2"/>
        <v>0</v>
      </c>
      <c r="AC62" s="81">
        <v>0</v>
      </c>
      <c r="AD62" s="81"/>
      <c r="AE62" s="25" t="e">
        <f t="shared" si="3"/>
        <v>#DIV/0!</v>
      </c>
      <c r="AF62" s="137">
        <f t="shared" si="43"/>
        <v>4</v>
      </c>
      <c r="AG62" s="137">
        <f t="shared" si="44"/>
        <v>0</v>
      </c>
      <c r="AH62" s="128">
        <f t="shared" si="5"/>
        <v>0</v>
      </c>
      <c r="AI62" s="90">
        <v>46113</v>
      </c>
      <c r="AJ62" s="90">
        <v>46477</v>
      </c>
      <c r="AK62" s="91" t="s">
        <v>112</v>
      </c>
      <c r="AL62" s="91" t="s">
        <v>113</v>
      </c>
      <c r="AM62" s="92" t="s">
        <v>114</v>
      </c>
      <c r="AN62" s="93">
        <v>80000000</v>
      </c>
      <c r="AO62" s="93">
        <v>80000000</v>
      </c>
      <c r="AP62" s="93">
        <v>80000000</v>
      </c>
      <c r="AQ62" s="94">
        <v>0</v>
      </c>
      <c r="AR62" s="91" t="s">
        <v>306</v>
      </c>
      <c r="AS62" s="91" t="s">
        <v>112</v>
      </c>
      <c r="AT62" s="150" t="s">
        <v>309</v>
      </c>
      <c r="AU62" s="165" t="s">
        <v>2264</v>
      </c>
      <c r="AV62" s="232" t="s">
        <v>2234</v>
      </c>
      <c r="BA62" s="255"/>
      <c r="BB62" s="256"/>
      <c r="BC62" s="223" t="e">
        <f t="shared" si="8"/>
        <v>#DIV/0!</v>
      </c>
      <c r="BD62" s="255"/>
      <c r="BE62" s="256"/>
      <c r="BF62" s="223" t="e">
        <f t="shared" si="9"/>
        <v>#DIV/0!</v>
      </c>
      <c r="BG62" s="255"/>
      <c r="BH62" s="256"/>
      <c r="BI62" s="223" t="e">
        <f t="shared" si="10"/>
        <v>#DIV/0!</v>
      </c>
      <c r="BJ62" s="224">
        <f t="shared" si="11"/>
        <v>0</v>
      </c>
      <c r="BK62" s="225">
        <f t="shared" si="12"/>
        <v>0</v>
      </c>
      <c r="BL62" s="223" t="e">
        <f t="shared" si="13"/>
        <v>#DIV/0!</v>
      </c>
      <c r="BM62" s="255"/>
      <c r="BN62" s="256"/>
      <c r="BO62" s="223" t="e">
        <f t="shared" si="45"/>
        <v>#DIV/0!</v>
      </c>
      <c r="BP62" s="255"/>
      <c r="BQ62" s="256"/>
      <c r="BR62" s="223" t="e">
        <f t="shared" si="46"/>
        <v>#DIV/0!</v>
      </c>
      <c r="BS62" s="255"/>
      <c r="BT62" s="255"/>
      <c r="BU62" s="223" t="e">
        <f t="shared" si="47"/>
        <v>#DIV/0!</v>
      </c>
      <c r="BV62" s="224">
        <f t="shared" si="17"/>
        <v>0</v>
      </c>
      <c r="BW62" s="224">
        <f t="shared" si="18"/>
        <v>0</v>
      </c>
      <c r="BX62" s="223" t="e">
        <f t="shared" si="19"/>
        <v>#DIV/0!</v>
      </c>
      <c r="BY62" s="223">
        <f t="shared" si="20"/>
        <v>0</v>
      </c>
      <c r="BZ62" s="223">
        <f t="shared" si="21"/>
        <v>0</v>
      </c>
      <c r="CA62" s="226"/>
      <c r="CB62" s="175"/>
      <c r="CC62" s="191"/>
      <c r="CD62" s="192"/>
      <c r="CE62" s="193" t="e">
        <f t="shared" si="48"/>
        <v>#DIV/0!</v>
      </c>
      <c r="CF62" s="191"/>
      <c r="CG62" s="192"/>
      <c r="CH62" s="193" t="e">
        <f t="shared" si="49"/>
        <v>#DIV/0!</v>
      </c>
      <c r="CI62" s="197"/>
      <c r="CJ62" s="198"/>
      <c r="CK62" s="193" t="e">
        <f t="shared" si="50"/>
        <v>#DIV/0!</v>
      </c>
      <c r="CL62" s="195">
        <f t="shared" si="51"/>
        <v>0</v>
      </c>
      <c r="CM62" s="194">
        <f t="shared" si="52"/>
        <v>0</v>
      </c>
      <c r="CN62" s="193" t="e">
        <f t="shared" si="53"/>
        <v>#DIV/0!</v>
      </c>
      <c r="CO62" s="175"/>
      <c r="CP62" s="196">
        <f t="shared" si="54"/>
        <v>0</v>
      </c>
      <c r="CQ62" s="196">
        <f t="shared" si="55"/>
        <v>0</v>
      </c>
      <c r="CR62" s="199" t="e">
        <f t="shared" si="56"/>
        <v>#DIV/0!</v>
      </c>
      <c r="CS62" s="261">
        <f t="shared" si="29"/>
        <v>4</v>
      </c>
      <c r="CT62" s="175"/>
      <c r="CU62" s="196">
        <f t="shared" si="30"/>
        <v>1.2</v>
      </c>
      <c r="CV62" s="259"/>
      <c r="CW62" s="199">
        <f t="shared" si="31"/>
        <v>0</v>
      </c>
      <c r="CX62" s="196">
        <f t="shared" si="32"/>
        <v>1.2</v>
      </c>
      <c r="CY62" s="259"/>
      <c r="CZ62" s="199">
        <f t="shared" si="33"/>
        <v>0</v>
      </c>
      <c r="DA62" s="196">
        <f t="shared" si="34"/>
        <v>1.2</v>
      </c>
      <c r="DB62" s="259"/>
      <c r="DC62" s="199">
        <f t="shared" si="35"/>
        <v>0</v>
      </c>
      <c r="DD62" s="196">
        <f t="shared" si="36"/>
        <v>0.4</v>
      </c>
      <c r="DE62" s="259"/>
      <c r="DF62" s="199">
        <f t="shared" si="37"/>
        <v>0</v>
      </c>
      <c r="DG62" s="175"/>
      <c r="DH62" s="196">
        <f t="shared" si="38"/>
        <v>4</v>
      </c>
      <c r="DI62" s="196">
        <f t="shared" si="39"/>
        <v>0</v>
      </c>
      <c r="DJ62" s="199">
        <f t="shared" si="40"/>
        <v>0</v>
      </c>
      <c r="DK62" s="265">
        <f t="shared" si="41"/>
        <v>4</v>
      </c>
      <c r="DL62" s="244">
        <v>58</v>
      </c>
      <c r="DM62">
        <f t="shared" si="58"/>
        <v>0</v>
      </c>
    </row>
    <row r="63" spans="1:117" ht="26.4" x14ac:dyDescent="0.3">
      <c r="A63" s="246">
        <v>59</v>
      </c>
      <c r="B63" s="91" t="s">
        <v>270</v>
      </c>
      <c r="C63" s="91" t="s">
        <v>118</v>
      </c>
      <c r="D63" s="91" t="s">
        <v>119</v>
      </c>
      <c r="E63" s="91" t="s">
        <v>289</v>
      </c>
      <c r="F63" s="91" t="s">
        <v>300</v>
      </c>
      <c r="G63" s="87" t="s">
        <v>290</v>
      </c>
      <c r="H63" s="87" t="s">
        <v>301</v>
      </c>
      <c r="I63" s="87" t="s">
        <v>281</v>
      </c>
      <c r="J63" s="87" t="s">
        <v>281</v>
      </c>
      <c r="K63" s="85" t="s">
        <v>104</v>
      </c>
      <c r="L63" s="85" t="s">
        <v>105</v>
      </c>
      <c r="M63" s="87" t="s">
        <v>106</v>
      </c>
      <c r="N63" s="87" t="s">
        <v>275</v>
      </c>
      <c r="O63" s="87" t="s">
        <v>293</v>
      </c>
      <c r="P63" s="229" t="s">
        <v>310</v>
      </c>
      <c r="Q63" s="87" t="s">
        <v>129</v>
      </c>
      <c r="R63" s="130">
        <v>1</v>
      </c>
      <c r="S63" s="88" t="s">
        <v>111</v>
      </c>
      <c r="T63" s="81">
        <v>1</v>
      </c>
      <c r="U63" s="81">
        <v>0</v>
      </c>
      <c r="V63" s="25">
        <f t="shared" si="60"/>
        <v>0</v>
      </c>
      <c r="W63" s="81">
        <v>0</v>
      </c>
      <c r="X63" s="81">
        <v>1</v>
      </c>
      <c r="Y63" s="25" t="e">
        <f t="shared" si="1"/>
        <v>#DIV/0!</v>
      </c>
      <c r="Z63" s="81">
        <v>1</v>
      </c>
      <c r="AA63" s="81"/>
      <c r="AB63" s="25">
        <f t="shared" si="2"/>
        <v>0</v>
      </c>
      <c r="AC63" s="81">
        <v>0</v>
      </c>
      <c r="AD63" s="81"/>
      <c r="AE63" s="25" t="e">
        <f t="shared" si="3"/>
        <v>#DIV/0!</v>
      </c>
      <c r="AF63" s="137">
        <f t="shared" si="43"/>
        <v>1</v>
      </c>
      <c r="AG63" s="137">
        <f t="shared" si="44"/>
        <v>1</v>
      </c>
      <c r="AH63" s="128">
        <f t="shared" si="5"/>
        <v>100</v>
      </c>
      <c r="AI63" s="90">
        <v>46113</v>
      </c>
      <c r="AJ63" s="90">
        <v>46477</v>
      </c>
      <c r="AK63" s="91" t="s">
        <v>112</v>
      </c>
      <c r="AL63" s="91" t="s">
        <v>113</v>
      </c>
      <c r="AM63" s="92" t="s">
        <v>114</v>
      </c>
      <c r="AN63" s="93"/>
      <c r="AO63" s="93"/>
      <c r="AP63" s="93"/>
      <c r="AQ63" s="94"/>
      <c r="AR63" s="91" t="s">
        <v>115</v>
      </c>
      <c r="AS63" s="91" t="s">
        <v>112</v>
      </c>
      <c r="AT63" s="150" t="s">
        <v>309</v>
      </c>
      <c r="AU63" s="165" t="s">
        <v>2264</v>
      </c>
      <c r="AV63" s="232" t="s">
        <v>2234</v>
      </c>
      <c r="BA63" s="255"/>
      <c r="BB63" s="256"/>
      <c r="BC63" s="223" t="e">
        <f t="shared" si="8"/>
        <v>#DIV/0!</v>
      </c>
      <c r="BD63" s="255"/>
      <c r="BE63" s="256"/>
      <c r="BF63" s="223" t="e">
        <f t="shared" si="9"/>
        <v>#DIV/0!</v>
      </c>
      <c r="BG63" s="255">
        <v>1</v>
      </c>
      <c r="BH63" s="256">
        <v>1</v>
      </c>
      <c r="BI63" s="223">
        <f t="shared" si="10"/>
        <v>1</v>
      </c>
      <c r="BJ63" s="224">
        <f t="shared" si="11"/>
        <v>1</v>
      </c>
      <c r="BK63" s="225">
        <f t="shared" si="12"/>
        <v>1</v>
      </c>
      <c r="BL63" s="223">
        <f t="shared" si="13"/>
        <v>1</v>
      </c>
      <c r="BM63" s="255">
        <v>1</v>
      </c>
      <c r="BN63" s="256">
        <v>1</v>
      </c>
      <c r="BO63" s="223">
        <f t="shared" si="45"/>
        <v>1</v>
      </c>
      <c r="BP63" s="255">
        <v>1</v>
      </c>
      <c r="BQ63" s="256">
        <v>1</v>
      </c>
      <c r="BR63" s="223">
        <f t="shared" si="46"/>
        <v>1</v>
      </c>
      <c r="BS63" s="255">
        <v>1</v>
      </c>
      <c r="BT63" s="255">
        <v>1</v>
      </c>
      <c r="BU63" s="223">
        <f t="shared" si="47"/>
        <v>1</v>
      </c>
      <c r="BV63" s="224">
        <f t="shared" si="17"/>
        <v>3</v>
      </c>
      <c r="BW63" s="224">
        <f t="shared" si="18"/>
        <v>3</v>
      </c>
      <c r="BX63" s="223">
        <f t="shared" si="19"/>
        <v>1</v>
      </c>
      <c r="BY63" s="223">
        <f t="shared" si="20"/>
        <v>4</v>
      </c>
      <c r="BZ63" s="223">
        <f t="shared" si="21"/>
        <v>-4</v>
      </c>
      <c r="CA63" s="226"/>
      <c r="CB63" s="175"/>
      <c r="CC63" s="191"/>
      <c r="CD63" s="192"/>
      <c r="CE63" s="193" t="e">
        <f t="shared" si="48"/>
        <v>#DIV/0!</v>
      </c>
      <c r="CF63" s="191"/>
      <c r="CG63" s="192"/>
      <c r="CH63" s="193" t="e">
        <f t="shared" si="49"/>
        <v>#DIV/0!</v>
      </c>
      <c r="CI63" s="197"/>
      <c r="CJ63" s="198"/>
      <c r="CK63" s="193" t="e">
        <f t="shared" si="50"/>
        <v>#DIV/0!</v>
      </c>
      <c r="CL63" s="195">
        <f t="shared" si="51"/>
        <v>0</v>
      </c>
      <c r="CM63" s="194">
        <f t="shared" si="52"/>
        <v>0</v>
      </c>
      <c r="CN63" s="193" t="e">
        <f t="shared" si="53"/>
        <v>#DIV/0!</v>
      </c>
      <c r="CO63" s="175"/>
      <c r="CP63" s="196">
        <f t="shared" si="54"/>
        <v>4</v>
      </c>
      <c r="CQ63" s="196">
        <f t="shared" si="55"/>
        <v>4</v>
      </c>
      <c r="CR63" s="199">
        <f t="shared" si="56"/>
        <v>1</v>
      </c>
      <c r="CS63" s="261">
        <f t="shared" si="29"/>
        <v>-3</v>
      </c>
      <c r="CT63" s="175"/>
      <c r="CU63" s="196">
        <f t="shared" si="30"/>
        <v>-0.89999999999999991</v>
      </c>
      <c r="CV63" s="259"/>
      <c r="CW63" s="199">
        <f t="shared" si="31"/>
        <v>0</v>
      </c>
      <c r="CX63" s="196">
        <f t="shared" si="32"/>
        <v>-0.89999999999999991</v>
      </c>
      <c r="CY63" s="259"/>
      <c r="CZ63" s="199">
        <f t="shared" si="33"/>
        <v>0</v>
      </c>
      <c r="DA63" s="196">
        <f t="shared" si="34"/>
        <v>-0.89999999999999991</v>
      </c>
      <c r="DB63" s="259"/>
      <c r="DC63" s="199">
        <f t="shared" si="35"/>
        <v>0</v>
      </c>
      <c r="DD63" s="196">
        <f t="shared" si="36"/>
        <v>-0.30000000000000004</v>
      </c>
      <c r="DE63" s="259"/>
      <c r="DF63" s="199">
        <f t="shared" si="37"/>
        <v>0</v>
      </c>
      <c r="DG63" s="175"/>
      <c r="DH63" s="196">
        <f t="shared" si="38"/>
        <v>1</v>
      </c>
      <c r="DI63" s="196">
        <f t="shared" si="39"/>
        <v>4</v>
      </c>
      <c r="DJ63" s="199">
        <f t="shared" si="40"/>
        <v>4</v>
      </c>
      <c r="DK63" s="265">
        <f t="shared" si="41"/>
        <v>-3</v>
      </c>
      <c r="DL63" s="244">
        <v>59</v>
      </c>
      <c r="DM63">
        <f t="shared" si="58"/>
        <v>0</v>
      </c>
    </row>
    <row r="64" spans="1:117" x14ac:dyDescent="0.3">
      <c r="A64" s="246">
        <v>60</v>
      </c>
      <c r="B64" s="91" t="s">
        <v>270</v>
      </c>
      <c r="C64" s="91" t="s">
        <v>118</v>
      </c>
      <c r="D64" s="91" t="s">
        <v>119</v>
      </c>
      <c r="E64" s="91" t="s">
        <v>289</v>
      </c>
      <c r="F64" s="91" t="s">
        <v>300</v>
      </c>
      <c r="G64" s="87" t="s">
        <v>290</v>
      </c>
      <c r="H64" s="87" t="s">
        <v>301</v>
      </c>
      <c r="I64" s="87" t="s">
        <v>311</v>
      </c>
      <c r="J64" s="87" t="s">
        <v>312</v>
      </c>
      <c r="K64" s="85" t="s">
        <v>104</v>
      </c>
      <c r="L64" s="85" t="s">
        <v>105</v>
      </c>
      <c r="M64" s="87" t="s">
        <v>106</v>
      </c>
      <c r="N64" s="87" t="s">
        <v>286</v>
      </c>
      <c r="O64" s="87" t="s">
        <v>293</v>
      </c>
      <c r="P64" s="87" t="s">
        <v>313</v>
      </c>
      <c r="Q64" s="87" t="s">
        <v>129</v>
      </c>
      <c r="R64" s="130">
        <v>4</v>
      </c>
      <c r="S64" s="88" t="s">
        <v>111</v>
      </c>
      <c r="T64" s="81">
        <v>1</v>
      </c>
      <c r="U64" s="81">
        <v>1</v>
      </c>
      <c r="V64" s="25">
        <f t="shared" si="60"/>
        <v>100</v>
      </c>
      <c r="W64" s="81">
        <v>1</v>
      </c>
      <c r="X64" s="81">
        <v>0</v>
      </c>
      <c r="Y64" s="25">
        <f t="shared" si="1"/>
        <v>0</v>
      </c>
      <c r="Z64" s="81">
        <v>1</v>
      </c>
      <c r="AA64" s="81"/>
      <c r="AB64" s="25">
        <f t="shared" si="2"/>
        <v>0</v>
      </c>
      <c r="AC64" s="81">
        <v>1</v>
      </c>
      <c r="AD64" s="81"/>
      <c r="AE64" s="25">
        <f t="shared" si="3"/>
        <v>0</v>
      </c>
      <c r="AF64" s="137">
        <f t="shared" si="43"/>
        <v>4</v>
      </c>
      <c r="AG64" s="137">
        <f t="shared" si="44"/>
        <v>1</v>
      </c>
      <c r="AH64" s="128">
        <f t="shared" si="5"/>
        <v>50</v>
      </c>
      <c r="AI64" s="90">
        <v>46113</v>
      </c>
      <c r="AJ64" s="90">
        <v>46477</v>
      </c>
      <c r="AK64" s="91" t="s">
        <v>112</v>
      </c>
      <c r="AL64" s="91" t="s">
        <v>113</v>
      </c>
      <c r="AM64" s="92" t="s">
        <v>114</v>
      </c>
      <c r="AN64" s="93"/>
      <c r="AO64" s="93"/>
      <c r="AP64" s="93"/>
      <c r="AQ64" s="94"/>
      <c r="AR64" s="91" t="s">
        <v>130</v>
      </c>
      <c r="AS64" s="91"/>
      <c r="AT64" s="150" t="s">
        <v>314</v>
      </c>
      <c r="AU64" s="165" t="s">
        <v>2264</v>
      </c>
      <c r="AV64" s="232" t="s">
        <v>2234</v>
      </c>
      <c r="AW64" s="126" t="s">
        <v>2250</v>
      </c>
      <c r="BA64" s="255"/>
      <c r="BB64" s="256"/>
      <c r="BC64" s="223" t="e">
        <f t="shared" si="8"/>
        <v>#DIV/0!</v>
      </c>
      <c r="BD64" s="255"/>
      <c r="BE64" s="256"/>
      <c r="BF64" s="223" t="e">
        <f t="shared" si="9"/>
        <v>#DIV/0!</v>
      </c>
      <c r="BG64" s="255">
        <v>1</v>
      </c>
      <c r="BH64" s="256">
        <v>1</v>
      </c>
      <c r="BI64" s="223">
        <f t="shared" si="10"/>
        <v>1</v>
      </c>
      <c r="BJ64" s="224">
        <f t="shared" si="11"/>
        <v>1</v>
      </c>
      <c r="BK64" s="225">
        <f t="shared" si="12"/>
        <v>1</v>
      </c>
      <c r="BL64" s="223">
        <f t="shared" si="13"/>
        <v>1</v>
      </c>
      <c r="BM64" s="255">
        <v>1</v>
      </c>
      <c r="BN64" s="256">
        <v>1</v>
      </c>
      <c r="BO64" s="223">
        <f t="shared" si="45"/>
        <v>1</v>
      </c>
      <c r="BP64" s="255"/>
      <c r="BQ64" s="256"/>
      <c r="BR64" s="223" t="e">
        <f t="shared" si="46"/>
        <v>#DIV/0!</v>
      </c>
      <c r="BS64" s="255"/>
      <c r="BT64" s="255"/>
      <c r="BU64" s="223" t="e">
        <f t="shared" si="47"/>
        <v>#DIV/0!</v>
      </c>
      <c r="BV64" s="224">
        <f t="shared" si="17"/>
        <v>1</v>
      </c>
      <c r="BW64" s="224">
        <f t="shared" si="18"/>
        <v>1</v>
      </c>
      <c r="BX64" s="223">
        <f t="shared" si="19"/>
        <v>1</v>
      </c>
      <c r="BY64" s="223">
        <f t="shared" si="20"/>
        <v>0.5</v>
      </c>
      <c r="BZ64" s="223">
        <f t="shared" si="21"/>
        <v>-0.5</v>
      </c>
      <c r="CA64" s="226"/>
      <c r="CB64" s="175"/>
      <c r="CC64" s="191"/>
      <c r="CD64" s="192"/>
      <c r="CE64" s="193" t="e">
        <f t="shared" si="48"/>
        <v>#DIV/0!</v>
      </c>
      <c r="CF64" s="191">
        <v>1</v>
      </c>
      <c r="CG64" s="192">
        <v>1</v>
      </c>
      <c r="CH64" s="193">
        <f t="shared" si="49"/>
        <v>1</v>
      </c>
      <c r="CI64" s="197"/>
      <c r="CJ64" s="198"/>
      <c r="CK64" s="193" t="e">
        <f t="shared" si="50"/>
        <v>#DIV/0!</v>
      </c>
      <c r="CL64" s="195">
        <f t="shared" si="51"/>
        <v>1</v>
      </c>
      <c r="CM64" s="194">
        <f t="shared" si="52"/>
        <v>1</v>
      </c>
      <c r="CN64" s="193">
        <f t="shared" si="53"/>
        <v>1</v>
      </c>
      <c r="CO64" s="175"/>
      <c r="CP64" s="196">
        <f t="shared" si="54"/>
        <v>3</v>
      </c>
      <c r="CQ64" s="196">
        <f t="shared" si="55"/>
        <v>3</v>
      </c>
      <c r="CR64" s="199">
        <f t="shared" si="56"/>
        <v>1</v>
      </c>
      <c r="CS64" s="261">
        <f t="shared" si="29"/>
        <v>1</v>
      </c>
      <c r="CT64" s="175"/>
      <c r="CU64" s="196">
        <f t="shared" si="30"/>
        <v>0.3</v>
      </c>
      <c r="CV64" s="259"/>
      <c r="CW64" s="199">
        <f t="shared" si="31"/>
        <v>0</v>
      </c>
      <c r="CX64" s="196">
        <f t="shared" si="32"/>
        <v>0.3</v>
      </c>
      <c r="CY64" s="259"/>
      <c r="CZ64" s="199">
        <f t="shared" si="33"/>
        <v>0</v>
      </c>
      <c r="DA64" s="196">
        <f t="shared" si="34"/>
        <v>0.3</v>
      </c>
      <c r="DB64" s="259"/>
      <c r="DC64" s="199">
        <f t="shared" si="35"/>
        <v>0</v>
      </c>
      <c r="DD64" s="196">
        <f t="shared" si="36"/>
        <v>0.1</v>
      </c>
      <c r="DE64" s="259"/>
      <c r="DF64" s="199">
        <f t="shared" si="37"/>
        <v>0</v>
      </c>
      <c r="DG64" s="175"/>
      <c r="DH64" s="196">
        <f t="shared" si="38"/>
        <v>4</v>
      </c>
      <c r="DI64" s="196">
        <f t="shared" si="39"/>
        <v>3</v>
      </c>
      <c r="DJ64" s="199">
        <f t="shared" si="40"/>
        <v>0.75</v>
      </c>
      <c r="DK64" s="265">
        <f t="shared" si="41"/>
        <v>1</v>
      </c>
      <c r="DL64" s="244">
        <v>60</v>
      </c>
      <c r="DM64">
        <f t="shared" si="58"/>
        <v>0</v>
      </c>
    </row>
    <row r="65" spans="1:117" x14ac:dyDescent="0.3">
      <c r="A65" s="246">
        <v>61</v>
      </c>
      <c r="B65" s="91" t="s">
        <v>270</v>
      </c>
      <c r="C65" s="91" t="s">
        <v>97</v>
      </c>
      <c r="D65" s="91" t="s">
        <v>98</v>
      </c>
      <c r="E65" s="91" t="s">
        <v>315</v>
      </c>
      <c r="F65" s="91" t="s">
        <v>316</v>
      </c>
      <c r="G65" s="87" t="s">
        <v>317</v>
      </c>
      <c r="H65" s="87" t="s">
        <v>301</v>
      </c>
      <c r="I65" s="87" t="s">
        <v>318</v>
      </c>
      <c r="J65" s="87" t="s">
        <v>318</v>
      </c>
      <c r="K65" s="85" t="s">
        <v>104</v>
      </c>
      <c r="L65" s="85" t="s">
        <v>105</v>
      </c>
      <c r="M65" s="87" t="s">
        <v>106</v>
      </c>
      <c r="N65" s="87" t="s">
        <v>319</v>
      </c>
      <c r="O65" s="87" t="s">
        <v>108</v>
      </c>
      <c r="P65" s="87" t="s">
        <v>320</v>
      </c>
      <c r="Q65" s="87" t="s">
        <v>110</v>
      </c>
      <c r="R65" s="130">
        <v>29</v>
      </c>
      <c r="S65" s="88" t="s">
        <v>111</v>
      </c>
      <c r="T65" s="81">
        <v>5</v>
      </c>
      <c r="U65" s="81">
        <v>0</v>
      </c>
      <c r="V65" s="25">
        <f t="shared" si="60"/>
        <v>0</v>
      </c>
      <c r="W65" s="81">
        <v>10</v>
      </c>
      <c r="X65" s="81">
        <v>0</v>
      </c>
      <c r="Y65" s="25">
        <f t="shared" si="1"/>
        <v>0</v>
      </c>
      <c r="Z65" s="81">
        <v>10</v>
      </c>
      <c r="AA65" s="81"/>
      <c r="AB65" s="25">
        <f t="shared" si="2"/>
        <v>0</v>
      </c>
      <c r="AC65" s="81">
        <v>4</v>
      </c>
      <c r="AD65" s="81"/>
      <c r="AE65" s="25">
        <f t="shared" si="3"/>
        <v>0</v>
      </c>
      <c r="AF65" s="137">
        <f t="shared" si="43"/>
        <v>29</v>
      </c>
      <c r="AG65" s="137">
        <f t="shared" si="44"/>
        <v>0</v>
      </c>
      <c r="AH65" s="128">
        <f t="shared" si="5"/>
        <v>0</v>
      </c>
      <c r="AI65" s="90">
        <v>46113</v>
      </c>
      <c r="AJ65" s="90">
        <v>46477</v>
      </c>
      <c r="AK65" s="91" t="s">
        <v>112</v>
      </c>
      <c r="AL65" s="91" t="s">
        <v>113</v>
      </c>
      <c r="AM65" s="92" t="s">
        <v>114</v>
      </c>
      <c r="AN65" s="93">
        <v>100000000</v>
      </c>
      <c r="AO65" s="93">
        <v>100000000</v>
      </c>
      <c r="AP65" s="93">
        <v>100000000</v>
      </c>
      <c r="AQ65" s="94">
        <v>0</v>
      </c>
      <c r="AR65" s="91" t="s">
        <v>130</v>
      </c>
      <c r="AS65" s="91" t="s">
        <v>112</v>
      </c>
      <c r="AT65" s="150" t="s">
        <v>298</v>
      </c>
      <c r="AU65" s="165" t="s">
        <v>2264</v>
      </c>
      <c r="AV65" s="232" t="s">
        <v>2234</v>
      </c>
      <c r="AW65" s="126" t="s">
        <v>2249</v>
      </c>
      <c r="BA65" s="255"/>
      <c r="BB65" s="256"/>
      <c r="BC65" s="223" t="e">
        <f t="shared" si="8"/>
        <v>#DIV/0!</v>
      </c>
      <c r="BD65" s="255"/>
      <c r="BE65" s="256"/>
      <c r="BF65" s="223" t="e">
        <f t="shared" si="9"/>
        <v>#DIV/0!</v>
      </c>
      <c r="BG65" s="255"/>
      <c r="BH65" s="256"/>
      <c r="BI65" s="223" t="e">
        <f t="shared" si="10"/>
        <v>#DIV/0!</v>
      </c>
      <c r="BJ65" s="224">
        <f t="shared" si="11"/>
        <v>0</v>
      </c>
      <c r="BK65" s="225">
        <f t="shared" si="12"/>
        <v>0</v>
      </c>
      <c r="BL65" s="223" t="e">
        <f t="shared" si="13"/>
        <v>#DIV/0!</v>
      </c>
      <c r="BM65" s="255">
        <v>10</v>
      </c>
      <c r="BN65" s="256"/>
      <c r="BO65" s="223">
        <f t="shared" si="45"/>
        <v>0</v>
      </c>
      <c r="BP65" s="255">
        <v>9</v>
      </c>
      <c r="BQ65" s="256">
        <v>9</v>
      </c>
      <c r="BR65" s="223">
        <f t="shared" si="46"/>
        <v>1</v>
      </c>
      <c r="BS65" s="255">
        <v>10</v>
      </c>
      <c r="BT65" s="255">
        <v>5</v>
      </c>
      <c r="BU65" s="223">
        <f t="shared" si="47"/>
        <v>0.5</v>
      </c>
      <c r="BV65" s="224">
        <f t="shared" si="17"/>
        <v>29</v>
      </c>
      <c r="BW65" s="224">
        <f t="shared" si="18"/>
        <v>14</v>
      </c>
      <c r="BX65" s="223">
        <f t="shared" si="19"/>
        <v>0.48275862068965519</v>
      </c>
      <c r="BY65" s="223">
        <f t="shared" si="20"/>
        <v>0.48275862068965519</v>
      </c>
      <c r="BZ65" s="223">
        <f t="shared" si="21"/>
        <v>-0.48275862068965519</v>
      </c>
      <c r="CA65" s="226"/>
      <c r="CB65" s="175"/>
      <c r="CC65" s="191">
        <v>10</v>
      </c>
      <c r="CD65" s="192">
        <v>4</v>
      </c>
      <c r="CE65" s="193">
        <f t="shared" si="48"/>
        <v>0.4</v>
      </c>
      <c r="CF65" s="191">
        <v>9</v>
      </c>
      <c r="CG65" s="192">
        <v>1</v>
      </c>
      <c r="CH65" s="193">
        <f t="shared" si="49"/>
        <v>0.1111111111111111</v>
      </c>
      <c r="CI65" s="197"/>
      <c r="CJ65" s="198"/>
      <c r="CK65" s="193" t="e">
        <f t="shared" si="50"/>
        <v>#DIV/0!</v>
      </c>
      <c r="CL65" s="195">
        <f t="shared" si="51"/>
        <v>19</v>
      </c>
      <c r="CM65" s="194">
        <f t="shared" si="52"/>
        <v>5</v>
      </c>
      <c r="CN65" s="193">
        <f t="shared" si="53"/>
        <v>0.26315789473684209</v>
      </c>
      <c r="CO65" s="175"/>
      <c r="CP65" s="196">
        <f t="shared" si="54"/>
        <v>48</v>
      </c>
      <c r="CQ65" s="196">
        <f t="shared" si="55"/>
        <v>19</v>
      </c>
      <c r="CR65" s="199">
        <f t="shared" si="56"/>
        <v>0.39583333333333331</v>
      </c>
      <c r="CS65" s="261">
        <f t="shared" si="29"/>
        <v>10</v>
      </c>
      <c r="CT65" s="175"/>
      <c r="CU65" s="196">
        <f t="shared" si="30"/>
        <v>3</v>
      </c>
      <c r="CV65" s="259"/>
      <c r="CW65" s="199">
        <f t="shared" si="31"/>
        <v>0</v>
      </c>
      <c r="CX65" s="196">
        <f t="shared" si="32"/>
        <v>3</v>
      </c>
      <c r="CY65" s="259"/>
      <c r="CZ65" s="199">
        <f t="shared" si="33"/>
        <v>0</v>
      </c>
      <c r="DA65" s="196">
        <f t="shared" si="34"/>
        <v>3</v>
      </c>
      <c r="DB65" s="259"/>
      <c r="DC65" s="199">
        <f t="shared" si="35"/>
        <v>0</v>
      </c>
      <c r="DD65" s="196">
        <f t="shared" si="36"/>
        <v>1</v>
      </c>
      <c r="DE65" s="259"/>
      <c r="DF65" s="199">
        <f t="shared" si="37"/>
        <v>0</v>
      </c>
      <c r="DG65" s="175"/>
      <c r="DH65" s="196">
        <f t="shared" si="38"/>
        <v>29</v>
      </c>
      <c r="DI65" s="196">
        <f t="shared" si="39"/>
        <v>19</v>
      </c>
      <c r="DJ65" s="199">
        <f t="shared" si="40"/>
        <v>0.65517241379310343</v>
      </c>
      <c r="DK65" s="265">
        <f t="shared" si="41"/>
        <v>10</v>
      </c>
      <c r="DL65" s="244">
        <v>61</v>
      </c>
      <c r="DM65">
        <f t="shared" si="58"/>
        <v>0</v>
      </c>
    </row>
    <row r="66" spans="1:117" x14ac:dyDescent="0.3">
      <c r="A66" s="246">
        <v>62</v>
      </c>
      <c r="B66" s="91" t="s">
        <v>270</v>
      </c>
      <c r="C66" s="91" t="s">
        <v>97</v>
      </c>
      <c r="D66" s="91" t="s">
        <v>98</v>
      </c>
      <c r="E66" s="91" t="s">
        <v>315</v>
      </c>
      <c r="F66" s="91" t="s">
        <v>321</v>
      </c>
      <c r="G66" s="87" t="s">
        <v>317</v>
      </c>
      <c r="H66" s="87" t="s">
        <v>301</v>
      </c>
      <c r="I66" s="87" t="s">
        <v>318</v>
      </c>
      <c r="J66" s="87" t="s">
        <v>318</v>
      </c>
      <c r="K66" s="85" t="s">
        <v>104</v>
      </c>
      <c r="L66" s="85" t="s">
        <v>105</v>
      </c>
      <c r="M66" s="87" t="s">
        <v>106</v>
      </c>
      <c r="N66" s="87" t="s">
        <v>319</v>
      </c>
      <c r="O66" s="87" t="s">
        <v>108</v>
      </c>
      <c r="P66" s="87" t="s">
        <v>322</v>
      </c>
      <c r="Q66" s="87" t="s">
        <v>110</v>
      </c>
      <c r="R66" s="130">
        <v>29</v>
      </c>
      <c r="S66" s="88" t="s">
        <v>111</v>
      </c>
      <c r="T66" s="81">
        <v>5</v>
      </c>
      <c r="U66" s="81">
        <v>0</v>
      </c>
      <c r="V66" s="25">
        <f t="shared" si="60"/>
        <v>0</v>
      </c>
      <c r="W66" s="81">
        <v>10</v>
      </c>
      <c r="X66" s="81">
        <v>0</v>
      </c>
      <c r="Y66" s="25">
        <f t="shared" si="1"/>
        <v>0</v>
      </c>
      <c r="Z66" s="81">
        <v>10</v>
      </c>
      <c r="AA66" s="81"/>
      <c r="AB66" s="25">
        <f t="shared" si="2"/>
        <v>0</v>
      </c>
      <c r="AC66" s="81">
        <v>4</v>
      </c>
      <c r="AD66" s="81"/>
      <c r="AE66" s="25">
        <f t="shared" si="3"/>
        <v>0</v>
      </c>
      <c r="AF66" s="137">
        <f t="shared" si="43"/>
        <v>29</v>
      </c>
      <c r="AG66" s="137">
        <f t="shared" si="44"/>
        <v>0</v>
      </c>
      <c r="AH66" s="128">
        <f t="shared" si="5"/>
        <v>0</v>
      </c>
      <c r="AI66" s="90">
        <v>46113</v>
      </c>
      <c r="AJ66" s="90">
        <v>46477</v>
      </c>
      <c r="AK66" s="91" t="s">
        <v>112</v>
      </c>
      <c r="AL66" s="91" t="s">
        <v>113</v>
      </c>
      <c r="AM66" s="92" t="s">
        <v>114</v>
      </c>
      <c r="AN66" s="93">
        <v>110000000</v>
      </c>
      <c r="AO66" s="93">
        <v>110000000</v>
      </c>
      <c r="AP66" s="93">
        <v>110000000</v>
      </c>
      <c r="AQ66" s="94">
        <v>0</v>
      </c>
      <c r="AR66" s="91" t="s">
        <v>130</v>
      </c>
      <c r="AS66" s="91" t="s">
        <v>112</v>
      </c>
      <c r="AT66" s="150" t="s">
        <v>298</v>
      </c>
      <c r="AU66" s="165" t="s">
        <v>2264</v>
      </c>
      <c r="AV66" s="232" t="s">
        <v>2234</v>
      </c>
      <c r="AW66" s="126" t="s">
        <v>2249</v>
      </c>
      <c r="BA66" s="255"/>
      <c r="BB66" s="256"/>
      <c r="BC66" s="223" t="e">
        <f t="shared" si="8"/>
        <v>#DIV/0!</v>
      </c>
      <c r="BD66" s="255"/>
      <c r="BE66" s="256"/>
      <c r="BF66" s="223" t="e">
        <f t="shared" si="9"/>
        <v>#DIV/0!</v>
      </c>
      <c r="BG66" s="255"/>
      <c r="BH66" s="256"/>
      <c r="BI66" s="223" t="e">
        <f t="shared" si="10"/>
        <v>#DIV/0!</v>
      </c>
      <c r="BJ66" s="224">
        <f t="shared" si="11"/>
        <v>0</v>
      </c>
      <c r="BK66" s="225">
        <f t="shared" si="12"/>
        <v>0</v>
      </c>
      <c r="BL66" s="223" t="e">
        <f t="shared" si="13"/>
        <v>#DIV/0!</v>
      </c>
      <c r="BM66" s="255">
        <v>10</v>
      </c>
      <c r="BN66" s="256">
        <v>1</v>
      </c>
      <c r="BO66" s="223">
        <f t="shared" si="45"/>
        <v>0.1</v>
      </c>
      <c r="BP66" s="255">
        <v>9</v>
      </c>
      <c r="BQ66" s="256">
        <v>3</v>
      </c>
      <c r="BR66" s="223">
        <f t="shared" si="46"/>
        <v>0.33333333333333331</v>
      </c>
      <c r="BS66" s="255">
        <v>10</v>
      </c>
      <c r="BT66" s="255">
        <v>2</v>
      </c>
      <c r="BU66" s="223">
        <f t="shared" si="47"/>
        <v>0.2</v>
      </c>
      <c r="BV66" s="224">
        <f t="shared" si="17"/>
        <v>29</v>
      </c>
      <c r="BW66" s="224">
        <f t="shared" si="18"/>
        <v>6</v>
      </c>
      <c r="BX66" s="223">
        <f t="shared" si="19"/>
        <v>0.20689655172413793</v>
      </c>
      <c r="BY66" s="223">
        <f t="shared" si="20"/>
        <v>0.20689655172413793</v>
      </c>
      <c r="BZ66" s="223">
        <f t="shared" si="21"/>
        <v>-0.20689655172413793</v>
      </c>
      <c r="CA66" s="226"/>
      <c r="CB66" s="175"/>
      <c r="CC66" s="191">
        <v>10</v>
      </c>
      <c r="CD66" s="192">
        <v>3</v>
      </c>
      <c r="CE66" s="193">
        <f t="shared" si="48"/>
        <v>0.3</v>
      </c>
      <c r="CF66" s="191">
        <v>9</v>
      </c>
      <c r="CG66" s="192">
        <v>1</v>
      </c>
      <c r="CH66" s="193">
        <f t="shared" si="49"/>
        <v>0.1111111111111111</v>
      </c>
      <c r="CI66" s="197"/>
      <c r="CJ66" s="198"/>
      <c r="CK66" s="193" t="e">
        <f t="shared" si="50"/>
        <v>#DIV/0!</v>
      </c>
      <c r="CL66" s="195">
        <f t="shared" si="51"/>
        <v>19</v>
      </c>
      <c r="CM66" s="194">
        <f t="shared" si="52"/>
        <v>4</v>
      </c>
      <c r="CN66" s="193">
        <f t="shared" si="53"/>
        <v>0.21052631578947367</v>
      </c>
      <c r="CO66" s="175"/>
      <c r="CP66" s="196">
        <f t="shared" si="54"/>
        <v>48</v>
      </c>
      <c r="CQ66" s="196">
        <f t="shared" si="55"/>
        <v>10</v>
      </c>
      <c r="CR66" s="199">
        <f t="shared" si="56"/>
        <v>0.20833333333333334</v>
      </c>
      <c r="CS66" s="261">
        <f t="shared" si="29"/>
        <v>19</v>
      </c>
      <c r="CT66" s="175"/>
      <c r="CU66" s="196">
        <f t="shared" si="30"/>
        <v>5.7</v>
      </c>
      <c r="CV66" s="259"/>
      <c r="CW66" s="199">
        <f t="shared" si="31"/>
        <v>0</v>
      </c>
      <c r="CX66" s="196">
        <f t="shared" si="32"/>
        <v>5.7</v>
      </c>
      <c r="CY66" s="259"/>
      <c r="CZ66" s="199">
        <f t="shared" si="33"/>
        <v>0</v>
      </c>
      <c r="DA66" s="196">
        <f t="shared" si="34"/>
        <v>5.7</v>
      </c>
      <c r="DB66" s="259"/>
      <c r="DC66" s="199">
        <f t="shared" si="35"/>
        <v>0</v>
      </c>
      <c r="DD66" s="196">
        <f t="shared" si="36"/>
        <v>1.9000000000000001</v>
      </c>
      <c r="DE66" s="259"/>
      <c r="DF66" s="199">
        <f t="shared" si="37"/>
        <v>0</v>
      </c>
      <c r="DG66" s="175"/>
      <c r="DH66" s="196">
        <f t="shared" si="38"/>
        <v>29</v>
      </c>
      <c r="DI66" s="196">
        <f t="shared" si="39"/>
        <v>10</v>
      </c>
      <c r="DJ66" s="199">
        <f t="shared" si="40"/>
        <v>0.34482758620689657</v>
      </c>
      <c r="DK66" s="265">
        <f t="shared" si="41"/>
        <v>19</v>
      </c>
      <c r="DL66" s="244">
        <v>62</v>
      </c>
      <c r="DM66">
        <f t="shared" si="58"/>
        <v>0</v>
      </c>
    </row>
    <row r="67" spans="1:117" x14ac:dyDescent="0.3">
      <c r="A67" s="246">
        <v>63</v>
      </c>
      <c r="B67" s="91" t="s">
        <v>270</v>
      </c>
      <c r="C67" s="91" t="s">
        <v>195</v>
      </c>
      <c r="D67" s="91" t="s">
        <v>196</v>
      </c>
      <c r="E67" s="91" t="s">
        <v>278</v>
      </c>
      <c r="F67" s="91" t="s">
        <v>321</v>
      </c>
      <c r="G67" s="87" t="s">
        <v>317</v>
      </c>
      <c r="H67" s="87" t="s">
        <v>323</v>
      </c>
      <c r="I67" s="87" t="s">
        <v>324</v>
      </c>
      <c r="J67" s="87" t="s">
        <v>324</v>
      </c>
      <c r="K67" s="85" t="s">
        <v>104</v>
      </c>
      <c r="L67" s="85" t="s">
        <v>105</v>
      </c>
      <c r="M67" s="87" t="s">
        <v>106</v>
      </c>
      <c r="N67" s="87" t="s">
        <v>325</v>
      </c>
      <c r="O67" s="87" t="s">
        <v>108</v>
      </c>
      <c r="P67" s="87" t="s">
        <v>326</v>
      </c>
      <c r="Q67" s="87" t="s">
        <v>110</v>
      </c>
      <c r="R67" s="130">
        <v>4</v>
      </c>
      <c r="S67" s="88" t="s">
        <v>111</v>
      </c>
      <c r="T67" s="81">
        <v>1</v>
      </c>
      <c r="U67" s="81">
        <v>0</v>
      </c>
      <c r="V67" s="25">
        <v>0</v>
      </c>
      <c r="W67" s="81">
        <v>1</v>
      </c>
      <c r="X67" s="81">
        <v>0</v>
      </c>
      <c r="Y67" s="25">
        <f t="shared" si="1"/>
        <v>0</v>
      </c>
      <c r="Z67" s="81">
        <v>1</v>
      </c>
      <c r="AA67" s="81"/>
      <c r="AB67" s="25">
        <f t="shared" si="2"/>
        <v>0</v>
      </c>
      <c r="AC67" s="81">
        <v>1</v>
      </c>
      <c r="AD67" s="81"/>
      <c r="AE67" s="25">
        <f t="shared" si="3"/>
        <v>0</v>
      </c>
      <c r="AF67" s="137">
        <f t="shared" si="43"/>
        <v>4</v>
      </c>
      <c r="AG67" s="137">
        <f t="shared" si="44"/>
        <v>0</v>
      </c>
      <c r="AH67" s="128">
        <f t="shared" si="5"/>
        <v>0</v>
      </c>
      <c r="AI67" s="90">
        <v>46113</v>
      </c>
      <c r="AJ67" s="90">
        <v>46477</v>
      </c>
      <c r="AK67" s="91" t="s">
        <v>112</v>
      </c>
      <c r="AL67" s="91" t="s">
        <v>113</v>
      </c>
      <c r="AM67" s="92" t="s">
        <v>114</v>
      </c>
      <c r="AN67" s="93">
        <v>80000000</v>
      </c>
      <c r="AO67" s="93">
        <v>80000000</v>
      </c>
      <c r="AP67" s="93">
        <v>80000000</v>
      </c>
      <c r="AQ67" s="94">
        <v>0</v>
      </c>
      <c r="AR67" s="91" t="s">
        <v>130</v>
      </c>
      <c r="AS67" s="91" t="s">
        <v>112</v>
      </c>
      <c r="AT67" s="150" t="s">
        <v>309</v>
      </c>
      <c r="AU67" s="165" t="s">
        <v>2264</v>
      </c>
      <c r="AV67" s="232" t="s">
        <v>2234</v>
      </c>
      <c r="BA67" s="255"/>
      <c r="BB67" s="256"/>
      <c r="BC67" s="223" t="e">
        <f t="shared" si="8"/>
        <v>#DIV/0!</v>
      </c>
      <c r="BD67" s="255"/>
      <c r="BE67" s="256"/>
      <c r="BF67" s="223" t="e">
        <f t="shared" si="9"/>
        <v>#DIV/0!</v>
      </c>
      <c r="BG67" s="255"/>
      <c r="BH67" s="256"/>
      <c r="BI67" s="223" t="e">
        <f t="shared" si="10"/>
        <v>#DIV/0!</v>
      </c>
      <c r="BJ67" s="224">
        <f t="shared" si="11"/>
        <v>0</v>
      </c>
      <c r="BK67" s="225">
        <f t="shared" si="12"/>
        <v>0</v>
      </c>
      <c r="BL67" s="223" t="e">
        <f t="shared" si="13"/>
        <v>#DIV/0!</v>
      </c>
      <c r="BM67" s="255"/>
      <c r="BN67" s="256"/>
      <c r="BO67" s="223" t="e">
        <f t="shared" si="45"/>
        <v>#DIV/0!</v>
      </c>
      <c r="BP67" s="255"/>
      <c r="BQ67" s="256"/>
      <c r="BR67" s="223" t="e">
        <f t="shared" si="46"/>
        <v>#DIV/0!</v>
      </c>
      <c r="BS67" s="255"/>
      <c r="BT67" s="255"/>
      <c r="BU67" s="223" t="e">
        <f t="shared" si="47"/>
        <v>#DIV/0!</v>
      </c>
      <c r="BV67" s="224">
        <f t="shared" si="17"/>
        <v>0</v>
      </c>
      <c r="BW67" s="224">
        <f t="shared" si="18"/>
        <v>0</v>
      </c>
      <c r="BX67" s="223" t="e">
        <f t="shared" si="19"/>
        <v>#DIV/0!</v>
      </c>
      <c r="BY67" s="223">
        <f t="shared" si="20"/>
        <v>0</v>
      </c>
      <c r="BZ67" s="223">
        <f t="shared" si="21"/>
        <v>0</v>
      </c>
      <c r="CA67" s="226"/>
      <c r="CB67" s="175"/>
      <c r="CC67" s="191"/>
      <c r="CD67" s="192"/>
      <c r="CE67" s="193" t="e">
        <f t="shared" si="48"/>
        <v>#DIV/0!</v>
      </c>
      <c r="CF67" s="191"/>
      <c r="CG67" s="192"/>
      <c r="CH67" s="193" t="e">
        <f t="shared" si="49"/>
        <v>#DIV/0!</v>
      </c>
      <c r="CI67" s="197"/>
      <c r="CJ67" s="198"/>
      <c r="CK67" s="193" t="e">
        <f t="shared" si="50"/>
        <v>#DIV/0!</v>
      </c>
      <c r="CL67" s="195">
        <f t="shared" si="51"/>
        <v>0</v>
      </c>
      <c r="CM67" s="194">
        <f t="shared" si="52"/>
        <v>0</v>
      </c>
      <c r="CN67" s="193" t="e">
        <f t="shared" si="53"/>
        <v>#DIV/0!</v>
      </c>
      <c r="CO67" s="175"/>
      <c r="CP67" s="196">
        <f t="shared" si="54"/>
        <v>0</v>
      </c>
      <c r="CQ67" s="196">
        <f t="shared" si="55"/>
        <v>0</v>
      </c>
      <c r="CR67" s="199" t="e">
        <f t="shared" si="56"/>
        <v>#DIV/0!</v>
      </c>
      <c r="CS67" s="261">
        <f t="shared" si="29"/>
        <v>4</v>
      </c>
      <c r="CT67" s="175"/>
      <c r="CU67" s="196">
        <f t="shared" si="30"/>
        <v>1.2</v>
      </c>
      <c r="CV67" s="259"/>
      <c r="CW67" s="199">
        <f t="shared" si="31"/>
        <v>0</v>
      </c>
      <c r="CX67" s="196">
        <f t="shared" si="32"/>
        <v>1.2</v>
      </c>
      <c r="CY67" s="259"/>
      <c r="CZ67" s="199">
        <f t="shared" si="33"/>
        <v>0</v>
      </c>
      <c r="DA67" s="196">
        <f t="shared" si="34"/>
        <v>1.2</v>
      </c>
      <c r="DB67" s="259"/>
      <c r="DC67" s="199">
        <f t="shared" si="35"/>
        <v>0</v>
      </c>
      <c r="DD67" s="196">
        <f t="shared" si="36"/>
        <v>0.4</v>
      </c>
      <c r="DE67" s="259"/>
      <c r="DF67" s="199">
        <f t="shared" si="37"/>
        <v>0</v>
      </c>
      <c r="DG67" s="175"/>
      <c r="DH67" s="196">
        <f t="shared" si="38"/>
        <v>4</v>
      </c>
      <c r="DI67" s="196">
        <f t="shared" si="39"/>
        <v>0</v>
      </c>
      <c r="DJ67" s="199">
        <f t="shared" si="40"/>
        <v>0</v>
      </c>
      <c r="DK67" s="265">
        <f t="shared" si="41"/>
        <v>4</v>
      </c>
      <c r="DL67" s="244">
        <v>63</v>
      </c>
      <c r="DM67">
        <f t="shared" si="58"/>
        <v>0</v>
      </c>
    </row>
    <row r="68" spans="1:117" x14ac:dyDescent="0.3">
      <c r="A68" s="246">
        <v>64</v>
      </c>
      <c r="B68" s="91" t="s">
        <v>270</v>
      </c>
      <c r="C68" s="91" t="s">
        <v>195</v>
      </c>
      <c r="D68" s="91" t="s">
        <v>196</v>
      </c>
      <c r="E68" s="91" t="s">
        <v>278</v>
      </c>
      <c r="F68" s="91" t="s">
        <v>321</v>
      </c>
      <c r="G68" s="87" t="s">
        <v>317</v>
      </c>
      <c r="H68" s="87" t="s">
        <v>323</v>
      </c>
      <c r="I68" s="87" t="s">
        <v>312</v>
      </c>
      <c r="J68" s="87" t="s">
        <v>312</v>
      </c>
      <c r="K68" s="85" t="s">
        <v>104</v>
      </c>
      <c r="L68" s="85" t="s">
        <v>105</v>
      </c>
      <c r="M68" s="87" t="s">
        <v>106</v>
      </c>
      <c r="N68" s="87" t="s">
        <v>325</v>
      </c>
      <c r="O68" s="87" t="s">
        <v>108</v>
      </c>
      <c r="P68" s="87" t="s">
        <v>327</v>
      </c>
      <c r="Q68" s="87" t="s">
        <v>110</v>
      </c>
      <c r="R68" s="130">
        <v>4</v>
      </c>
      <c r="S68" s="88" t="s">
        <v>111</v>
      </c>
      <c r="T68" s="81">
        <v>1</v>
      </c>
      <c r="U68" s="81">
        <v>0</v>
      </c>
      <c r="V68" s="25">
        <v>0</v>
      </c>
      <c r="W68" s="81">
        <v>1</v>
      </c>
      <c r="X68" s="81">
        <v>0</v>
      </c>
      <c r="Y68" s="25">
        <f t="shared" si="1"/>
        <v>0</v>
      </c>
      <c r="Z68" s="81">
        <v>1</v>
      </c>
      <c r="AA68" s="81"/>
      <c r="AB68" s="25">
        <f t="shared" si="2"/>
        <v>0</v>
      </c>
      <c r="AC68" s="81">
        <v>1</v>
      </c>
      <c r="AD68" s="81"/>
      <c r="AE68" s="25">
        <f t="shared" si="3"/>
        <v>0</v>
      </c>
      <c r="AF68" s="137">
        <f t="shared" si="43"/>
        <v>4</v>
      </c>
      <c r="AG68" s="137">
        <f t="shared" si="44"/>
        <v>0</v>
      </c>
      <c r="AH68" s="128">
        <f t="shared" si="5"/>
        <v>0</v>
      </c>
      <c r="AI68" s="90">
        <v>46113</v>
      </c>
      <c r="AJ68" s="90">
        <v>46477</v>
      </c>
      <c r="AK68" s="91" t="s">
        <v>112</v>
      </c>
      <c r="AL68" s="91" t="s">
        <v>113</v>
      </c>
      <c r="AM68" s="92" t="s">
        <v>114</v>
      </c>
      <c r="AN68" s="93">
        <v>80000000</v>
      </c>
      <c r="AO68" s="93">
        <v>80000000</v>
      </c>
      <c r="AP68" s="93">
        <v>80000000</v>
      </c>
      <c r="AQ68" s="94">
        <v>0</v>
      </c>
      <c r="AR68" s="91" t="s">
        <v>115</v>
      </c>
      <c r="AS68" s="91" t="s">
        <v>112</v>
      </c>
      <c r="AT68" s="150" t="s">
        <v>2227</v>
      </c>
      <c r="AU68" s="165" t="s">
        <v>2264</v>
      </c>
      <c r="AV68" s="232" t="s">
        <v>2234</v>
      </c>
      <c r="AW68" s="126" t="s">
        <v>2250</v>
      </c>
      <c r="BA68" s="255"/>
      <c r="BB68" s="256"/>
      <c r="BC68" s="223" t="e">
        <f t="shared" si="8"/>
        <v>#DIV/0!</v>
      </c>
      <c r="BD68" s="255"/>
      <c r="BE68" s="256"/>
      <c r="BF68" s="223" t="e">
        <f t="shared" si="9"/>
        <v>#DIV/0!</v>
      </c>
      <c r="BG68" s="255"/>
      <c r="BH68" s="256"/>
      <c r="BI68" s="223" t="e">
        <f t="shared" si="10"/>
        <v>#DIV/0!</v>
      </c>
      <c r="BJ68" s="224">
        <f t="shared" si="11"/>
        <v>0</v>
      </c>
      <c r="BK68" s="225">
        <f t="shared" si="12"/>
        <v>0</v>
      </c>
      <c r="BL68" s="223" t="e">
        <f t="shared" si="13"/>
        <v>#DIV/0!</v>
      </c>
      <c r="BM68" s="255"/>
      <c r="BN68" s="256"/>
      <c r="BO68" s="223" t="e">
        <f t="shared" si="45"/>
        <v>#DIV/0!</v>
      </c>
      <c r="BP68" s="255"/>
      <c r="BQ68" s="256"/>
      <c r="BR68" s="223" t="e">
        <f t="shared" si="46"/>
        <v>#DIV/0!</v>
      </c>
      <c r="BS68" s="255"/>
      <c r="BT68" s="255"/>
      <c r="BU68" s="223" t="e">
        <f t="shared" si="47"/>
        <v>#DIV/0!</v>
      </c>
      <c r="BV68" s="224">
        <f t="shared" si="17"/>
        <v>0</v>
      </c>
      <c r="BW68" s="224">
        <f t="shared" si="18"/>
        <v>0</v>
      </c>
      <c r="BX68" s="223" t="e">
        <f t="shared" si="19"/>
        <v>#DIV/0!</v>
      </c>
      <c r="BY68" s="223">
        <f t="shared" si="20"/>
        <v>0</v>
      </c>
      <c r="BZ68" s="223">
        <f t="shared" si="21"/>
        <v>0</v>
      </c>
      <c r="CA68" s="226"/>
      <c r="CB68" s="175"/>
      <c r="CC68" s="191"/>
      <c r="CD68" s="192"/>
      <c r="CE68" s="193" t="e">
        <f t="shared" si="48"/>
        <v>#DIV/0!</v>
      </c>
      <c r="CF68" s="191"/>
      <c r="CG68" s="192"/>
      <c r="CH68" s="193" t="e">
        <f t="shared" si="49"/>
        <v>#DIV/0!</v>
      </c>
      <c r="CI68" s="197"/>
      <c r="CJ68" s="198"/>
      <c r="CK68" s="193" t="e">
        <f t="shared" si="50"/>
        <v>#DIV/0!</v>
      </c>
      <c r="CL68" s="195">
        <f t="shared" si="51"/>
        <v>0</v>
      </c>
      <c r="CM68" s="194">
        <f t="shared" si="52"/>
        <v>0</v>
      </c>
      <c r="CN68" s="193" t="e">
        <f t="shared" si="53"/>
        <v>#DIV/0!</v>
      </c>
      <c r="CO68" s="175"/>
      <c r="CP68" s="196">
        <f t="shared" si="54"/>
        <v>0</v>
      </c>
      <c r="CQ68" s="196">
        <f t="shared" si="55"/>
        <v>0</v>
      </c>
      <c r="CR68" s="199" t="e">
        <f t="shared" si="56"/>
        <v>#DIV/0!</v>
      </c>
      <c r="CS68" s="261">
        <f t="shared" si="29"/>
        <v>4</v>
      </c>
      <c r="CT68" s="175"/>
      <c r="CU68" s="196">
        <f t="shared" si="30"/>
        <v>1.2</v>
      </c>
      <c r="CV68" s="259"/>
      <c r="CW68" s="199">
        <f t="shared" si="31"/>
        <v>0</v>
      </c>
      <c r="CX68" s="196">
        <f t="shared" si="32"/>
        <v>1.2</v>
      </c>
      <c r="CY68" s="259"/>
      <c r="CZ68" s="199">
        <f t="shared" si="33"/>
        <v>0</v>
      </c>
      <c r="DA68" s="196">
        <f t="shared" si="34"/>
        <v>1.2</v>
      </c>
      <c r="DB68" s="259"/>
      <c r="DC68" s="199">
        <f t="shared" si="35"/>
        <v>0</v>
      </c>
      <c r="DD68" s="196">
        <f t="shared" si="36"/>
        <v>0.4</v>
      </c>
      <c r="DE68" s="259"/>
      <c r="DF68" s="199">
        <f t="shared" si="37"/>
        <v>0</v>
      </c>
      <c r="DG68" s="175"/>
      <c r="DH68" s="196">
        <f t="shared" si="38"/>
        <v>4</v>
      </c>
      <c r="DI68" s="196">
        <f t="shared" si="39"/>
        <v>0</v>
      </c>
      <c r="DJ68" s="199">
        <f t="shared" si="40"/>
        <v>0</v>
      </c>
      <c r="DK68" s="265">
        <f t="shared" si="41"/>
        <v>4</v>
      </c>
      <c r="DL68" s="244">
        <v>64</v>
      </c>
      <c r="DM68">
        <f t="shared" si="58"/>
        <v>0</v>
      </c>
    </row>
    <row r="69" spans="1:117" x14ac:dyDescent="0.3">
      <c r="A69" s="246">
        <v>65</v>
      </c>
      <c r="B69" s="91" t="s">
        <v>270</v>
      </c>
      <c r="C69" s="91" t="s">
        <v>133</v>
      </c>
      <c r="D69" s="91" t="s">
        <v>119</v>
      </c>
      <c r="E69" s="91" t="s">
        <v>212</v>
      </c>
      <c r="F69" s="91" t="s">
        <v>321</v>
      </c>
      <c r="G69" s="87" t="s">
        <v>317</v>
      </c>
      <c r="H69" s="87" t="s">
        <v>323</v>
      </c>
      <c r="I69" s="87" t="s">
        <v>324</v>
      </c>
      <c r="J69" s="87" t="s">
        <v>324</v>
      </c>
      <c r="K69" s="85" t="s">
        <v>104</v>
      </c>
      <c r="L69" s="85" t="s">
        <v>105</v>
      </c>
      <c r="M69" s="87" t="s">
        <v>106</v>
      </c>
      <c r="N69" s="87" t="s">
        <v>325</v>
      </c>
      <c r="O69" s="87" t="s">
        <v>127</v>
      </c>
      <c r="P69" s="241" t="s">
        <v>328</v>
      </c>
      <c r="Q69" s="87" t="s">
        <v>129</v>
      </c>
      <c r="R69" s="130">
        <v>2</v>
      </c>
      <c r="S69" s="88" t="s">
        <v>111</v>
      </c>
      <c r="T69" s="81">
        <v>0</v>
      </c>
      <c r="U69" s="81">
        <v>0</v>
      </c>
      <c r="V69" s="25" t="e">
        <f t="shared" ref="V69:V117" si="61">U69/T69*100</f>
        <v>#DIV/0!</v>
      </c>
      <c r="W69" s="81">
        <v>0</v>
      </c>
      <c r="X69" s="81">
        <v>0</v>
      </c>
      <c r="Y69" s="25" t="e">
        <f t="shared" si="1"/>
        <v>#DIV/0!</v>
      </c>
      <c r="Z69" s="81">
        <v>1</v>
      </c>
      <c r="AA69" s="81"/>
      <c r="AB69" s="25">
        <f t="shared" si="2"/>
        <v>0</v>
      </c>
      <c r="AC69" s="81">
        <v>1</v>
      </c>
      <c r="AD69" s="81"/>
      <c r="AE69" s="25">
        <f t="shared" si="3"/>
        <v>0</v>
      </c>
      <c r="AF69" s="137">
        <f t="shared" si="43"/>
        <v>2</v>
      </c>
      <c r="AG69" s="137">
        <f t="shared" si="44"/>
        <v>0</v>
      </c>
      <c r="AH69" s="128" t="e">
        <f t="shared" si="5"/>
        <v>#DIV/0!</v>
      </c>
      <c r="AI69" s="90">
        <v>46113</v>
      </c>
      <c r="AJ69" s="90">
        <v>46477</v>
      </c>
      <c r="AK69" s="91" t="s">
        <v>112</v>
      </c>
      <c r="AL69" s="91" t="s">
        <v>113</v>
      </c>
      <c r="AM69" s="92" t="s">
        <v>114</v>
      </c>
      <c r="AN69" s="93">
        <v>100274232</v>
      </c>
      <c r="AO69" s="93">
        <v>100274232</v>
      </c>
      <c r="AP69" s="93">
        <v>100274232</v>
      </c>
      <c r="AQ69" s="94">
        <v>0</v>
      </c>
      <c r="AR69" s="91" t="s">
        <v>329</v>
      </c>
      <c r="AS69" s="91" t="s">
        <v>112</v>
      </c>
      <c r="AT69" s="150" t="s">
        <v>330</v>
      </c>
      <c r="AU69" s="165" t="s">
        <v>2264</v>
      </c>
      <c r="AV69" s="232" t="s">
        <v>2234</v>
      </c>
      <c r="AW69" s="126" t="s">
        <v>2248</v>
      </c>
      <c r="BA69" s="255"/>
      <c r="BB69" s="256"/>
      <c r="BC69" s="223" t="e">
        <f t="shared" si="8"/>
        <v>#DIV/0!</v>
      </c>
      <c r="BD69" s="255"/>
      <c r="BE69" s="256"/>
      <c r="BF69" s="223" t="e">
        <f t="shared" si="9"/>
        <v>#DIV/0!</v>
      </c>
      <c r="BG69" s="255"/>
      <c r="BH69" s="256"/>
      <c r="BI69" s="223" t="e">
        <f t="shared" si="10"/>
        <v>#DIV/0!</v>
      </c>
      <c r="BJ69" s="224">
        <f t="shared" si="11"/>
        <v>0</v>
      </c>
      <c r="BK69" s="225">
        <f t="shared" si="12"/>
        <v>0</v>
      </c>
      <c r="BL69" s="223" t="e">
        <f t="shared" si="13"/>
        <v>#DIV/0!</v>
      </c>
      <c r="BM69" s="255"/>
      <c r="BN69" s="256"/>
      <c r="BO69" s="223" t="e">
        <f t="shared" si="45"/>
        <v>#DIV/0!</v>
      </c>
      <c r="BP69" s="255"/>
      <c r="BQ69" s="256"/>
      <c r="BR69" s="223" t="e">
        <f t="shared" si="46"/>
        <v>#DIV/0!</v>
      </c>
      <c r="BS69" s="255"/>
      <c r="BT69" s="255"/>
      <c r="BU69" s="223" t="e">
        <f t="shared" si="47"/>
        <v>#DIV/0!</v>
      </c>
      <c r="BV69" s="224">
        <f t="shared" si="17"/>
        <v>0</v>
      </c>
      <c r="BW69" s="224">
        <f t="shared" si="18"/>
        <v>0</v>
      </c>
      <c r="BX69" s="223" t="e">
        <f t="shared" si="19"/>
        <v>#DIV/0!</v>
      </c>
      <c r="BY69" s="223">
        <f t="shared" si="20"/>
        <v>0</v>
      </c>
      <c r="BZ69" s="223">
        <f t="shared" si="21"/>
        <v>0</v>
      </c>
      <c r="CA69" s="226"/>
      <c r="CB69" s="175"/>
      <c r="CC69" s="191"/>
      <c r="CD69" s="192"/>
      <c r="CE69" s="193" t="e">
        <f t="shared" si="48"/>
        <v>#DIV/0!</v>
      </c>
      <c r="CF69" s="191"/>
      <c r="CG69" s="192"/>
      <c r="CH69" s="193" t="e">
        <f t="shared" si="49"/>
        <v>#DIV/0!</v>
      </c>
      <c r="CI69" s="197"/>
      <c r="CJ69" s="198"/>
      <c r="CK69" s="193" t="e">
        <f t="shared" si="50"/>
        <v>#DIV/0!</v>
      </c>
      <c r="CL69" s="195">
        <f t="shared" si="51"/>
        <v>0</v>
      </c>
      <c r="CM69" s="194">
        <f t="shared" si="52"/>
        <v>0</v>
      </c>
      <c r="CN69" s="193" t="e">
        <f t="shared" si="53"/>
        <v>#DIV/0!</v>
      </c>
      <c r="CO69" s="175"/>
      <c r="CP69" s="196">
        <f t="shared" si="54"/>
        <v>0</v>
      </c>
      <c r="CQ69" s="196">
        <f t="shared" si="55"/>
        <v>0</v>
      </c>
      <c r="CR69" s="199" t="e">
        <f t="shared" si="56"/>
        <v>#DIV/0!</v>
      </c>
      <c r="CS69" s="261">
        <f t="shared" si="29"/>
        <v>2</v>
      </c>
      <c r="CT69" s="175"/>
      <c r="CU69" s="196">
        <f t="shared" si="30"/>
        <v>0.6</v>
      </c>
      <c r="CV69" s="259"/>
      <c r="CW69" s="199">
        <f t="shared" si="31"/>
        <v>0</v>
      </c>
      <c r="CX69" s="196">
        <f t="shared" si="32"/>
        <v>0.6</v>
      </c>
      <c r="CY69" s="259"/>
      <c r="CZ69" s="199">
        <f t="shared" si="33"/>
        <v>0</v>
      </c>
      <c r="DA69" s="196">
        <f t="shared" si="34"/>
        <v>0.6</v>
      </c>
      <c r="DB69" s="259"/>
      <c r="DC69" s="199">
        <f t="shared" si="35"/>
        <v>0</v>
      </c>
      <c r="DD69" s="196">
        <f t="shared" si="36"/>
        <v>0.2</v>
      </c>
      <c r="DE69" s="259"/>
      <c r="DF69" s="199">
        <f t="shared" si="37"/>
        <v>0</v>
      </c>
      <c r="DG69" s="175"/>
      <c r="DH69" s="196">
        <f t="shared" si="38"/>
        <v>2</v>
      </c>
      <c r="DI69" s="196">
        <f t="shared" si="39"/>
        <v>0</v>
      </c>
      <c r="DJ69" s="199">
        <f t="shared" si="40"/>
        <v>0</v>
      </c>
      <c r="DK69" s="265">
        <f t="shared" si="41"/>
        <v>2</v>
      </c>
      <c r="DL69" s="244">
        <v>65</v>
      </c>
      <c r="DM69">
        <f t="shared" ref="DM69:DM100" si="62">+A69-DL69</f>
        <v>0</v>
      </c>
    </row>
    <row r="70" spans="1:117" x14ac:dyDescent="0.3">
      <c r="A70" s="246">
        <v>66</v>
      </c>
      <c r="B70" s="91" t="s">
        <v>270</v>
      </c>
      <c r="C70" s="91" t="s">
        <v>133</v>
      </c>
      <c r="D70" s="91" t="s">
        <v>119</v>
      </c>
      <c r="E70" s="91" t="s">
        <v>212</v>
      </c>
      <c r="F70" s="91" t="s">
        <v>321</v>
      </c>
      <c r="G70" s="87" t="s">
        <v>317</v>
      </c>
      <c r="H70" s="87" t="s">
        <v>323</v>
      </c>
      <c r="I70" s="87" t="s">
        <v>254</v>
      </c>
      <c r="J70" s="87" t="s">
        <v>254</v>
      </c>
      <c r="K70" s="85" t="s">
        <v>104</v>
      </c>
      <c r="L70" s="85" t="s">
        <v>105</v>
      </c>
      <c r="M70" s="87" t="s">
        <v>106</v>
      </c>
      <c r="N70" s="87" t="s">
        <v>325</v>
      </c>
      <c r="O70" s="87" t="s">
        <v>127</v>
      </c>
      <c r="P70" s="241" t="s">
        <v>331</v>
      </c>
      <c r="Q70" s="87" t="s">
        <v>129</v>
      </c>
      <c r="R70" s="130">
        <v>1</v>
      </c>
      <c r="S70" s="88" t="s">
        <v>111</v>
      </c>
      <c r="T70" s="81">
        <v>0</v>
      </c>
      <c r="U70" s="81">
        <v>0</v>
      </c>
      <c r="V70" s="25" t="e">
        <f t="shared" si="61"/>
        <v>#DIV/0!</v>
      </c>
      <c r="W70" s="81">
        <v>0</v>
      </c>
      <c r="X70" s="81">
        <v>0</v>
      </c>
      <c r="Y70" s="25" t="e">
        <f t="shared" si="1"/>
        <v>#DIV/0!</v>
      </c>
      <c r="Z70" s="81">
        <v>1</v>
      </c>
      <c r="AA70" s="81"/>
      <c r="AB70" s="25">
        <f t="shared" si="2"/>
        <v>0</v>
      </c>
      <c r="AC70" s="81">
        <v>1</v>
      </c>
      <c r="AD70" s="81"/>
      <c r="AE70" s="25">
        <f t="shared" si="3"/>
        <v>0</v>
      </c>
      <c r="AF70" s="137">
        <f t="shared" si="43"/>
        <v>1</v>
      </c>
      <c r="AG70" s="137">
        <f t="shared" si="44"/>
        <v>0</v>
      </c>
      <c r="AH70" s="128" t="e">
        <f t="shared" si="5"/>
        <v>#DIV/0!</v>
      </c>
      <c r="AI70" s="90">
        <v>46113</v>
      </c>
      <c r="AJ70" s="90">
        <v>46477</v>
      </c>
      <c r="AK70" s="91" t="s">
        <v>112</v>
      </c>
      <c r="AL70" s="91" t="s">
        <v>113</v>
      </c>
      <c r="AM70" s="92" t="s">
        <v>114</v>
      </c>
      <c r="AN70" s="93">
        <v>60000000</v>
      </c>
      <c r="AO70" s="93">
        <v>60000000</v>
      </c>
      <c r="AP70" s="93">
        <v>60000000</v>
      </c>
      <c r="AQ70" s="94">
        <v>0</v>
      </c>
      <c r="AR70" s="91" t="s">
        <v>332</v>
      </c>
      <c r="AS70" s="91" t="s">
        <v>112</v>
      </c>
      <c r="AT70" s="150" t="s">
        <v>330</v>
      </c>
      <c r="AU70" s="165" t="s">
        <v>2264</v>
      </c>
      <c r="AV70" s="232" t="s">
        <v>2234</v>
      </c>
      <c r="AW70" s="126" t="s">
        <v>2248</v>
      </c>
      <c r="BA70" s="255"/>
      <c r="BB70" s="256"/>
      <c r="BC70" s="223" t="e">
        <f t="shared" ref="BC70:BC133" si="63">+BB70/BA70</f>
        <v>#DIV/0!</v>
      </c>
      <c r="BD70" s="255"/>
      <c r="BE70" s="256"/>
      <c r="BF70" s="223" t="e">
        <f t="shared" ref="BF70:BF133" si="64">+BE70/BD70</f>
        <v>#DIV/0!</v>
      </c>
      <c r="BG70" s="255"/>
      <c r="BH70" s="256"/>
      <c r="BI70" s="223" t="e">
        <f t="shared" ref="BI70:BI133" si="65">+BH70/BG70</f>
        <v>#DIV/0!</v>
      </c>
      <c r="BJ70" s="224">
        <f t="shared" ref="BJ70:BJ133" si="66">+BA70+BD70+BG70</f>
        <v>0</v>
      </c>
      <c r="BK70" s="225">
        <f t="shared" ref="BK70:BK133" si="67">+BB70+BE70+BH70</f>
        <v>0</v>
      </c>
      <c r="BL70" s="223" t="e">
        <f t="shared" ref="BL70:BL133" si="68">+BK70/BJ70</f>
        <v>#DIV/0!</v>
      </c>
      <c r="BM70" s="255"/>
      <c r="BN70" s="256"/>
      <c r="BO70" s="223" t="e">
        <f t="shared" si="45"/>
        <v>#DIV/0!</v>
      </c>
      <c r="BP70" s="255"/>
      <c r="BQ70" s="256"/>
      <c r="BR70" s="223" t="e">
        <f t="shared" si="46"/>
        <v>#DIV/0!</v>
      </c>
      <c r="BS70" s="255"/>
      <c r="BT70" s="255"/>
      <c r="BU70" s="223" t="e">
        <f t="shared" si="47"/>
        <v>#DIV/0!</v>
      </c>
      <c r="BV70" s="224">
        <f t="shared" ref="BV70:BV133" si="69">+BM70+BP70+BS70</f>
        <v>0</v>
      </c>
      <c r="BW70" s="224">
        <f t="shared" ref="BW70:BW133" si="70">+BN70+BQ70+BT70</f>
        <v>0</v>
      </c>
      <c r="BX70" s="223" t="e">
        <f t="shared" ref="BX70:BX133" si="71">+BW70/BV70</f>
        <v>#DIV/0!</v>
      </c>
      <c r="BY70" s="223">
        <f t="shared" ref="BY70:BY133" si="72">+(BK70+BW70)/R70</f>
        <v>0</v>
      </c>
      <c r="BZ70" s="223">
        <f t="shared" ref="BZ70:BZ133" si="73">+$BZ$2-BY70</f>
        <v>0</v>
      </c>
      <c r="CA70" s="226"/>
      <c r="CB70" s="175"/>
      <c r="CC70" s="191"/>
      <c r="CD70" s="192"/>
      <c r="CE70" s="193" t="e">
        <f t="shared" si="48"/>
        <v>#DIV/0!</v>
      </c>
      <c r="CF70" s="191"/>
      <c r="CG70" s="192"/>
      <c r="CH70" s="193" t="e">
        <f t="shared" si="49"/>
        <v>#DIV/0!</v>
      </c>
      <c r="CI70" s="197"/>
      <c r="CJ70" s="198"/>
      <c r="CK70" s="193" t="e">
        <f t="shared" si="50"/>
        <v>#DIV/0!</v>
      </c>
      <c r="CL70" s="195">
        <f t="shared" si="51"/>
        <v>0</v>
      </c>
      <c r="CM70" s="194">
        <f t="shared" si="52"/>
        <v>0</v>
      </c>
      <c r="CN70" s="193" t="e">
        <f t="shared" si="53"/>
        <v>#DIV/0!</v>
      </c>
      <c r="CO70" s="175"/>
      <c r="CP70" s="196">
        <f t="shared" si="54"/>
        <v>0</v>
      </c>
      <c r="CQ70" s="196">
        <f t="shared" si="55"/>
        <v>0</v>
      </c>
      <c r="CR70" s="199" t="e">
        <f t="shared" si="56"/>
        <v>#DIV/0!</v>
      </c>
      <c r="CS70" s="261">
        <f t="shared" ref="CS70:CS133" si="74">+R70-CQ70</f>
        <v>1</v>
      </c>
      <c r="CT70" s="175"/>
      <c r="CU70" s="196">
        <f t="shared" ref="CU70:CU133" si="75">+CS70*$CU$3</f>
        <v>0.3</v>
      </c>
      <c r="CV70" s="259"/>
      <c r="CW70" s="199">
        <f t="shared" ref="CW70:CW133" si="76">+CV70/CU70</f>
        <v>0</v>
      </c>
      <c r="CX70" s="196">
        <f t="shared" ref="CX70:CX133" si="77">+CS70*$CX$3</f>
        <v>0.3</v>
      </c>
      <c r="CY70" s="259"/>
      <c r="CZ70" s="199">
        <f t="shared" ref="CZ70:CZ133" si="78">+CY70/CX70</f>
        <v>0</v>
      </c>
      <c r="DA70" s="196">
        <f t="shared" ref="DA70:DA133" si="79">+CS70*$DA$3</f>
        <v>0.3</v>
      </c>
      <c r="DB70" s="259"/>
      <c r="DC70" s="199">
        <f t="shared" ref="DC70:DC133" si="80">+DB70/DA70</f>
        <v>0</v>
      </c>
      <c r="DD70" s="196">
        <f t="shared" ref="DD70:DD133" si="81">+CS70*$DD$3</f>
        <v>0.1</v>
      </c>
      <c r="DE70" s="259"/>
      <c r="DF70" s="199">
        <f t="shared" ref="DF70:DF133" si="82">+DE70/DD70</f>
        <v>0</v>
      </c>
      <c r="DG70" s="175"/>
      <c r="DH70" s="196">
        <f t="shared" ref="DH70:DH133" si="83">R70</f>
        <v>1</v>
      </c>
      <c r="DI70" s="196">
        <f t="shared" ref="DI70:DI133" si="84">+CQ70+CV70+CY70+DB70+DE70</f>
        <v>0</v>
      </c>
      <c r="DJ70" s="199">
        <f t="shared" ref="DJ70:DJ133" si="85">+DI70/DH70</f>
        <v>0</v>
      </c>
      <c r="DK70" s="265">
        <f t="shared" ref="DK70:DK133" si="86">+DH70-DI70</f>
        <v>1</v>
      </c>
      <c r="DL70" s="244">
        <v>66</v>
      </c>
      <c r="DM70">
        <f t="shared" si="62"/>
        <v>0</v>
      </c>
    </row>
    <row r="71" spans="1:117" ht="39.6" x14ac:dyDescent="0.3">
      <c r="A71" s="246">
        <v>67</v>
      </c>
      <c r="B71" s="91" t="s">
        <v>270</v>
      </c>
      <c r="C71" s="91" t="s">
        <v>118</v>
      </c>
      <c r="D71" s="91" t="s">
        <v>119</v>
      </c>
      <c r="E71" s="91" t="s">
        <v>315</v>
      </c>
      <c r="F71" s="91" t="s">
        <v>321</v>
      </c>
      <c r="G71" s="87" t="s">
        <v>317</v>
      </c>
      <c r="H71" s="87" t="s">
        <v>323</v>
      </c>
      <c r="I71" s="87" t="s">
        <v>254</v>
      </c>
      <c r="J71" s="87" t="s">
        <v>254</v>
      </c>
      <c r="K71" s="85" t="s">
        <v>104</v>
      </c>
      <c r="L71" s="85" t="s">
        <v>105</v>
      </c>
      <c r="M71" s="87" t="s">
        <v>106</v>
      </c>
      <c r="N71" s="87" t="s">
        <v>325</v>
      </c>
      <c r="O71" s="87" t="s">
        <v>127</v>
      </c>
      <c r="P71" s="229" t="s">
        <v>333</v>
      </c>
      <c r="Q71" s="87" t="s">
        <v>129</v>
      </c>
      <c r="R71" s="130">
        <v>29</v>
      </c>
      <c r="S71" s="88" t="s">
        <v>111</v>
      </c>
      <c r="T71" s="81">
        <v>5</v>
      </c>
      <c r="U71" s="81">
        <v>0</v>
      </c>
      <c r="V71" s="25">
        <f t="shared" si="61"/>
        <v>0</v>
      </c>
      <c r="W71" s="81">
        <v>10</v>
      </c>
      <c r="X71" s="81">
        <v>4</v>
      </c>
      <c r="Y71" s="25">
        <f t="shared" si="1"/>
        <v>40</v>
      </c>
      <c r="Z71" s="81">
        <v>10</v>
      </c>
      <c r="AA71" s="81"/>
      <c r="AB71" s="25">
        <f t="shared" si="2"/>
        <v>0</v>
      </c>
      <c r="AC71" s="81">
        <v>4</v>
      </c>
      <c r="AD71" s="81"/>
      <c r="AE71" s="25">
        <f t="shared" si="3"/>
        <v>0</v>
      </c>
      <c r="AF71" s="137">
        <f t="shared" si="43"/>
        <v>29</v>
      </c>
      <c r="AG71" s="137">
        <f t="shared" si="44"/>
        <v>4</v>
      </c>
      <c r="AH71" s="128">
        <f t="shared" si="5"/>
        <v>26.666666666666668</v>
      </c>
      <c r="AI71" s="90">
        <v>46113</v>
      </c>
      <c r="AJ71" s="90">
        <v>46477</v>
      </c>
      <c r="AK71" s="91" t="s">
        <v>112</v>
      </c>
      <c r="AL71" s="91" t="s">
        <v>113</v>
      </c>
      <c r="AM71" s="92" t="s">
        <v>114</v>
      </c>
      <c r="AN71" s="93"/>
      <c r="AO71" s="93"/>
      <c r="AP71" s="93"/>
      <c r="AQ71" s="94"/>
      <c r="AR71" s="91" t="s">
        <v>207</v>
      </c>
      <c r="AS71" s="91" t="s">
        <v>112</v>
      </c>
      <c r="AT71" s="150" t="s">
        <v>330</v>
      </c>
      <c r="AU71" s="165" t="s">
        <v>2264</v>
      </c>
      <c r="AV71" s="232" t="s">
        <v>2234</v>
      </c>
      <c r="AW71" s="126" t="s">
        <v>2248</v>
      </c>
      <c r="BA71" s="255"/>
      <c r="BB71" s="256"/>
      <c r="BC71" s="223" t="e">
        <f t="shared" si="63"/>
        <v>#DIV/0!</v>
      </c>
      <c r="BD71" s="255"/>
      <c r="BE71" s="256"/>
      <c r="BF71" s="223" t="e">
        <f t="shared" si="64"/>
        <v>#DIV/0!</v>
      </c>
      <c r="BG71" s="255"/>
      <c r="BH71" s="256"/>
      <c r="BI71" s="223" t="e">
        <f t="shared" si="65"/>
        <v>#DIV/0!</v>
      </c>
      <c r="BJ71" s="224">
        <f t="shared" si="66"/>
        <v>0</v>
      </c>
      <c r="BK71" s="225">
        <f t="shared" si="67"/>
        <v>0</v>
      </c>
      <c r="BL71" s="223" t="e">
        <f t="shared" si="68"/>
        <v>#DIV/0!</v>
      </c>
      <c r="BM71" s="255"/>
      <c r="BN71" s="256"/>
      <c r="BO71" s="223" t="e">
        <f t="shared" si="45"/>
        <v>#DIV/0!</v>
      </c>
      <c r="BP71" s="255"/>
      <c r="BQ71" s="256"/>
      <c r="BR71" s="223" t="e">
        <f t="shared" si="46"/>
        <v>#DIV/0!</v>
      </c>
      <c r="BS71" s="255"/>
      <c r="BT71" s="255"/>
      <c r="BU71" s="223" t="e">
        <f t="shared" si="47"/>
        <v>#DIV/0!</v>
      </c>
      <c r="BV71" s="224">
        <f t="shared" si="69"/>
        <v>0</v>
      </c>
      <c r="BW71" s="224">
        <f t="shared" si="70"/>
        <v>0</v>
      </c>
      <c r="BX71" s="223" t="e">
        <f t="shared" si="71"/>
        <v>#DIV/0!</v>
      </c>
      <c r="BY71" s="223">
        <f t="shared" si="72"/>
        <v>0</v>
      </c>
      <c r="BZ71" s="223">
        <f t="shared" si="73"/>
        <v>0</v>
      </c>
      <c r="CA71" s="226"/>
      <c r="CB71" s="175"/>
      <c r="CC71" s="191"/>
      <c r="CD71" s="192"/>
      <c r="CE71" s="193" t="e">
        <f t="shared" si="48"/>
        <v>#DIV/0!</v>
      </c>
      <c r="CF71" s="191"/>
      <c r="CG71" s="192"/>
      <c r="CH71" s="193" t="e">
        <f t="shared" si="49"/>
        <v>#DIV/0!</v>
      </c>
      <c r="CI71" s="197"/>
      <c r="CJ71" s="198"/>
      <c r="CK71" s="193" t="e">
        <f t="shared" si="50"/>
        <v>#DIV/0!</v>
      </c>
      <c r="CL71" s="195">
        <f t="shared" si="51"/>
        <v>0</v>
      </c>
      <c r="CM71" s="194">
        <f t="shared" si="52"/>
        <v>0</v>
      </c>
      <c r="CN71" s="193" t="e">
        <f t="shared" si="53"/>
        <v>#DIV/0!</v>
      </c>
      <c r="CO71" s="175"/>
      <c r="CP71" s="196">
        <f t="shared" si="54"/>
        <v>0</v>
      </c>
      <c r="CQ71" s="196">
        <f t="shared" si="55"/>
        <v>0</v>
      </c>
      <c r="CR71" s="199" t="e">
        <f t="shared" si="56"/>
        <v>#DIV/0!</v>
      </c>
      <c r="CS71" s="261">
        <f t="shared" si="74"/>
        <v>29</v>
      </c>
      <c r="CT71" s="175"/>
      <c r="CU71" s="196">
        <f t="shared" si="75"/>
        <v>8.6999999999999993</v>
      </c>
      <c r="CV71" s="259"/>
      <c r="CW71" s="199">
        <f t="shared" si="76"/>
        <v>0</v>
      </c>
      <c r="CX71" s="196">
        <f t="shared" si="77"/>
        <v>8.6999999999999993</v>
      </c>
      <c r="CY71" s="259"/>
      <c r="CZ71" s="199">
        <f t="shared" si="78"/>
        <v>0</v>
      </c>
      <c r="DA71" s="196">
        <f t="shared" si="79"/>
        <v>8.6999999999999993</v>
      </c>
      <c r="DB71" s="259"/>
      <c r="DC71" s="199">
        <f t="shared" si="80"/>
        <v>0</v>
      </c>
      <c r="DD71" s="196">
        <f t="shared" si="81"/>
        <v>2.9000000000000004</v>
      </c>
      <c r="DE71" s="259"/>
      <c r="DF71" s="199">
        <f t="shared" si="82"/>
        <v>0</v>
      </c>
      <c r="DG71" s="175"/>
      <c r="DH71" s="196">
        <f t="shared" si="83"/>
        <v>29</v>
      </c>
      <c r="DI71" s="196">
        <f t="shared" si="84"/>
        <v>0</v>
      </c>
      <c r="DJ71" s="199">
        <f t="shared" si="85"/>
        <v>0</v>
      </c>
      <c r="DK71" s="265">
        <f t="shared" si="86"/>
        <v>29</v>
      </c>
      <c r="DL71" s="244">
        <v>67</v>
      </c>
      <c r="DM71">
        <f t="shared" si="62"/>
        <v>0</v>
      </c>
    </row>
    <row r="72" spans="1:117" x14ac:dyDescent="0.3">
      <c r="A72" s="246">
        <v>68</v>
      </c>
      <c r="B72" s="91" t="s">
        <v>270</v>
      </c>
      <c r="C72" s="91" t="s">
        <v>97</v>
      </c>
      <c r="D72" s="91" t="s">
        <v>98</v>
      </c>
      <c r="E72" s="91" t="s">
        <v>315</v>
      </c>
      <c r="F72" s="91" t="s">
        <v>316</v>
      </c>
      <c r="G72" s="87" t="s">
        <v>317</v>
      </c>
      <c r="H72" s="87" t="s">
        <v>323</v>
      </c>
      <c r="I72" s="87" t="s">
        <v>318</v>
      </c>
      <c r="J72" s="87" t="s">
        <v>318</v>
      </c>
      <c r="K72" s="85" t="s">
        <v>104</v>
      </c>
      <c r="L72" s="85" t="s">
        <v>105</v>
      </c>
      <c r="M72" s="87" t="s">
        <v>106</v>
      </c>
      <c r="N72" s="87" t="s">
        <v>319</v>
      </c>
      <c r="O72" s="87" t="s">
        <v>108</v>
      </c>
      <c r="P72" s="87" t="s">
        <v>334</v>
      </c>
      <c r="Q72" s="87" t="s">
        <v>110</v>
      </c>
      <c r="R72" s="130">
        <v>29</v>
      </c>
      <c r="S72" s="88" t="s">
        <v>111</v>
      </c>
      <c r="T72" s="81">
        <v>4</v>
      </c>
      <c r="U72" s="81">
        <v>0</v>
      </c>
      <c r="V72" s="25">
        <f t="shared" si="61"/>
        <v>0</v>
      </c>
      <c r="W72" s="81">
        <v>10</v>
      </c>
      <c r="X72" s="81">
        <v>0</v>
      </c>
      <c r="Y72" s="25">
        <f t="shared" si="1"/>
        <v>0</v>
      </c>
      <c r="Z72" s="81">
        <v>10</v>
      </c>
      <c r="AA72" s="81"/>
      <c r="AB72" s="25">
        <f t="shared" si="2"/>
        <v>0</v>
      </c>
      <c r="AC72" s="81">
        <v>5</v>
      </c>
      <c r="AD72" s="81"/>
      <c r="AE72" s="25">
        <f t="shared" si="3"/>
        <v>0</v>
      </c>
      <c r="AF72" s="137">
        <f t="shared" si="43"/>
        <v>29</v>
      </c>
      <c r="AG72" s="137">
        <f t="shared" si="44"/>
        <v>0</v>
      </c>
      <c r="AH72" s="128">
        <f t="shared" si="5"/>
        <v>0</v>
      </c>
      <c r="AI72" s="90">
        <v>46113</v>
      </c>
      <c r="AJ72" s="90">
        <v>46477</v>
      </c>
      <c r="AK72" s="91" t="s">
        <v>112</v>
      </c>
      <c r="AL72" s="91" t="s">
        <v>113</v>
      </c>
      <c r="AM72" s="92" t="s">
        <v>114</v>
      </c>
      <c r="AN72" s="93">
        <v>100000000</v>
      </c>
      <c r="AO72" s="93">
        <v>100000000</v>
      </c>
      <c r="AP72" s="93">
        <v>100000000</v>
      </c>
      <c r="AQ72" s="94">
        <v>0</v>
      </c>
      <c r="AR72" s="91" t="s">
        <v>207</v>
      </c>
      <c r="AS72" s="91" t="s">
        <v>112</v>
      </c>
      <c r="AT72" s="150" t="s">
        <v>330</v>
      </c>
      <c r="AU72" s="165" t="s">
        <v>2264</v>
      </c>
      <c r="AV72" s="232" t="s">
        <v>2234</v>
      </c>
      <c r="AW72" s="126" t="s">
        <v>2248</v>
      </c>
      <c r="BA72" s="255"/>
      <c r="BB72" s="256"/>
      <c r="BC72" s="223" t="e">
        <f t="shared" si="63"/>
        <v>#DIV/0!</v>
      </c>
      <c r="BD72" s="255"/>
      <c r="BE72" s="256"/>
      <c r="BF72" s="223" t="e">
        <f t="shared" si="64"/>
        <v>#DIV/0!</v>
      </c>
      <c r="BG72" s="255"/>
      <c r="BH72" s="256"/>
      <c r="BI72" s="223" t="e">
        <f t="shared" si="65"/>
        <v>#DIV/0!</v>
      </c>
      <c r="BJ72" s="224">
        <f t="shared" si="66"/>
        <v>0</v>
      </c>
      <c r="BK72" s="225">
        <f t="shared" si="67"/>
        <v>0</v>
      </c>
      <c r="BL72" s="223" t="e">
        <f t="shared" si="68"/>
        <v>#DIV/0!</v>
      </c>
      <c r="BM72" s="255"/>
      <c r="BN72" s="256"/>
      <c r="BO72" s="223" t="e">
        <f t="shared" si="45"/>
        <v>#DIV/0!</v>
      </c>
      <c r="BP72" s="255"/>
      <c r="BQ72" s="256"/>
      <c r="BR72" s="223" t="e">
        <f t="shared" si="46"/>
        <v>#DIV/0!</v>
      </c>
      <c r="BS72" s="255"/>
      <c r="BT72" s="255"/>
      <c r="BU72" s="223" t="e">
        <f t="shared" si="47"/>
        <v>#DIV/0!</v>
      </c>
      <c r="BV72" s="224">
        <f t="shared" si="69"/>
        <v>0</v>
      </c>
      <c r="BW72" s="224">
        <f t="shared" si="70"/>
        <v>0</v>
      </c>
      <c r="BX72" s="223" t="e">
        <f t="shared" si="71"/>
        <v>#DIV/0!</v>
      </c>
      <c r="BY72" s="223">
        <f t="shared" si="72"/>
        <v>0</v>
      </c>
      <c r="BZ72" s="223">
        <f t="shared" si="73"/>
        <v>0</v>
      </c>
      <c r="CA72" s="226"/>
      <c r="CB72" s="175"/>
      <c r="CC72" s="191"/>
      <c r="CD72" s="192"/>
      <c r="CE72" s="193" t="e">
        <f t="shared" si="48"/>
        <v>#DIV/0!</v>
      </c>
      <c r="CF72" s="191"/>
      <c r="CG72" s="192"/>
      <c r="CH72" s="193" t="e">
        <f t="shared" si="49"/>
        <v>#DIV/0!</v>
      </c>
      <c r="CI72" s="197"/>
      <c r="CJ72" s="198"/>
      <c r="CK72" s="193" t="e">
        <f t="shared" si="50"/>
        <v>#DIV/0!</v>
      </c>
      <c r="CL72" s="195">
        <f t="shared" si="51"/>
        <v>0</v>
      </c>
      <c r="CM72" s="194">
        <f t="shared" si="52"/>
        <v>0</v>
      </c>
      <c r="CN72" s="193" t="e">
        <f t="shared" si="53"/>
        <v>#DIV/0!</v>
      </c>
      <c r="CO72" s="175"/>
      <c r="CP72" s="196">
        <f t="shared" si="54"/>
        <v>0</v>
      </c>
      <c r="CQ72" s="196">
        <f t="shared" si="55"/>
        <v>0</v>
      </c>
      <c r="CR72" s="199" t="e">
        <f t="shared" si="56"/>
        <v>#DIV/0!</v>
      </c>
      <c r="CS72" s="261">
        <f t="shared" si="74"/>
        <v>29</v>
      </c>
      <c r="CT72" s="175"/>
      <c r="CU72" s="196">
        <f t="shared" si="75"/>
        <v>8.6999999999999993</v>
      </c>
      <c r="CV72" s="259"/>
      <c r="CW72" s="199">
        <f t="shared" si="76"/>
        <v>0</v>
      </c>
      <c r="CX72" s="196">
        <f t="shared" si="77"/>
        <v>8.6999999999999993</v>
      </c>
      <c r="CY72" s="259"/>
      <c r="CZ72" s="199">
        <f t="shared" si="78"/>
        <v>0</v>
      </c>
      <c r="DA72" s="196">
        <f t="shared" si="79"/>
        <v>8.6999999999999993</v>
      </c>
      <c r="DB72" s="259"/>
      <c r="DC72" s="199">
        <f t="shared" si="80"/>
        <v>0</v>
      </c>
      <c r="DD72" s="196">
        <f t="shared" si="81"/>
        <v>2.9000000000000004</v>
      </c>
      <c r="DE72" s="259"/>
      <c r="DF72" s="199">
        <f t="shared" si="82"/>
        <v>0</v>
      </c>
      <c r="DG72" s="175"/>
      <c r="DH72" s="196">
        <f t="shared" si="83"/>
        <v>29</v>
      </c>
      <c r="DI72" s="196">
        <f t="shared" si="84"/>
        <v>0</v>
      </c>
      <c r="DJ72" s="199">
        <f t="shared" si="85"/>
        <v>0</v>
      </c>
      <c r="DK72" s="265">
        <f t="shared" si="86"/>
        <v>29</v>
      </c>
      <c r="DL72" s="244">
        <v>68</v>
      </c>
      <c r="DM72">
        <f t="shared" si="62"/>
        <v>0</v>
      </c>
    </row>
    <row r="73" spans="1:117" x14ac:dyDescent="0.3">
      <c r="A73" s="246">
        <v>69</v>
      </c>
      <c r="B73" s="91" t="s">
        <v>270</v>
      </c>
      <c r="C73" s="91" t="s">
        <v>97</v>
      </c>
      <c r="D73" s="91" t="s">
        <v>98</v>
      </c>
      <c r="E73" s="91" t="s">
        <v>315</v>
      </c>
      <c r="F73" s="91" t="s">
        <v>316</v>
      </c>
      <c r="G73" s="87" t="s">
        <v>317</v>
      </c>
      <c r="H73" s="87" t="s">
        <v>323</v>
      </c>
      <c r="I73" s="87" t="s">
        <v>335</v>
      </c>
      <c r="J73" s="87" t="s">
        <v>335</v>
      </c>
      <c r="K73" s="85" t="s">
        <v>104</v>
      </c>
      <c r="L73" s="85" t="s">
        <v>105</v>
      </c>
      <c r="M73" s="87" t="s">
        <v>106</v>
      </c>
      <c r="N73" s="87" t="s">
        <v>319</v>
      </c>
      <c r="O73" s="87" t="s">
        <v>108</v>
      </c>
      <c r="P73" s="87" t="s">
        <v>336</v>
      </c>
      <c r="Q73" s="87" t="s">
        <v>110</v>
      </c>
      <c r="R73" s="130">
        <v>29</v>
      </c>
      <c r="S73" s="88" t="s">
        <v>111</v>
      </c>
      <c r="T73" s="81">
        <v>0</v>
      </c>
      <c r="U73" s="81">
        <v>0</v>
      </c>
      <c r="V73" s="25" t="e">
        <f t="shared" si="61"/>
        <v>#DIV/0!</v>
      </c>
      <c r="W73" s="81">
        <v>0</v>
      </c>
      <c r="X73" s="81">
        <v>0</v>
      </c>
      <c r="Y73" s="25" t="e">
        <f t="shared" si="1"/>
        <v>#DIV/0!</v>
      </c>
      <c r="Z73" s="81">
        <v>14</v>
      </c>
      <c r="AA73" s="81"/>
      <c r="AB73" s="25">
        <f t="shared" si="2"/>
        <v>0</v>
      </c>
      <c r="AC73" s="81">
        <v>15</v>
      </c>
      <c r="AD73" s="81"/>
      <c r="AE73" s="25">
        <f t="shared" si="3"/>
        <v>0</v>
      </c>
      <c r="AF73" s="137">
        <f t="shared" si="43"/>
        <v>29</v>
      </c>
      <c r="AG73" s="137">
        <f t="shared" si="44"/>
        <v>0</v>
      </c>
      <c r="AH73" s="128" t="e">
        <f t="shared" si="5"/>
        <v>#DIV/0!</v>
      </c>
      <c r="AI73" s="90">
        <v>46113</v>
      </c>
      <c r="AJ73" s="90">
        <v>46477</v>
      </c>
      <c r="AK73" s="91" t="s">
        <v>112</v>
      </c>
      <c r="AL73" s="91" t="s">
        <v>113</v>
      </c>
      <c r="AM73" s="92" t="s">
        <v>114</v>
      </c>
      <c r="AN73" s="93">
        <v>100000000</v>
      </c>
      <c r="AO73" s="93">
        <v>100000000</v>
      </c>
      <c r="AP73" s="93">
        <v>100000000</v>
      </c>
      <c r="AQ73" s="94">
        <v>0</v>
      </c>
      <c r="AR73" s="91" t="s">
        <v>159</v>
      </c>
      <c r="AS73" s="91" t="s">
        <v>112</v>
      </c>
      <c r="AT73" s="150" t="s">
        <v>330</v>
      </c>
      <c r="AU73" s="165" t="s">
        <v>2264</v>
      </c>
      <c r="AV73" s="232" t="s">
        <v>2234</v>
      </c>
      <c r="AW73" s="126" t="s">
        <v>2248</v>
      </c>
      <c r="BA73" s="255"/>
      <c r="BB73" s="256"/>
      <c r="BC73" s="223" t="e">
        <f t="shared" si="63"/>
        <v>#DIV/0!</v>
      </c>
      <c r="BD73" s="255"/>
      <c r="BE73" s="256"/>
      <c r="BF73" s="223" t="e">
        <f t="shared" si="64"/>
        <v>#DIV/0!</v>
      </c>
      <c r="BG73" s="255"/>
      <c r="BH73" s="256"/>
      <c r="BI73" s="223" t="e">
        <f t="shared" si="65"/>
        <v>#DIV/0!</v>
      </c>
      <c r="BJ73" s="224">
        <f t="shared" si="66"/>
        <v>0</v>
      </c>
      <c r="BK73" s="225">
        <f t="shared" si="67"/>
        <v>0</v>
      </c>
      <c r="BL73" s="223" t="e">
        <f t="shared" si="68"/>
        <v>#DIV/0!</v>
      </c>
      <c r="BM73" s="255">
        <v>10</v>
      </c>
      <c r="BN73" s="256"/>
      <c r="BO73" s="223">
        <f t="shared" si="45"/>
        <v>0</v>
      </c>
      <c r="BP73" s="255">
        <v>10</v>
      </c>
      <c r="BQ73" s="256">
        <v>7</v>
      </c>
      <c r="BR73" s="223">
        <f t="shared" si="46"/>
        <v>0.7</v>
      </c>
      <c r="BS73" s="255">
        <v>9</v>
      </c>
      <c r="BT73" s="255">
        <v>3</v>
      </c>
      <c r="BU73" s="223">
        <f t="shared" si="47"/>
        <v>0.33333333333333331</v>
      </c>
      <c r="BV73" s="224">
        <f t="shared" si="69"/>
        <v>29</v>
      </c>
      <c r="BW73" s="224">
        <f t="shared" si="70"/>
        <v>10</v>
      </c>
      <c r="BX73" s="223">
        <f t="shared" si="71"/>
        <v>0.34482758620689657</v>
      </c>
      <c r="BY73" s="223">
        <f t="shared" si="72"/>
        <v>0.34482758620689657</v>
      </c>
      <c r="BZ73" s="223">
        <f t="shared" si="73"/>
        <v>-0.34482758620689657</v>
      </c>
      <c r="CA73" s="226"/>
      <c r="CB73" s="175"/>
      <c r="CC73" s="191">
        <v>10</v>
      </c>
      <c r="CD73" s="192">
        <v>4</v>
      </c>
      <c r="CE73" s="193">
        <f t="shared" si="48"/>
        <v>0.4</v>
      </c>
      <c r="CF73" s="191">
        <v>9</v>
      </c>
      <c r="CG73" s="192"/>
      <c r="CH73" s="193">
        <f t="shared" si="49"/>
        <v>0</v>
      </c>
      <c r="CI73" s="197"/>
      <c r="CJ73" s="198"/>
      <c r="CK73" s="193" t="e">
        <f t="shared" si="50"/>
        <v>#DIV/0!</v>
      </c>
      <c r="CL73" s="195">
        <f t="shared" si="51"/>
        <v>19</v>
      </c>
      <c r="CM73" s="194">
        <f t="shared" si="52"/>
        <v>4</v>
      </c>
      <c r="CN73" s="193">
        <f t="shared" si="53"/>
        <v>0.21052631578947367</v>
      </c>
      <c r="CO73" s="175"/>
      <c r="CP73" s="196">
        <f t="shared" si="54"/>
        <v>48</v>
      </c>
      <c r="CQ73" s="196">
        <f t="shared" si="55"/>
        <v>14</v>
      </c>
      <c r="CR73" s="199">
        <f t="shared" si="56"/>
        <v>0.29166666666666669</v>
      </c>
      <c r="CS73" s="261">
        <f t="shared" si="74"/>
        <v>15</v>
      </c>
      <c r="CT73" s="175"/>
      <c r="CU73" s="196">
        <f t="shared" si="75"/>
        <v>4.5</v>
      </c>
      <c r="CV73" s="259"/>
      <c r="CW73" s="199">
        <f t="shared" si="76"/>
        <v>0</v>
      </c>
      <c r="CX73" s="196">
        <f t="shared" si="77"/>
        <v>4.5</v>
      </c>
      <c r="CY73" s="259"/>
      <c r="CZ73" s="199">
        <f t="shared" si="78"/>
        <v>0</v>
      </c>
      <c r="DA73" s="196">
        <f t="shared" si="79"/>
        <v>4.5</v>
      </c>
      <c r="DB73" s="259"/>
      <c r="DC73" s="199">
        <f t="shared" si="80"/>
        <v>0</v>
      </c>
      <c r="DD73" s="196">
        <f t="shared" si="81"/>
        <v>1.5</v>
      </c>
      <c r="DE73" s="259"/>
      <c r="DF73" s="199">
        <f t="shared" si="82"/>
        <v>0</v>
      </c>
      <c r="DG73" s="175"/>
      <c r="DH73" s="196">
        <f t="shared" si="83"/>
        <v>29</v>
      </c>
      <c r="DI73" s="196">
        <f t="shared" si="84"/>
        <v>14</v>
      </c>
      <c r="DJ73" s="199">
        <f t="shared" si="85"/>
        <v>0.48275862068965519</v>
      </c>
      <c r="DK73" s="265">
        <f t="shared" si="86"/>
        <v>15</v>
      </c>
      <c r="DL73" s="244">
        <v>69</v>
      </c>
      <c r="DM73">
        <f t="shared" si="62"/>
        <v>0</v>
      </c>
    </row>
    <row r="74" spans="1:117" x14ac:dyDescent="0.3">
      <c r="A74" s="246">
        <v>70</v>
      </c>
      <c r="B74" s="91" t="s">
        <v>270</v>
      </c>
      <c r="C74" s="91" t="s">
        <v>133</v>
      </c>
      <c r="D74" s="91" t="s">
        <v>119</v>
      </c>
      <c r="E74" s="91" t="s">
        <v>212</v>
      </c>
      <c r="F74" s="91" t="s">
        <v>321</v>
      </c>
      <c r="G74" s="87" t="s">
        <v>317</v>
      </c>
      <c r="H74" s="87" t="s">
        <v>323</v>
      </c>
      <c r="I74" s="87" t="s">
        <v>337</v>
      </c>
      <c r="J74" s="87" t="s">
        <v>337</v>
      </c>
      <c r="K74" s="85" t="s">
        <v>104</v>
      </c>
      <c r="L74" s="85" t="s">
        <v>105</v>
      </c>
      <c r="M74" s="87" t="s">
        <v>106</v>
      </c>
      <c r="N74" s="87" t="s">
        <v>325</v>
      </c>
      <c r="O74" s="87" t="s">
        <v>127</v>
      </c>
      <c r="P74" s="241" t="s">
        <v>338</v>
      </c>
      <c r="Q74" s="87" t="s">
        <v>129</v>
      </c>
      <c r="R74" s="130">
        <v>2</v>
      </c>
      <c r="S74" s="88" t="s">
        <v>111</v>
      </c>
      <c r="T74" s="81">
        <v>0</v>
      </c>
      <c r="U74" s="81">
        <v>0</v>
      </c>
      <c r="V74" s="25" t="e">
        <f t="shared" si="61"/>
        <v>#DIV/0!</v>
      </c>
      <c r="W74" s="81">
        <v>0</v>
      </c>
      <c r="X74" s="81">
        <v>0</v>
      </c>
      <c r="Y74" s="25" t="e">
        <f t="shared" si="1"/>
        <v>#DIV/0!</v>
      </c>
      <c r="Z74" s="81">
        <v>1</v>
      </c>
      <c r="AA74" s="81"/>
      <c r="AB74" s="25">
        <f t="shared" si="2"/>
        <v>0</v>
      </c>
      <c r="AC74" s="81">
        <v>1</v>
      </c>
      <c r="AD74" s="81"/>
      <c r="AE74" s="25">
        <f t="shared" si="3"/>
        <v>0</v>
      </c>
      <c r="AF74" s="137">
        <f t="shared" si="43"/>
        <v>2</v>
      </c>
      <c r="AG74" s="137">
        <f t="shared" si="44"/>
        <v>0</v>
      </c>
      <c r="AH74" s="128" t="e">
        <f t="shared" si="5"/>
        <v>#DIV/0!</v>
      </c>
      <c r="AI74" s="90">
        <v>46113</v>
      </c>
      <c r="AJ74" s="90">
        <v>46477</v>
      </c>
      <c r="AK74" s="91" t="s">
        <v>112</v>
      </c>
      <c r="AL74" s="91" t="s">
        <v>113</v>
      </c>
      <c r="AM74" s="92" t="s">
        <v>114</v>
      </c>
      <c r="AN74" s="93">
        <v>50000000</v>
      </c>
      <c r="AO74" s="93">
        <v>50000000</v>
      </c>
      <c r="AP74" s="93">
        <v>50000000</v>
      </c>
      <c r="AQ74" s="94">
        <v>0</v>
      </c>
      <c r="AR74" s="91" t="s">
        <v>159</v>
      </c>
      <c r="AS74" s="91" t="s">
        <v>112</v>
      </c>
      <c r="AT74" s="150" t="s">
        <v>330</v>
      </c>
      <c r="AU74" s="165" t="s">
        <v>2264</v>
      </c>
      <c r="AV74" s="232" t="s">
        <v>2234</v>
      </c>
      <c r="AW74" s="126" t="s">
        <v>2248</v>
      </c>
      <c r="BA74" s="255"/>
      <c r="BB74" s="256"/>
      <c r="BC74" s="223" t="e">
        <f t="shared" si="63"/>
        <v>#DIV/0!</v>
      </c>
      <c r="BD74" s="255"/>
      <c r="BE74" s="256"/>
      <c r="BF74" s="223" t="e">
        <f t="shared" si="64"/>
        <v>#DIV/0!</v>
      </c>
      <c r="BG74" s="255"/>
      <c r="BH74" s="256"/>
      <c r="BI74" s="223" t="e">
        <f t="shared" si="65"/>
        <v>#DIV/0!</v>
      </c>
      <c r="BJ74" s="224">
        <f t="shared" si="66"/>
        <v>0</v>
      </c>
      <c r="BK74" s="225">
        <f t="shared" si="67"/>
        <v>0</v>
      </c>
      <c r="BL74" s="223" t="e">
        <f t="shared" si="68"/>
        <v>#DIV/0!</v>
      </c>
      <c r="BM74" s="255"/>
      <c r="BN74" s="256"/>
      <c r="BO74" s="223" t="e">
        <f t="shared" si="45"/>
        <v>#DIV/0!</v>
      </c>
      <c r="BP74" s="255"/>
      <c r="BQ74" s="256"/>
      <c r="BR74" s="223" t="e">
        <f t="shared" si="46"/>
        <v>#DIV/0!</v>
      </c>
      <c r="BS74" s="255"/>
      <c r="BT74" s="255"/>
      <c r="BU74" s="223" t="e">
        <f t="shared" si="47"/>
        <v>#DIV/0!</v>
      </c>
      <c r="BV74" s="224">
        <f t="shared" si="69"/>
        <v>0</v>
      </c>
      <c r="BW74" s="224">
        <f t="shared" si="70"/>
        <v>0</v>
      </c>
      <c r="BX74" s="223" t="e">
        <f t="shared" si="71"/>
        <v>#DIV/0!</v>
      </c>
      <c r="BY74" s="223">
        <f t="shared" si="72"/>
        <v>0</v>
      </c>
      <c r="BZ74" s="223">
        <f t="shared" si="73"/>
        <v>0</v>
      </c>
      <c r="CA74" s="226"/>
      <c r="CB74" s="175"/>
      <c r="CC74" s="191"/>
      <c r="CD74" s="192"/>
      <c r="CE74" s="193" t="e">
        <f t="shared" si="48"/>
        <v>#DIV/0!</v>
      </c>
      <c r="CF74" s="191"/>
      <c r="CG74" s="192"/>
      <c r="CH74" s="193" t="e">
        <f t="shared" si="49"/>
        <v>#DIV/0!</v>
      </c>
      <c r="CI74" s="197"/>
      <c r="CJ74" s="198"/>
      <c r="CK74" s="193" t="e">
        <f t="shared" si="50"/>
        <v>#DIV/0!</v>
      </c>
      <c r="CL74" s="195">
        <f t="shared" si="51"/>
        <v>0</v>
      </c>
      <c r="CM74" s="194">
        <f t="shared" si="52"/>
        <v>0</v>
      </c>
      <c r="CN74" s="193" t="e">
        <f t="shared" si="53"/>
        <v>#DIV/0!</v>
      </c>
      <c r="CO74" s="175"/>
      <c r="CP74" s="196">
        <f t="shared" si="54"/>
        <v>0</v>
      </c>
      <c r="CQ74" s="196">
        <f t="shared" si="55"/>
        <v>0</v>
      </c>
      <c r="CR74" s="199" t="e">
        <f t="shared" si="56"/>
        <v>#DIV/0!</v>
      </c>
      <c r="CS74" s="261">
        <f t="shared" si="74"/>
        <v>2</v>
      </c>
      <c r="CT74" s="175"/>
      <c r="CU74" s="196">
        <f t="shared" si="75"/>
        <v>0.6</v>
      </c>
      <c r="CV74" s="259"/>
      <c r="CW74" s="199">
        <f t="shared" si="76"/>
        <v>0</v>
      </c>
      <c r="CX74" s="196">
        <f t="shared" si="77"/>
        <v>0.6</v>
      </c>
      <c r="CY74" s="259"/>
      <c r="CZ74" s="199">
        <f t="shared" si="78"/>
        <v>0</v>
      </c>
      <c r="DA74" s="196">
        <f t="shared" si="79"/>
        <v>0.6</v>
      </c>
      <c r="DB74" s="259"/>
      <c r="DC74" s="199">
        <f t="shared" si="80"/>
        <v>0</v>
      </c>
      <c r="DD74" s="196">
        <f t="shared" si="81"/>
        <v>0.2</v>
      </c>
      <c r="DE74" s="259"/>
      <c r="DF74" s="199">
        <f t="shared" si="82"/>
        <v>0</v>
      </c>
      <c r="DG74" s="175"/>
      <c r="DH74" s="196">
        <f t="shared" si="83"/>
        <v>2</v>
      </c>
      <c r="DI74" s="196">
        <f t="shared" si="84"/>
        <v>0</v>
      </c>
      <c r="DJ74" s="199">
        <f t="shared" si="85"/>
        <v>0</v>
      </c>
      <c r="DK74" s="265">
        <f t="shared" si="86"/>
        <v>2</v>
      </c>
      <c r="DL74" s="244">
        <v>70</v>
      </c>
      <c r="DM74">
        <f t="shared" si="62"/>
        <v>0</v>
      </c>
    </row>
    <row r="75" spans="1:117" x14ac:dyDescent="0.3">
      <c r="A75" s="246">
        <v>71</v>
      </c>
      <c r="B75" s="91" t="s">
        <v>132</v>
      </c>
      <c r="C75" s="91" t="s">
        <v>118</v>
      </c>
      <c r="D75" s="91" t="s">
        <v>119</v>
      </c>
      <c r="E75" s="91" t="s">
        <v>155</v>
      </c>
      <c r="F75" s="91" t="s">
        <v>160</v>
      </c>
      <c r="G75" s="87" t="s">
        <v>144</v>
      </c>
      <c r="H75" s="87" t="s">
        <v>339</v>
      </c>
      <c r="I75" s="87" t="s">
        <v>340</v>
      </c>
      <c r="J75" s="87" t="s">
        <v>340</v>
      </c>
      <c r="K75" s="85" t="s">
        <v>104</v>
      </c>
      <c r="L75" s="85" t="s">
        <v>105</v>
      </c>
      <c r="M75" s="87" t="s">
        <v>106</v>
      </c>
      <c r="N75" s="87" t="s">
        <v>341</v>
      </c>
      <c r="O75" s="87" t="s">
        <v>127</v>
      </c>
      <c r="P75" s="241" t="s">
        <v>342</v>
      </c>
      <c r="Q75" s="87" t="s">
        <v>129</v>
      </c>
      <c r="R75" s="130">
        <v>30</v>
      </c>
      <c r="S75" s="88" t="s">
        <v>158</v>
      </c>
      <c r="T75" s="81">
        <v>0</v>
      </c>
      <c r="U75" s="81">
        <v>0</v>
      </c>
      <c r="V75" s="25" t="e">
        <f t="shared" si="61"/>
        <v>#DIV/0!</v>
      </c>
      <c r="W75" s="81">
        <v>30</v>
      </c>
      <c r="X75" s="81">
        <v>0</v>
      </c>
      <c r="Y75" s="25">
        <f t="shared" si="1"/>
        <v>0</v>
      </c>
      <c r="Z75" s="81">
        <v>0</v>
      </c>
      <c r="AA75" s="81"/>
      <c r="AB75" s="25" t="e">
        <f t="shared" si="2"/>
        <v>#DIV/0!</v>
      </c>
      <c r="AC75" s="81">
        <v>0</v>
      </c>
      <c r="AD75" s="81"/>
      <c r="AE75" s="25" t="e">
        <f t="shared" si="3"/>
        <v>#DIV/0!</v>
      </c>
      <c r="AF75" s="137">
        <f t="shared" si="43"/>
        <v>30</v>
      </c>
      <c r="AG75" s="137">
        <f t="shared" si="44"/>
        <v>0</v>
      </c>
      <c r="AH75" s="128">
        <f t="shared" si="5"/>
        <v>0</v>
      </c>
      <c r="AI75" s="90">
        <v>46054</v>
      </c>
      <c r="AJ75" s="90">
        <v>46477</v>
      </c>
      <c r="AK75" s="91" t="s">
        <v>112</v>
      </c>
      <c r="AL75" s="91" t="s">
        <v>113</v>
      </c>
      <c r="AM75" s="92" t="s">
        <v>114</v>
      </c>
      <c r="AN75" s="93">
        <v>30000000</v>
      </c>
      <c r="AO75" s="93">
        <v>30000000</v>
      </c>
      <c r="AP75" s="93">
        <v>30000000</v>
      </c>
      <c r="AQ75" s="94">
        <v>0</v>
      </c>
      <c r="AR75" s="91"/>
      <c r="AS75" s="91" t="s">
        <v>112</v>
      </c>
      <c r="AT75" s="150" t="s">
        <v>2220</v>
      </c>
      <c r="AU75" s="165" t="s">
        <v>2264</v>
      </c>
      <c r="AV75" s="232" t="s">
        <v>2234</v>
      </c>
      <c r="AW75" s="126" t="s">
        <v>2242</v>
      </c>
      <c r="BA75" s="255"/>
      <c r="BB75" s="256"/>
      <c r="BC75" s="223" t="e">
        <f t="shared" si="63"/>
        <v>#DIV/0!</v>
      </c>
      <c r="BD75" s="255"/>
      <c r="BE75" s="256"/>
      <c r="BF75" s="223" t="e">
        <f t="shared" si="64"/>
        <v>#DIV/0!</v>
      </c>
      <c r="BG75" s="255"/>
      <c r="BH75" s="256"/>
      <c r="BI75" s="223" t="e">
        <f t="shared" si="65"/>
        <v>#DIV/0!</v>
      </c>
      <c r="BJ75" s="224">
        <f t="shared" si="66"/>
        <v>0</v>
      </c>
      <c r="BK75" s="225">
        <f t="shared" si="67"/>
        <v>0</v>
      </c>
      <c r="BL75" s="223" t="e">
        <f t="shared" si="68"/>
        <v>#DIV/0!</v>
      </c>
      <c r="BM75" s="255"/>
      <c r="BN75" s="256"/>
      <c r="BO75" s="223" t="e">
        <f t="shared" si="45"/>
        <v>#DIV/0!</v>
      </c>
      <c r="BP75" s="255"/>
      <c r="BQ75" s="256"/>
      <c r="BR75" s="223" t="e">
        <f t="shared" si="46"/>
        <v>#DIV/0!</v>
      </c>
      <c r="BS75" s="255"/>
      <c r="BT75" s="255"/>
      <c r="BU75" s="223" t="e">
        <f t="shared" si="47"/>
        <v>#DIV/0!</v>
      </c>
      <c r="BV75" s="224">
        <f t="shared" si="69"/>
        <v>0</v>
      </c>
      <c r="BW75" s="224">
        <f t="shared" si="70"/>
        <v>0</v>
      </c>
      <c r="BX75" s="223" t="e">
        <f t="shared" si="71"/>
        <v>#DIV/0!</v>
      </c>
      <c r="BY75" s="223">
        <f t="shared" si="72"/>
        <v>0</v>
      </c>
      <c r="BZ75" s="223">
        <f t="shared" si="73"/>
        <v>0</v>
      </c>
      <c r="CA75" s="226"/>
      <c r="CB75" s="175"/>
      <c r="CC75" s="191"/>
      <c r="CD75" s="192"/>
      <c r="CE75" s="193" t="e">
        <f t="shared" si="48"/>
        <v>#DIV/0!</v>
      </c>
      <c r="CF75" s="191"/>
      <c r="CG75" s="192"/>
      <c r="CH75" s="193" t="e">
        <f t="shared" si="49"/>
        <v>#DIV/0!</v>
      </c>
      <c r="CI75" s="197"/>
      <c r="CJ75" s="198"/>
      <c r="CK75" s="193" t="e">
        <f t="shared" si="50"/>
        <v>#DIV/0!</v>
      </c>
      <c r="CL75" s="195">
        <f t="shared" si="51"/>
        <v>0</v>
      </c>
      <c r="CM75" s="194">
        <f t="shared" si="52"/>
        <v>0</v>
      </c>
      <c r="CN75" s="193" t="e">
        <f t="shared" si="53"/>
        <v>#DIV/0!</v>
      </c>
      <c r="CO75" s="175"/>
      <c r="CP75" s="196">
        <f t="shared" si="54"/>
        <v>0</v>
      </c>
      <c r="CQ75" s="196">
        <f t="shared" si="55"/>
        <v>0</v>
      </c>
      <c r="CR75" s="199" t="e">
        <f t="shared" si="56"/>
        <v>#DIV/0!</v>
      </c>
      <c r="CS75" s="261">
        <f t="shared" si="74"/>
        <v>30</v>
      </c>
      <c r="CT75" s="175"/>
      <c r="CU75" s="196">
        <f t="shared" si="75"/>
        <v>9</v>
      </c>
      <c r="CV75" s="259"/>
      <c r="CW75" s="199">
        <f t="shared" si="76"/>
        <v>0</v>
      </c>
      <c r="CX75" s="196">
        <f t="shared" si="77"/>
        <v>9</v>
      </c>
      <c r="CY75" s="259"/>
      <c r="CZ75" s="199">
        <f t="shared" si="78"/>
        <v>0</v>
      </c>
      <c r="DA75" s="196">
        <f t="shared" si="79"/>
        <v>9</v>
      </c>
      <c r="DB75" s="259"/>
      <c r="DC75" s="199">
        <f t="shared" si="80"/>
        <v>0</v>
      </c>
      <c r="DD75" s="196">
        <f t="shared" si="81"/>
        <v>3</v>
      </c>
      <c r="DE75" s="259"/>
      <c r="DF75" s="199">
        <f t="shared" si="82"/>
        <v>0</v>
      </c>
      <c r="DG75" s="175"/>
      <c r="DH75" s="196">
        <f t="shared" si="83"/>
        <v>30</v>
      </c>
      <c r="DI75" s="196">
        <f t="shared" si="84"/>
        <v>0</v>
      </c>
      <c r="DJ75" s="199">
        <f t="shared" si="85"/>
        <v>0</v>
      </c>
      <c r="DK75" s="265">
        <f t="shared" si="86"/>
        <v>30</v>
      </c>
      <c r="DL75" s="244">
        <v>71</v>
      </c>
      <c r="DM75">
        <f t="shared" si="62"/>
        <v>0</v>
      </c>
    </row>
    <row r="76" spans="1:117" x14ac:dyDescent="0.3">
      <c r="A76" s="246">
        <v>72</v>
      </c>
      <c r="B76" s="91" t="s">
        <v>132</v>
      </c>
      <c r="C76" s="91" t="s">
        <v>118</v>
      </c>
      <c r="D76" s="91" t="s">
        <v>119</v>
      </c>
      <c r="E76" s="91" t="s">
        <v>155</v>
      </c>
      <c r="F76" s="91" t="s">
        <v>343</v>
      </c>
      <c r="G76" s="87" t="s">
        <v>344</v>
      </c>
      <c r="H76" s="87" t="s">
        <v>345</v>
      </c>
      <c r="I76" s="87" t="s">
        <v>346</v>
      </c>
      <c r="J76" s="87" t="s">
        <v>346</v>
      </c>
      <c r="K76" s="85" t="s">
        <v>104</v>
      </c>
      <c r="L76" s="85" t="s">
        <v>105</v>
      </c>
      <c r="M76" s="87" t="s">
        <v>106</v>
      </c>
      <c r="N76" s="87" t="s">
        <v>341</v>
      </c>
      <c r="O76" s="87" t="s">
        <v>127</v>
      </c>
      <c r="P76" s="87" t="s">
        <v>347</v>
      </c>
      <c r="Q76" s="87" t="s">
        <v>129</v>
      </c>
      <c r="R76" s="130">
        <v>12</v>
      </c>
      <c r="S76" s="88" t="s">
        <v>111</v>
      </c>
      <c r="T76" s="81">
        <v>3</v>
      </c>
      <c r="U76" s="81">
        <v>0</v>
      </c>
      <c r="V76" s="25">
        <f t="shared" si="61"/>
        <v>0</v>
      </c>
      <c r="W76" s="81">
        <v>3</v>
      </c>
      <c r="X76" s="81"/>
      <c r="Y76" s="25">
        <f t="shared" si="1"/>
        <v>0</v>
      </c>
      <c r="Z76" s="81">
        <v>3</v>
      </c>
      <c r="AA76" s="81"/>
      <c r="AB76" s="25">
        <f t="shared" si="2"/>
        <v>0</v>
      </c>
      <c r="AC76" s="81">
        <v>3</v>
      </c>
      <c r="AD76" s="81"/>
      <c r="AE76" s="25">
        <f t="shared" si="3"/>
        <v>0</v>
      </c>
      <c r="AF76" s="137">
        <f t="shared" si="43"/>
        <v>12</v>
      </c>
      <c r="AG76" s="137">
        <f t="shared" si="44"/>
        <v>0</v>
      </c>
      <c r="AH76" s="128">
        <f t="shared" si="5"/>
        <v>0</v>
      </c>
      <c r="AI76" s="90">
        <v>46113</v>
      </c>
      <c r="AJ76" s="90">
        <v>46477</v>
      </c>
      <c r="AK76" s="91" t="s">
        <v>112</v>
      </c>
      <c r="AL76" s="91" t="s">
        <v>113</v>
      </c>
      <c r="AM76" s="92" t="s">
        <v>114</v>
      </c>
      <c r="AN76" s="93"/>
      <c r="AO76" s="93"/>
      <c r="AP76" s="93"/>
      <c r="AQ76" s="94"/>
      <c r="AR76" s="91" t="s">
        <v>329</v>
      </c>
      <c r="AS76" s="91" t="s">
        <v>112</v>
      </c>
      <c r="AT76" s="150" t="s">
        <v>2226</v>
      </c>
      <c r="AU76" s="165" t="s">
        <v>2264</v>
      </c>
      <c r="AV76" s="232" t="s">
        <v>2234</v>
      </c>
      <c r="AW76" s="126" t="s">
        <v>2242</v>
      </c>
      <c r="BA76" s="255"/>
      <c r="BB76" s="256"/>
      <c r="BC76" s="223" t="e">
        <f t="shared" si="63"/>
        <v>#DIV/0!</v>
      </c>
      <c r="BD76" s="255"/>
      <c r="BE76" s="256"/>
      <c r="BF76" s="223" t="e">
        <f t="shared" si="64"/>
        <v>#DIV/0!</v>
      </c>
      <c r="BG76" s="255"/>
      <c r="BH76" s="256"/>
      <c r="BI76" s="223" t="e">
        <f t="shared" si="65"/>
        <v>#DIV/0!</v>
      </c>
      <c r="BJ76" s="224">
        <f t="shared" si="66"/>
        <v>0</v>
      </c>
      <c r="BK76" s="225">
        <f t="shared" si="67"/>
        <v>0</v>
      </c>
      <c r="BL76" s="223" t="e">
        <f t="shared" si="68"/>
        <v>#DIV/0!</v>
      </c>
      <c r="BM76" s="255"/>
      <c r="BN76" s="256"/>
      <c r="BO76" s="223" t="e">
        <f t="shared" si="45"/>
        <v>#DIV/0!</v>
      </c>
      <c r="BP76" s="255"/>
      <c r="BQ76" s="256"/>
      <c r="BR76" s="223" t="e">
        <f t="shared" si="46"/>
        <v>#DIV/0!</v>
      </c>
      <c r="BS76" s="255"/>
      <c r="BT76" s="255"/>
      <c r="BU76" s="223" t="e">
        <f t="shared" si="47"/>
        <v>#DIV/0!</v>
      </c>
      <c r="BV76" s="224">
        <f t="shared" si="69"/>
        <v>0</v>
      </c>
      <c r="BW76" s="224">
        <f t="shared" si="70"/>
        <v>0</v>
      </c>
      <c r="BX76" s="223" t="e">
        <f t="shared" si="71"/>
        <v>#DIV/0!</v>
      </c>
      <c r="BY76" s="223">
        <f t="shared" si="72"/>
        <v>0</v>
      </c>
      <c r="BZ76" s="223">
        <f t="shared" si="73"/>
        <v>0</v>
      </c>
      <c r="CA76" s="226"/>
      <c r="CB76" s="175"/>
      <c r="CC76" s="191"/>
      <c r="CD76" s="192"/>
      <c r="CE76" s="193" t="e">
        <f t="shared" si="48"/>
        <v>#DIV/0!</v>
      </c>
      <c r="CF76" s="191"/>
      <c r="CG76" s="192"/>
      <c r="CH76" s="193" t="e">
        <f t="shared" si="49"/>
        <v>#DIV/0!</v>
      </c>
      <c r="CI76" s="197"/>
      <c r="CJ76" s="198"/>
      <c r="CK76" s="193" t="e">
        <f t="shared" si="50"/>
        <v>#DIV/0!</v>
      </c>
      <c r="CL76" s="195">
        <f t="shared" si="51"/>
        <v>0</v>
      </c>
      <c r="CM76" s="194">
        <f t="shared" si="52"/>
        <v>0</v>
      </c>
      <c r="CN76" s="193" t="e">
        <f t="shared" si="53"/>
        <v>#DIV/0!</v>
      </c>
      <c r="CO76" s="175"/>
      <c r="CP76" s="196">
        <f t="shared" si="54"/>
        <v>0</v>
      </c>
      <c r="CQ76" s="196">
        <f t="shared" si="55"/>
        <v>0</v>
      </c>
      <c r="CR76" s="199" t="e">
        <f t="shared" si="56"/>
        <v>#DIV/0!</v>
      </c>
      <c r="CS76" s="261">
        <f t="shared" si="74"/>
        <v>12</v>
      </c>
      <c r="CT76" s="175"/>
      <c r="CU76" s="196">
        <f t="shared" si="75"/>
        <v>3.5999999999999996</v>
      </c>
      <c r="CV76" s="259"/>
      <c r="CW76" s="199">
        <f t="shared" si="76"/>
        <v>0</v>
      </c>
      <c r="CX76" s="196">
        <f t="shared" si="77"/>
        <v>3.5999999999999996</v>
      </c>
      <c r="CY76" s="259"/>
      <c r="CZ76" s="199">
        <f t="shared" si="78"/>
        <v>0</v>
      </c>
      <c r="DA76" s="196">
        <f t="shared" si="79"/>
        <v>3.5999999999999996</v>
      </c>
      <c r="DB76" s="259"/>
      <c r="DC76" s="199">
        <f t="shared" si="80"/>
        <v>0</v>
      </c>
      <c r="DD76" s="196">
        <f t="shared" si="81"/>
        <v>1.2000000000000002</v>
      </c>
      <c r="DE76" s="259"/>
      <c r="DF76" s="199">
        <f t="shared" si="82"/>
        <v>0</v>
      </c>
      <c r="DG76" s="175"/>
      <c r="DH76" s="196">
        <f t="shared" si="83"/>
        <v>12</v>
      </c>
      <c r="DI76" s="196">
        <f t="shared" si="84"/>
        <v>0</v>
      </c>
      <c r="DJ76" s="199">
        <f t="shared" si="85"/>
        <v>0</v>
      </c>
      <c r="DK76" s="265">
        <f t="shared" si="86"/>
        <v>12</v>
      </c>
      <c r="DL76" s="244">
        <v>72</v>
      </c>
      <c r="DM76">
        <f t="shared" si="62"/>
        <v>0</v>
      </c>
    </row>
    <row r="77" spans="1:117" x14ac:dyDescent="0.3">
      <c r="A77" s="246">
        <v>73</v>
      </c>
      <c r="B77" s="91" t="s">
        <v>132</v>
      </c>
      <c r="C77" s="91" t="s">
        <v>118</v>
      </c>
      <c r="D77" s="91" t="s">
        <v>119</v>
      </c>
      <c r="E77" s="91" t="s">
        <v>155</v>
      </c>
      <c r="F77" s="91" t="s">
        <v>348</v>
      </c>
      <c r="G77" s="87" t="s">
        <v>344</v>
      </c>
      <c r="H77" s="87" t="s">
        <v>345</v>
      </c>
      <c r="I77" s="87" t="s">
        <v>340</v>
      </c>
      <c r="J77" s="87" t="s">
        <v>340</v>
      </c>
      <c r="K77" s="85" t="s">
        <v>104</v>
      </c>
      <c r="L77" s="85" t="s">
        <v>105</v>
      </c>
      <c r="M77" s="87" t="s">
        <v>106</v>
      </c>
      <c r="N77" s="87" t="s">
        <v>341</v>
      </c>
      <c r="O77" s="87" t="s">
        <v>127</v>
      </c>
      <c r="P77" s="87" t="s">
        <v>349</v>
      </c>
      <c r="Q77" s="87" t="s">
        <v>129</v>
      </c>
      <c r="R77" s="130">
        <v>4</v>
      </c>
      <c r="S77" s="88" t="s">
        <v>111</v>
      </c>
      <c r="T77" s="81">
        <v>1</v>
      </c>
      <c r="U77" s="81">
        <v>0</v>
      </c>
      <c r="V77" s="25">
        <f t="shared" si="61"/>
        <v>0</v>
      </c>
      <c r="W77" s="81">
        <v>1</v>
      </c>
      <c r="X77" s="81">
        <v>2</v>
      </c>
      <c r="Y77" s="25">
        <f t="shared" si="1"/>
        <v>200</v>
      </c>
      <c r="Z77" s="81">
        <v>1</v>
      </c>
      <c r="AA77" s="81"/>
      <c r="AB77" s="25">
        <f t="shared" si="2"/>
        <v>0</v>
      </c>
      <c r="AC77" s="81">
        <v>1</v>
      </c>
      <c r="AD77" s="81"/>
      <c r="AE77" s="25">
        <f t="shared" si="3"/>
        <v>0</v>
      </c>
      <c r="AF77" s="137">
        <f t="shared" si="43"/>
        <v>4</v>
      </c>
      <c r="AG77" s="137">
        <f t="shared" si="44"/>
        <v>2</v>
      </c>
      <c r="AH77" s="128">
        <f t="shared" si="5"/>
        <v>100</v>
      </c>
      <c r="AI77" s="90">
        <v>46113</v>
      </c>
      <c r="AJ77" s="90">
        <v>46477</v>
      </c>
      <c r="AK77" s="91" t="s">
        <v>112</v>
      </c>
      <c r="AL77" s="91" t="s">
        <v>113</v>
      </c>
      <c r="AM77" s="92" t="s">
        <v>114</v>
      </c>
      <c r="AN77" s="93"/>
      <c r="AO77" s="93"/>
      <c r="AP77" s="93"/>
      <c r="AQ77" s="94"/>
      <c r="AR77" s="91" t="s">
        <v>329</v>
      </c>
      <c r="AS77" s="91" t="s">
        <v>112</v>
      </c>
      <c r="AT77" s="150" t="s">
        <v>2226</v>
      </c>
      <c r="AU77" s="165" t="s">
        <v>2264</v>
      </c>
      <c r="AV77" s="232" t="s">
        <v>2234</v>
      </c>
      <c r="AW77" s="126" t="s">
        <v>2242</v>
      </c>
      <c r="BA77" s="255"/>
      <c r="BB77" s="256"/>
      <c r="BC77" s="223" t="e">
        <f t="shared" si="63"/>
        <v>#DIV/0!</v>
      </c>
      <c r="BD77" s="255"/>
      <c r="BE77" s="256"/>
      <c r="BF77" s="223" t="e">
        <f t="shared" si="64"/>
        <v>#DIV/0!</v>
      </c>
      <c r="BG77" s="255"/>
      <c r="BH77" s="256"/>
      <c r="BI77" s="223" t="e">
        <f t="shared" si="65"/>
        <v>#DIV/0!</v>
      </c>
      <c r="BJ77" s="224">
        <f t="shared" si="66"/>
        <v>0</v>
      </c>
      <c r="BK77" s="225">
        <f t="shared" si="67"/>
        <v>0</v>
      </c>
      <c r="BL77" s="223" t="e">
        <f t="shared" si="68"/>
        <v>#DIV/0!</v>
      </c>
      <c r="BM77" s="255"/>
      <c r="BN77" s="256"/>
      <c r="BO77" s="223" t="e">
        <f t="shared" si="45"/>
        <v>#DIV/0!</v>
      </c>
      <c r="BP77" s="255"/>
      <c r="BQ77" s="256"/>
      <c r="BR77" s="223" t="e">
        <f t="shared" si="46"/>
        <v>#DIV/0!</v>
      </c>
      <c r="BS77" s="255"/>
      <c r="BT77" s="255"/>
      <c r="BU77" s="223" t="e">
        <f t="shared" si="47"/>
        <v>#DIV/0!</v>
      </c>
      <c r="BV77" s="224">
        <f t="shared" si="69"/>
        <v>0</v>
      </c>
      <c r="BW77" s="224">
        <f t="shared" si="70"/>
        <v>0</v>
      </c>
      <c r="BX77" s="223" t="e">
        <f t="shared" si="71"/>
        <v>#DIV/0!</v>
      </c>
      <c r="BY77" s="223">
        <f t="shared" si="72"/>
        <v>0</v>
      </c>
      <c r="BZ77" s="223">
        <f t="shared" si="73"/>
        <v>0</v>
      </c>
      <c r="CA77" s="226"/>
      <c r="CB77" s="175"/>
      <c r="CC77" s="191"/>
      <c r="CD77" s="192"/>
      <c r="CE77" s="193" t="e">
        <f t="shared" si="48"/>
        <v>#DIV/0!</v>
      </c>
      <c r="CF77" s="191"/>
      <c r="CG77" s="192"/>
      <c r="CH77" s="193" t="e">
        <f t="shared" si="49"/>
        <v>#DIV/0!</v>
      </c>
      <c r="CI77" s="197"/>
      <c r="CJ77" s="198"/>
      <c r="CK77" s="193" t="e">
        <f t="shared" si="50"/>
        <v>#DIV/0!</v>
      </c>
      <c r="CL77" s="195">
        <f t="shared" si="51"/>
        <v>0</v>
      </c>
      <c r="CM77" s="194">
        <f t="shared" si="52"/>
        <v>0</v>
      </c>
      <c r="CN77" s="193" t="e">
        <f t="shared" si="53"/>
        <v>#DIV/0!</v>
      </c>
      <c r="CO77" s="175"/>
      <c r="CP77" s="196">
        <f t="shared" si="54"/>
        <v>0</v>
      </c>
      <c r="CQ77" s="196">
        <f t="shared" si="55"/>
        <v>0</v>
      </c>
      <c r="CR77" s="199" t="e">
        <f t="shared" si="56"/>
        <v>#DIV/0!</v>
      </c>
      <c r="CS77" s="261">
        <f t="shared" si="74"/>
        <v>4</v>
      </c>
      <c r="CT77" s="175"/>
      <c r="CU77" s="196">
        <f t="shared" si="75"/>
        <v>1.2</v>
      </c>
      <c r="CV77" s="259"/>
      <c r="CW77" s="199">
        <f t="shared" si="76"/>
        <v>0</v>
      </c>
      <c r="CX77" s="196">
        <f t="shared" si="77"/>
        <v>1.2</v>
      </c>
      <c r="CY77" s="259"/>
      <c r="CZ77" s="199">
        <f t="shared" si="78"/>
        <v>0</v>
      </c>
      <c r="DA77" s="196">
        <f t="shared" si="79"/>
        <v>1.2</v>
      </c>
      <c r="DB77" s="259"/>
      <c r="DC77" s="199">
        <f t="shared" si="80"/>
        <v>0</v>
      </c>
      <c r="DD77" s="196">
        <f t="shared" si="81"/>
        <v>0.4</v>
      </c>
      <c r="DE77" s="259"/>
      <c r="DF77" s="199">
        <f t="shared" si="82"/>
        <v>0</v>
      </c>
      <c r="DG77" s="175"/>
      <c r="DH77" s="196">
        <f t="shared" si="83"/>
        <v>4</v>
      </c>
      <c r="DI77" s="196">
        <f t="shared" si="84"/>
        <v>0</v>
      </c>
      <c r="DJ77" s="199">
        <f t="shared" si="85"/>
        <v>0</v>
      </c>
      <c r="DK77" s="265">
        <f t="shared" si="86"/>
        <v>4</v>
      </c>
      <c r="DL77" s="244">
        <v>73</v>
      </c>
      <c r="DM77">
        <f t="shared" si="62"/>
        <v>0</v>
      </c>
    </row>
    <row r="78" spans="1:117" x14ac:dyDescent="0.3">
      <c r="A78" s="246">
        <v>74</v>
      </c>
      <c r="B78" s="91" t="s">
        <v>132</v>
      </c>
      <c r="C78" s="91" t="s">
        <v>118</v>
      </c>
      <c r="D78" s="91" t="s">
        <v>119</v>
      </c>
      <c r="E78" s="91" t="s">
        <v>120</v>
      </c>
      <c r="F78" s="91" t="s">
        <v>350</v>
      </c>
      <c r="G78" s="87" t="s">
        <v>344</v>
      </c>
      <c r="H78" s="87" t="s">
        <v>345</v>
      </c>
      <c r="I78" s="87" t="s">
        <v>340</v>
      </c>
      <c r="J78" s="87" t="s">
        <v>340</v>
      </c>
      <c r="K78" s="85" t="s">
        <v>104</v>
      </c>
      <c r="L78" s="85" t="s">
        <v>105</v>
      </c>
      <c r="M78" s="87" t="s">
        <v>106</v>
      </c>
      <c r="N78" s="87" t="s">
        <v>341</v>
      </c>
      <c r="O78" s="87" t="s">
        <v>127</v>
      </c>
      <c r="P78" s="241" t="s">
        <v>351</v>
      </c>
      <c r="Q78" s="87" t="s">
        <v>129</v>
      </c>
      <c r="R78" s="130">
        <v>100</v>
      </c>
      <c r="S78" s="88" t="s">
        <v>158</v>
      </c>
      <c r="T78" s="81">
        <v>0</v>
      </c>
      <c r="U78" s="81">
        <v>0</v>
      </c>
      <c r="V78" s="25" t="e">
        <f t="shared" si="61"/>
        <v>#DIV/0!</v>
      </c>
      <c r="W78" s="81">
        <v>0</v>
      </c>
      <c r="X78" s="81">
        <v>0</v>
      </c>
      <c r="Y78" s="25" t="e">
        <f t="shared" si="1"/>
        <v>#DIV/0!</v>
      </c>
      <c r="Z78" s="81">
        <v>0</v>
      </c>
      <c r="AA78" s="81"/>
      <c r="AB78" s="25" t="e">
        <f t="shared" si="2"/>
        <v>#DIV/0!</v>
      </c>
      <c r="AC78" s="81">
        <v>100</v>
      </c>
      <c r="AD78" s="81"/>
      <c r="AE78" s="25">
        <f t="shared" si="3"/>
        <v>0</v>
      </c>
      <c r="AF78" s="137">
        <f t="shared" si="43"/>
        <v>100</v>
      </c>
      <c r="AG78" s="137">
        <f t="shared" si="44"/>
        <v>0</v>
      </c>
      <c r="AH78" s="128" t="e">
        <f t="shared" si="5"/>
        <v>#DIV/0!</v>
      </c>
      <c r="AI78" s="90">
        <v>46113</v>
      </c>
      <c r="AJ78" s="90">
        <v>46477</v>
      </c>
      <c r="AK78" s="91" t="s">
        <v>112</v>
      </c>
      <c r="AL78" s="91" t="s">
        <v>113</v>
      </c>
      <c r="AM78" s="92" t="s">
        <v>114</v>
      </c>
      <c r="AN78" s="93">
        <v>30000000</v>
      </c>
      <c r="AO78" s="93">
        <v>30000000</v>
      </c>
      <c r="AP78" s="93">
        <v>30000000</v>
      </c>
      <c r="AQ78" s="94">
        <v>0</v>
      </c>
      <c r="AR78" s="91" t="s">
        <v>159</v>
      </c>
      <c r="AS78" s="91" t="s">
        <v>112</v>
      </c>
      <c r="AT78" s="150" t="s">
        <v>2226</v>
      </c>
      <c r="AU78" s="165" t="s">
        <v>2264</v>
      </c>
      <c r="AV78" s="232" t="s">
        <v>2234</v>
      </c>
      <c r="AW78" s="126" t="s">
        <v>2242</v>
      </c>
      <c r="BA78" s="255"/>
      <c r="BB78" s="256"/>
      <c r="BC78" s="223" t="e">
        <f t="shared" si="63"/>
        <v>#DIV/0!</v>
      </c>
      <c r="BD78" s="255"/>
      <c r="BE78" s="256"/>
      <c r="BF78" s="223" t="e">
        <f t="shared" si="64"/>
        <v>#DIV/0!</v>
      </c>
      <c r="BG78" s="255"/>
      <c r="BH78" s="256"/>
      <c r="BI78" s="223" t="e">
        <f t="shared" si="65"/>
        <v>#DIV/0!</v>
      </c>
      <c r="BJ78" s="224">
        <f t="shared" si="66"/>
        <v>0</v>
      </c>
      <c r="BK78" s="225">
        <f t="shared" si="67"/>
        <v>0</v>
      </c>
      <c r="BL78" s="223" t="e">
        <f t="shared" si="68"/>
        <v>#DIV/0!</v>
      </c>
      <c r="BM78" s="255"/>
      <c r="BN78" s="256"/>
      <c r="BO78" s="223" t="e">
        <f t="shared" si="45"/>
        <v>#DIV/0!</v>
      </c>
      <c r="BP78" s="255"/>
      <c r="BQ78" s="256"/>
      <c r="BR78" s="223" t="e">
        <f t="shared" si="46"/>
        <v>#DIV/0!</v>
      </c>
      <c r="BS78" s="255"/>
      <c r="BT78" s="255"/>
      <c r="BU78" s="223" t="e">
        <f t="shared" si="47"/>
        <v>#DIV/0!</v>
      </c>
      <c r="BV78" s="224">
        <f t="shared" si="69"/>
        <v>0</v>
      </c>
      <c r="BW78" s="224">
        <f t="shared" si="70"/>
        <v>0</v>
      </c>
      <c r="BX78" s="223" t="e">
        <f t="shared" si="71"/>
        <v>#DIV/0!</v>
      </c>
      <c r="BY78" s="223">
        <f t="shared" si="72"/>
        <v>0</v>
      </c>
      <c r="BZ78" s="223">
        <f t="shared" si="73"/>
        <v>0</v>
      </c>
      <c r="CA78" s="226"/>
      <c r="CB78" s="175"/>
      <c r="CC78" s="191"/>
      <c r="CD78" s="192"/>
      <c r="CE78" s="193" t="e">
        <f t="shared" si="48"/>
        <v>#DIV/0!</v>
      </c>
      <c r="CF78" s="191"/>
      <c r="CG78" s="192"/>
      <c r="CH78" s="193" t="e">
        <f t="shared" si="49"/>
        <v>#DIV/0!</v>
      </c>
      <c r="CI78" s="197"/>
      <c r="CJ78" s="198"/>
      <c r="CK78" s="193" t="e">
        <f t="shared" si="50"/>
        <v>#DIV/0!</v>
      </c>
      <c r="CL78" s="195">
        <f t="shared" si="51"/>
        <v>0</v>
      </c>
      <c r="CM78" s="194">
        <f t="shared" si="52"/>
        <v>0</v>
      </c>
      <c r="CN78" s="193" t="e">
        <f t="shared" si="53"/>
        <v>#DIV/0!</v>
      </c>
      <c r="CO78" s="175"/>
      <c r="CP78" s="196">
        <f t="shared" si="54"/>
        <v>0</v>
      </c>
      <c r="CQ78" s="196">
        <f t="shared" si="55"/>
        <v>0</v>
      </c>
      <c r="CR78" s="199" t="e">
        <f t="shared" si="56"/>
        <v>#DIV/0!</v>
      </c>
      <c r="CS78" s="261">
        <f t="shared" si="74"/>
        <v>100</v>
      </c>
      <c r="CT78" s="175"/>
      <c r="CU78" s="196">
        <f t="shared" si="75"/>
        <v>30</v>
      </c>
      <c r="CV78" s="259"/>
      <c r="CW78" s="199">
        <f t="shared" si="76"/>
        <v>0</v>
      </c>
      <c r="CX78" s="196">
        <f t="shared" si="77"/>
        <v>30</v>
      </c>
      <c r="CY78" s="259"/>
      <c r="CZ78" s="199">
        <f t="shared" si="78"/>
        <v>0</v>
      </c>
      <c r="DA78" s="196">
        <f t="shared" si="79"/>
        <v>30</v>
      </c>
      <c r="DB78" s="259"/>
      <c r="DC78" s="199">
        <f t="shared" si="80"/>
        <v>0</v>
      </c>
      <c r="DD78" s="196">
        <f t="shared" si="81"/>
        <v>10</v>
      </c>
      <c r="DE78" s="259"/>
      <c r="DF78" s="199">
        <f t="shared" si="82"/>
        <v>0</v>
      </c>
      <c r="DG78" s="175"/>
      <c r="DH78" s="196">
        <f t="shared" si="83"/>
        <v>100</v>
      </c>
      <c r="DI78" s="196">
        <f t="shared" si="84"/>
        <v>0</v>
      </c>
      <c r="DJ78" s="199">
        <f t="shared" si="85"/>
        <v>0</v>
      </c>
      <c r="DK78" s="265">
        <f t="shared" si="86"/>
        <v>100</v>
      </c>
      <c r="DL78" s="244">
        <v>74</v>
      </c>
      <c r="DM78">
        <f t="shared" si="62"/>
        <v>0</v>
      </c>
    </row>
    <row r="79" spans="1:117" x14ac:dyDescent="0.3">
      <c r="A79" s="246">
        <v>75</v>
      </c>
      <c r="B79" s="91" t="s">
        <v>132</v>
      </c>
      <c r="C79" s="91" t="s">
        <v>118</v>
      </c>
      <c r="D79" s="91" t="s">
        <v>119</v>
      </c>
      <c r="E79" s="91" t="s">
        <v>120</v>
      </c>
      <c r="F79" s="91" t="s">
        <v>350</v>
      </c>
      <c r="G79" s="87" t="s">
        <v>344</v>
      </c>
      <c r="H79" s="87" t="s">
        <v>345</v>
      </c>
      <c r="I79" s="87" t="s">
        <v>340</v>
      </c>
      <c r="J79" s="87" t="s">
        <v>340</v>
      </c>
      <c r="K79" s="85" t="s">
        <v>104</v>
      </c>
      <c r="L79" s="85" t="s">
        <v>105</v>
      </c>
      <c r="M79" s="87" t="s">
        <v>106</v>
      </c>
      <c r="N79" s="87" t="s">
        <v>341</v>
      </c>
      <c r="O79" s="87" t="s">
        <v>127</v>
      </c>
      <c r="P79" s="241" t="s">
        <v>352</v>
      </c>
      <c r="Q79" s="87" t="s">
        <v>129</v>
      </c>
      <c r="R79" s="130">
        <v>2</v>
      </c>
      <c r="S79" s="88" t="s">
        <v>111</v>
      </c>
      <c r="T79" s="81">
        <v>0</v>
      </c>
      <c r="U79" s="81">
        <v>0</v>
      </c>
      <c r="V79" s="25" t="e">
        <f t="shared" si="61"/>
        <v>#DIV/0!</v>
      </c>
      <c r="W79" s="81">
        <v>0</v>
      </c>
      <c r="X79" s="81">
        <v>1</v>
      </c>
      <c r="Y79" s="25" t="e">
        <f t="shared" si="1"/>
        <v>#DIV/0!</v>
      </c>
      <c r="Z79" s="81">
        <v>0</v>
      </c>
      <c r="AA79" s="81"/>
      <c r="AB79" s="25" t="e">
        <f t="shared" si="2"/>
        <v>#DIV/0!</v>
      </c>
      <c r="AC79" s="81">
        <v>2</v>
      </c>
      <c r="AD79" s="81"/>
      <c r="AE79" s="25">
        <f t="shared" si="3"/>
        <v>0</v>
      </c>
      <c r="AF79" s="137">
        <f t="shared" si="43"/>
        <v>2</v>
      </c>
      <c r="AG79" s="137">
        <f t="shared" si="44"/>
        <v>1</v>
      </c>
      <c r="AH79" s="128" t="e">
        <f t="shared" si="5"/>
        <v>#DIV/0!</v>
      </c>
      <c r="AI79" s="90">
        <v>46113</v>
      </c>
      <c r="AJ79" s="90">
        <v>46477</v>
      </c>
      <c r="AK79" s="91" t="s">
        <v>112</v>
      </c>
      <c r="AL79" s="91" t="s">
        <v>113</v>
      </c>
      <c r="AM79" s="92" t="s">
        <v>114</v>
      </c>
      <c r="AN79" s="93">
        <v>40000000</v>
      </c>
      <c r="AO79" s="93">
        <v>40000000</v>
      </c>
      <c r="AP79" s="93">
        <v>40000000</v>
      </c>
      <c r="AQ79" s="94">
        <v>0</v>
      </c>
      <c r="AR79" s="91"/>
      <c r="AS79" s="91" t="s">
        <v>112</v>
      </c>
      <c r="AT79" s="150" t="s">
        <v>2226</v>
      </c>
      <c r="AU79" s="165" t="s">
        <v>2264</v>
      </c>
      <c r="AV79" s="232" t="s">
        <v>2234</v>
      </c>
      <c r="AW79" s="126" t="s">
        <v>2242</v>
      </c>
      <c r="BA79" s="255"/>
      <c r="BB79" s="256"/>
      <c r="BC79" s="223" t="e">
        <f t="shared" si="63"/>
        <v>#DIV/0!</v>
      </c>
      <c r="BD79" s="255"/>
      <c r="BE79" s="256"/>
      <c r="BF79" s="223" t="e">
        <f t="shared" si="64"/>
        <v>#DIV/0!</v>
      </c>
      <c r="BG79" s="255"/>
      <c r="BH79" s="256"/>
      <c r="BI79" s="223" t="e">
        <f t="shared" si="65"/>
        <v>#DIV/0!</v>
      </c>
      <c r="BJ79" s="224">
        <f t="shared" si="66"/>
        <v>0</v>
      </c>
      <c r="BK79" s="225">
        <f t="shared" si="67"/>
        <v>0</v>
      </c>
      <c r="BL79" s="223" t="e">
        <f t="shared" si="68"/>
        <v>#DIV/0!</v>
      </c>
      <c r="BM79" s="255"/>
      <c r="BN79" s="256"/>
      <c r="BO79" s="223" t="e">
        <f t="shared" si="45"/>
        <v>#DIV/0!</v>
      </c>
      <c r="BP79" s="255"/>
      <c r="BQ79" s="256"/>
      <c r="BR79" s="223" t="e">
        <f t="shared" si="46"/>
        <v>#DIV/0!</v>
      </c>
      <c r="BS79" s="255"/>
      <c r="BT79" s="255"/>
      <c r="BU79" s="223" t="e">
        <f t="shared" si="47"/>
        <v>#DIV/0!</v>
      </c>
      <c r="BV79" s="224">
        <f t="shared" si="69"/>
        <v>0</v>
      </c>
      <c r="BW79" s="224">
        <f t="shared" si="70"/>
        <v>0</v>
      </c>
      <c r="BX79" s="223" t="e">
        <f t="shared" si="71"/>
        <v>#DIV/0!</v>
      </c>
      <c r="BY79" s="223">
        <f t="shared" si="72"/>
        <v>0</v>
      </c>
      <c r="BZ79" s="223">
        <f t="shared" si="73"/>
        <v>0</v>
      </c>
      <c r="CA79" s="226"/>
      <c r="CB79" s="175"/>
      <c r="CC79" s="191"/>
      <c r="CD79" s="192"/>
      <c r="CE79" s="193" t="e">
        <f t="shared" si="48"/>
        <v>#DIV/0!</v>
      </c>
      <c r="CF79" s="191"/>
      <c r="CG79" s="192"/>
      <c r="CH79" s="193" t="e">
        <f t="shared" si="49"/>
        <v>#DIV/0!</v>
      </c>
      <c r="CI79" s="197"/>
      <c r="CJ79" s="198"/>
      <c r="CK79" s="193" t="e">
        <f t="shared" si="50"/>
        <v>#DIV/0!</v>
      </c>
      <c r="CL79" s="195">
        <f t="shared" si="51"/>
        <v>0</v>
      </c>
      <c r="CM79" s="194">
        <f t="shared" si="52"/>
        <v>0</v>
      </c>
      <c r="CN79" s="193" t="e">
        <f t="shared" si="53"/>
        <v>#DIV/0!</v>
      </c>
      <c r="CO79" s="175"/>
      <c r="CP79" s="196">
        <f t="shared" si="54"/>
        <v>0</v>
      </c>
      <c r="CQ79" s="196">
        <f t="shared" si="55"/>
        <v>0</v>
      </c>
      <c r="CR79" s="199" t="e">
        <f t="shared" si="56"/>
        <v>#DIV/0!</v>
      </c>
      <c r="CS79" s="261">
        <f t="shared" si="74"/>
        <v>2</v>
      </c>
      <c r="CT79" s="175"/>
      <c r="CU79" s="196">
        <f t="shared" si="75"/>
        <v>0.6</v>
      </c>
      <c r="CV79" s="259"/>
      <c r="CW79" s="199">
        <f t="shared" si="76"/>
        <v>0</v>
      </c>
      <c r="CX79" s="196">
        <f t="shared" si="77"/>
        <v>0.6</v>
      </c>
      <c r="CY79" s="259"/>
      <c r="CZ79" s="199">
        <f t="shared" si="78"/>
        <v>0</v>
      </c>
      <c r="DA79" s="196">
        <f t="shared" si="79"/>
        <v>0.6</v>
      </c>
      <c r="DB79" s="259"/>
      <c r="DC79" s="199">
        <f t="shared" si="80"/>
        <v>0</v>
      </c>
      <c r="DD79" s="196">
        <f t="shared" si="81"/>
        <v>0.2</v>
      </c>
      <c r="DE79" s="259"/>
      <c r="DF79" s="199">
        <f t="shared" si="82"/>
        <v>0</v>
      </c>
      <c r="DG79" s="175"/>
      <c r="DH79" s="196">
        <f t="shared" si="83"/>
        <v>2</v>
      </c>
      <c r="DI79" s="196">
        <f t="shared" si="84"/>
        <v>0</v>
      </c>
      <c r="DJ79" s="199">
        <f t="shared" si="85"/>
        <v>0</v>
      </c>
      <c r="DK79" s="265">
        <f t="shared" si="86"/>
        <v>2</v>
      </c>
      <c r="DL79" s="244">
        <v>75</v>
      </c>
      <c r="DM79">
        <f t="shared" si="62"/>
        <v>0</v>
      </c>
    </row>
    <row r="80" spans="1:117" x14ac:dyDescent="0.3">
      <c r="A80" s="246">
        <v>76</v>
      </c>
      <c r="B80" s="91" t="s">
        <v>132</v>
      </c>
      <c r="C80" s="91" t="s">
        <v>133</v>
      </c>
      <c r="D80" s="91" t="s">
        <v>119</v>
      </c>
      <c r="E80" s="91" t="s">
        <v>212</v>
      </c>
      <c r="F80" s="91" t="s">
        <v>354</v>
      </c>
      <c r="G80" s="87" t="s">
        <v>355</v>
      </c>
      <c r="H80" s="87" t="s">
        <v>356</v>
      </c>
      <c r="I80" s="87" t="s">
        <v>340</v>
      </c>
      <c r="J80" s="87" t="s">
        <v>340</v>
      </c>
      <c r="K80" s="85" t="s">
        <v>104</v>
      </c>
      <c r="L80" s="85" t="s">
        <v>105</v>
      </c>
      <c r="M80" s="87" t="s">
        <v>106</v>
      </c>
      <c r="N80" s="87" t="s">
        <v>341</v>
      </c>
      <c r="O80" s="87" t="s">
        <v>127</v>
      </c>
      <c r="P80" s="87" t="s">
        <v>357</v>
      </c>
      <c r="Q80" s="87" t="s">
        <v>129</v>
      </c>
      <c r="R80" s="130">
        <v>1</v>
      </c>
      <c r="S80" s="88" t="s">
        <v>111</v>
      </c>
      <c r="T80" s="81">
        <v>0</v>
      </c>
      <c r="U80" s="81">
        <v>0</v>
      </c>
      <c r="V80" s="25" t="e">
        <f t="shared" si="61"/>
        <v>#DIV/0!</v>
      </c>
      <c r="W80" s="81">
        <v>1</v>
      </c>
      <c r="X80" s="81">
        <v>0.5</v>
      </c>
      <c r="Y80" s="25">
        <f t="shared" si="1"/>
        <v>50</v>
      </c>
      <c r="Z80" s="81">
        <v>0</v>
      </c>
      <c r="AA80" s="81"/>
      <c r="AB80" s="25" t="e">
        <f t="shared" si="2"/>
        <v>#DIV/0!</v>
      </c>
      <c r="AC80" s="81">
        <v>0</v>
      </c>
      <c r="AD80" s="81"/>
      <c r="AE80" s="25" t="e">
        <f t="shared" si="3"/>
        <v>#DIV/0!</v>
      </c>
      <c r="AF80" s="137">
        <f t="shared" si="43"/>
        <v>1</v>
      </c>
      <c r="AG80" s="137">
        <f t="shared" si="44"/>
        <v>0.5</v>
      </c>
      <c r="AH80" s="128">
        <f t="shared" si="5"/>
        <v>50</v>
      </c>
      <c r="AI80" s="90">
        <v>46054</v>
      </c>
      <c r="AJ80" s="90">
        <v>46477</v>
      </c>
      <c r="AK80" s="91" t="s">
        <v>112</v>
      </c>
      <c r="AL80" s="91" t="s">
        <v>113</v>
      </c>
      <c r="AM80" s="92" t="s">
        <v>114</v>
      </c>
      <c r="AN80" s="93">
        <v>50000000</v>
      </c>
      <c r="AO80" s="93">
        <v>50000000</v>
      </c>
      <c r="AP80" s="93">
        <v>50000000</v>
      </c>
      <c r="AQ80" s="94">
        <f>AO80</f>
        <v>50000000</v>
      </c>
      <c r="AR80" s="91" t="s">
        <v>159</v>
      </c>
      <c r="AS80" s="91" t="s">
        <v>112</v>
      </c>
      <c r="AT80" s="150" t="s">
        <v>2226</v>
      </c>
      <c r="AU80" s="165" t="s">
        <v>2264</v>
      </c>
      <c r="AV80" s="232" t="s">
        <v>2234</v>
      </c>
      <c r="AW80" s="126" t="s">
        <v>2242</v>
      </c>
      <c r="BA80" s="255"/>
      <c r="BB80" s="256"/>
      <c r="BC80" s="223" t="e">
        <f t="shared" si="63"/>
        <v>#DIV/0!</v>
      </c>
      <c r="BD80" s="255"/>
      <c r="BE80" s="256"/>
      <c r="BF80" s="223" t="e">
        <f t="shared" si="64"/>
        <v>#DIV/0!</v>
      </c>
      <c r="BG80" s="255"/>
      <c r="BH80" s="256"/>
      <c r="BI80" s="223" t="e">
        <f t="shared" si="65"/>
        <v>#DIV/0!</v>
      </c>
      <c r="BJ80" s="224">
        <f t="shared" si="66"/>
        <v>0</v>
      </c>
      <c r="BK80" s="225">
        <f t="shared" si="67"/>
        <v>0</v>
      </c>
      <c r="BL80" s="223" t="e">
        <f t="shared" si="68"/>
        <v>#DIV/0!</v>
      </c>
      <c r="BM80" s="255"/>
      <c r="BN80" s="256"/>
      <c r="BO80" s="223" t="e">
        <f t="shared" si="45"/>
        <v>#DIV/0!</v>
      </c>
      <c r="BP80" s="255"/>
      <c r="BQ80" s="256"/>
      <c r="BR80" s="223" t="e">
        <f t="shared" si="46"/>
        <v>#DIV/0!</v>
      </c>
      <c r="BS80" s="255"/>
      <c r="BT80" s="255"/>
      <c r="BU80" s="223" t="e">
        <f t="shared" si="47"/>
        <v>#DIV/0!</v>
      </c>
      <c r="BV80" s="224">
        <f t="shared" si="69"/>
        <v>0</v>
      </c>
      <c r="BW80" s="224">
        <f t="shared" si="70"/>
        <v>0</v>
      </c>
      <c r="BX80" s="223" t="e">
        <f t="shared" si="71"/>
        <v>#DIV/0!</v>
      </c>
      <c r="BY80" s="223">
        <f t="shared" si="72"/>
        <v>0</v>
      </c>
      <c r="BZ80" s="223">
        <f t="shared" si="73"/>
        <v>0</v>
      </c>
      <c r="CA80" s="226"/>
      <c r="CB80" s="175"/>
      <c r="CC80" s="191"/>
      <c r="CD80" s="192"/>
      <c r="CE80" s="193" t="e">
        <f t="shared" si="48"/>
        <v>#DIV/0!</v>
      </c>
      <c r="CF80" s="191"/>
      <c r="CG80" s="192"/>
      <c r="CH80" s="193" t="e">
        <f t="shared" si="49"/>
        <v>#DIV/0!</v>
      </c>
      <c r="CI80" s="197"/>
      <c r="CJ80" s="198"/>
      <c r="CK80" s="193" t="e">
        <f t="shared" si="50"/>
        <v>#DIV/0!</v>
      </c>
      <c r="CL80" s="195">
        <f t="shared" si="51"/>
        <v>0</v>
      </c>
      <c r="CM80" s="194">
        <f t="shared" si="52"/>
        <v>0</v>
      </c>
      <c r="CN80" s="193" t="e">
        <f t="shared" si="53"/>
        <v>#DIV/0!</v>
      </c>
      <c r="CO80" s="175"/>
      <c r="CP80" s="196">
        <f t="shared" si="54"/>
        <v>0</v>
      </c>
      <c r="CQ80" s="196">
        <f t="shared" si="55"/>
        <v>0</v>
      </c>
      <c r="CR80" s="199" t="e">
        <f t="shared" si="56"/>
        <v>#DIV/0!</v>
      </c>
      <c r="CS80" s="261">
        <f t="shared" si="74"/>
        <v>1</v>
      </c>
      <c r="CT80" s="175"/>
      <c r="CU80" s="196">
        <f t="shared" si="75"/>
        <v>0.3</v>
      </c>
      <c r="CV80" s="259"/>
      <c r="CW80" s="199">
        <f t="shared" si="76"/>
        <v>0</v>
      </c>
      <c r="CX80" s="196">
        <f t="shared" si="77"/>
        <v>0.3</v>
      </c>
      <c r="CY80" s="259"/>
      <c r="CZ80" s="199">
        <f t="shared" si="78"/>
        <v>0</v>
      </c>
      <c r="DA80" s="196">
        <f t="shared" si="79"/>
        <v>0.3</v>
      </c>
      <c r="DB80" s="259"/>
      <c r="DC80" s="199">
        <f t="shared" si="80"/>
        <v>0</v>
      </c>
      <c r="DD80" s="196">
        <f t="shared" si="81"/>
        <v>0.1</v>
      </c>
      <c r="DE80" s="259"/>
      <c r="DF80" s="199">
        <f t="shared" si="82"/>
        <v>0</v>
      </c>
      <c r="DG80" s="175"/>
      <c r="DH80" s="196">
        <f t="shared" si="83"/>
        <v>1</v>
      </c>
      <c r="DI80" s="196">
        <f t="shared" si="84"/>
        <v>0</v>
      </c>
      <c r="DJ80" s="199">
        <f t="shared" si="85"/>
        <v>0</v>
      </c>
      <c r="DK80" s="265">
        <f t="shared" si="86"/>
        <v>1</v>
      </c>
      <c r="DL80" s="244">
        <v>76</v>
      </c>
      <c r="DM80">
        <f t="shared" si="62"/>
        <v>0</v>
      </c>
    </row>
    <row r="81" spans="1:117" x14ac:dyDescent="0.3">
      <c r="A81" s="246">
        <v>77</v>
      </c>
      <c r="B81" s="91" t="s">
        <v>132</v>
      </c>
      <c r="C81" s="91" t="s">
        <v>133</v>
      </c>
      <c r="D81" s="91" t="s">
        <v>119</v>
      </c>
      <c r="E81" s="91" t="s">
        <v>155</v>
      </c>
      <c r="F81" s="91" t="s">
        <v>343</v>
      </c>
      <c r="G81" s="87" t="s">
        <v>344</v>
      </c>
      <c r="H81" s="87" t="s">
        <v>345</v>
      </c>
      <c r="I81" s="87" t="s">
        <v>340</v>
      </c>
      <c r="J81" s="87" t="s">
        <v>340</v>
      </c>
      <c r="K81" s="85" t="s">
        <v>104</v>
      </c>
      <c r="L81" s="85" t="s">
        <v>105</v>
      </c>
      <c r="M81" s="87" t="s">
        <v>106</v>
      </c>
      <c r="N81" s="87" t="s">
        <v>341</v>
      </c>
      <c r="O81" s="87" t="s">
        <v>127</v>
      </c>
      <c r="P81" s="241" t="s">
        <v>358</v>
      </c>
      <c r="Q81" s="87" t="s">
        <v>129</v>
      </c>
      <c r="R81" s="130">
        <v>1</v>
      </c>
      <c r="S81" s="88" t="s">
        <v>158</v>
      </c>
      <c r="T81" s="81">
        <v>0</v>
      </c>
      <c r="U81" s="81">
        <v>0</v>
      </c>
      <c r="V81" s="25" t="e">
        <f t="shared" si="61"/>
        <v>#DIV/0!</v>
      </c>
      <c r="W81" s="81">
        <v>1</v>
      </c>
      <c r="X81" s="81">
        <v>0.5</v>
      </c>
      <c r="Y81" s="25">
        <f t="shared" si="1"/>
        <v>50</v>
      </c>
      <c r="Z81" s="81">
        <v>0</v>
      </c>
      <c r="AA81" s="81"/>
      <c r="AB81" s="25" t="e">
        <f t="shared" si="2"/>
        <v>#DIV/0!</v>
      </c>
      <c r="AC81" s="81">
        <v>0</v>
      </c>
      <c r="AD81" s="81"/>
      <c r="AE81" s="25" t="e">
        <f t="shared" si="3"/>
        <v>#DIV/0!</v>
      </c>
      <c r="AF81" s="137">
        <f t="shared" si="43"/>
        <v>1</v>
      </c>
      <c r="AG81" s="137">
        <f t="shared" si="44"/>
        <v>0.5</v>
      </c>
      <c r="AH81" s="128">
        <f t="shared" si="5"/>
        <v>50</v>
      </c>
      <c r="AI81" s="90">
        <v>46054</v>
      </c>
      <c r="AJ81" s="90">
        <v>46477</v>
      </c>
      <c r="AK81" s="91" t="s">
        <v>112</v>
      </c>
      <c r="AL81" s="91" t="s">
        <v>113</v>
      </c>
      <c r="AM81" s="92" t="s">
        <v>114</v>
      </c>
      <c r="AN81" s="93">
        <v>10000000</v>
      </c>
      <c r="AO81" s="93">
        <v>10000000</v>
      </c>
      <c r="AP81" s="93">
        <v>10000000</v>
      </c>
      <c r="AQ81" s="94">
        <f>AO81</f>
        <v>10000000</v>
      </c>
      <c r="AR81" s="91" t="s">
        <v>159</v>
      </c>
      <c r="AS81" s="91" t="s">
        <v>112</v>
      </c>
      <c r="AT81" s="150" t="s">
        <v>2226</v>
      </c>
      <c r="AU81" s="165" t="s">
        <v>2264</v>
      </c>
      <c r="AV81" s="232" t="s">
        <v>2234</v>
      </c>
      <c r="AW81" s="126" t="s">
        <v>2242</v>
      </c>
      <c r="BA81" s="255"/>
      <c r="BB81" s="256"/>
      <c r="BC81" s="223" t="e">
        <f t="shared" si="63"/>
        <v>#DIV/0!</v>
      </c>
      <c r="BD81" s="255"/>
      <c r="BE81" s="256"/>
      <c r="BF81" s="223" t="e">
        <f t="shared" si="64"/>
        <v>#DIV/0!</v>
      </c>
      <c r="BG81" s="255"/>
      <c r="BH81" s="256"/>
      <c r="BI81" s="223" t="e">
        <f t="shared" si="65"/>
        <v>#DIV/0!</v>
      </c>
      <c r="BJ81" s="224">
        <f t="shared" si="66"/>
        <v>0</v>
      </c>
      <c r="BK81" s="225">
        <f t="shared" si="67"/>
        <v>0</v>
      </c>
      <c r="BL81" s="223" t="e">
        <f t="shared" si="68"/>
        <v>#DIV/0!</v>
      </c>
      <c r="BM81" s="255"/>
      <c r="BN81" s="256"/>
      <c r="BO81" s="223" t="e">
        <f t="shared" si="45"/>
        <v>#DIV/0!</v>
      </c>
      <c r="BP81" s="255"/>
      <c r="BQ81" s="256"/>
      <c r="BR81" s="223" t="e">
        <f t="shared" si="46"/>
        <v>#DIV/0!</v>
      </c>
      <c r="BS81" s="255"/>
      <c r="BT81" s="255"/>
      <c r="BU81" s="223" t="e">
        <f t="shared" si="47"/>
        <v>#DIV/0!</v>
      </c>
      <c r="BV81" s="224">
        <f t="shared" si="69"/>
        <v>0</v>
      </c>
      <c r="BW81" s="224">
        <f t="shared" si="70"/>
        <v>0</v>
      </c>
      <c r="BX81" s="223" t="e">
        <f t="shared" si="71"/>
        <v>#DIV/0!</v>
      </c>
      <c r="BY81" s="223">
        <f t="shared" si="72"/>
        <v>0</v>
      </c>
      <c r="BZ81" s="223">
        <f t="shared" si="73"/>
        <v>0</v>
      </c>
      <c r="CA81" s="226"/>
      <c r="CB81" s="175"/>
      <c r="CC81" s="191"/>
      <c r="CD81" s="192"/>
      <c r="CE81" s="193" t="e">
        <f t="shared" si="48"/>
        <v>#DIV/0!</v>
      </c>
      <c r="CF81" s="191"/>
      <c r="CG81" s="192"/>
      <c r="CH81" s="193" t="e">
        <f t="shared" si="49"/>
        <v>#DIV/0!</v>
      </c>
      <c r="CI81" s="197"/>
      <c r="CJ81" s="198"/>
      <c r="CK81" s="193" t="e">
        <f t="shared" si="50"/>
        <v>#DIV/0!</v>
      </c>
      <c r="CL81" s="195">
        <f t="shared" si="51"/>
        <v>0</v>
      </c>
      <c r="CM81" s="194">
        <f t="shared" si="52"/>
        <v>0</v>
      </c>
      <c r="CN81" s="193" t="e">
        <f t="shared" si="53"/>
        <v>#DIV/0!</v>
      </c>
      <c r="CO81" s="175"/>
      <c r="CP81" s="196">
        <f t="shared" si="54"/>
        <v>0</v>
      </c>
      <c r="CQ81" s="196">
        <f t="shared" si="55"/>
        <v>0</v>
      </c>
      <c r="CR81" s="199" t="e">
        <f t="shared" si="56"/>
        <v>#DIV/0!</v>
      </c>
      <c r="CS81" s="261">
        <f t="shared" si="74"/>
        <v>1</v>
      </c>
      <c r="CT81" s="175"/>
      <c r="CU81" s="196">
        <f t="shared" si="75"/>
        <v>0.3</v>
      </c>
      <c r="CV81" s="259"/>
      <c r="CW81" s="199">
        <f t="shared" si="76"/>
        <v>0</v>
      </c>
      <c r="CX81" s="196">
        <f t="shared" si="77"/>
        <v>0.3</v>
      </c>
      <c r="CY81" s="259"/>
      <c r="CZ81" s="199">
        <f t="shared" si="78"/>
        <v>0</v>
      </c>
      <c r="DA81" s="196">
        <f t="shared" si="79"/>
        <v>0.3</v>
      </c>
      <c r="DB81" s="259"/>
      <c r="DC81" s="199">
        <f t="shared" si="80"/>
        <v>0</v>
      </c>
      <c r="DD81" s="196">
        <f t="shared" si="81"/>
        <v>0.1</v>
      </c>
      <c r="DE81" s="259"/>
      <c r="DF81" s="199">
        <f t="shared" si="82"/>
        <v>0</v>
      </c>
      <c r="DG81" s="175"/>
      <c r="DH81" s="196">
        <f t="shared" si="83"/>
        <v>1</v>
      </c>
      <c r="DI81" s="196">
        <f t="shared" si="84"/>
        <v>0</v>
      </c>
      <c r="DJ81" s="199">
        <f t="shared" si="85"/>
        <v>0</v>
      </c>
      <c r="DK81" s="265">
        <f t="shared" si="86"/>
        <v>1</v>
      </c>
      <c r="DL81" s="244">
        <v>77</v>
      </c>
      <c r="DM81">
        <f t="shared" si="62"/>
        <v>0</v>
      </c>
    </row>
    <row r="82" spans="1:117" x14ac:dyDescent="0.3">
      <c r="A82" s="246">
        <v>78</v>
      </c>
      <c r="B82" s="91" t="s">
        <v>132</v>
      </c>
      <c r="C82" s="91" t="s">
        <v>133</v>
      </c>
      <c r="D82" s="91" t="s">
        <v>119</v>
      </c>
      <c r="E82" s="91" t="s">
        <v>212</v>
      </c>
      <c r="F82" s="91" t="s">
        <v>354</v>
      </c>
      <c r="G82" s="87" t="s">
        <v>359</v>
      </c>
      <c r="H82" s="87" t="s">
        <v>345</v>
      </c>
      <c r="I82" s="87" t="s">
        <v>340</v>
      </c>
      <c r="J82" s="87" t="s">
        <v>340</v>
      </c>
      <c r="K82" s="85" t="s">
        <v>104</v>
      </c>
      <c r="L82" s="85" t="s">
        <v>105</v>
      </c>
      <c r="M82" s="87" t="s">
        <v>106</v>
      </c>
      <c r="N82" s="87" t="s">
        <v>341</v>
      </c>
      <c r="O82" s="87" t="s">
        <v>127</v>
      </c>
      <c r="P82" s="87" t="s">
        <v>360</v>
      </c>
      <c r="Q82" s="87" t="s">
        <v>129</v>
      </c>
      <c r="R82" s="130">
        <v>1</v>
      </c>
      <c r="S82" s="88" t="s">
        <v>111</v>
      </c>
      <c r="T82" s="81">
        <v>0</v>
      </c>
      <c r="U82" s="81">
        <v>0</v>
      </c>
      <c r="V82" s="25" t="e">
        <f t="shared" si="61"/>
        <v>#DIV/0!</v>
      </c>
      <c r="W82" s="81">
        <v>0</v>
      </c>
      <c r="X82" s="81">
        <v>0</v>
      </c>
      <c r="Y82" s="25" t="e">
        <f t="shared" si="1"/>
        <v>#DIV/0!</v>
      </c>
      <c r="Z82" s="81">
        <v>0</v>
      </c>
      <c r="AA82" s="81"/>
      <c r="AB82" s="25" t="e">
        <f t="shared" si="2"/>
        <v>#DIV/0!</v>
      </c>
      <c r="AC82" s="81">
        <v>1</v>
      </c>
      <c r="AD82" s="81"/>
      <c r="AE82" s="25">
        <f t="shared" si="3"/>
        <v>0</v>
      </c>
      <c r="AF82" s="137">
        <f t="shared" si="43"/>
        <v>1</v>
      </c>
      <c r="AG82" s="137">
        <f t="shared" si="44"/>
        <v>0</v>
      </c>
      <c r="AH82" s="128" t="e">
        <f t="shared" si="5"/>
        <v>#DIV/0!</v>
      </c>
      <c r="AI82" s="90">
        <v>46113</v>
      </c>
      <c r="AJ82" s="90">
        <v>46477</v>
      </c>
      <c r="AK82" s="91" t="s">
        <v>112</v>
      </c>
      <c r="AL82" s="91" t="s">
        <v>113</v>
      </c>
      <c r="AM82" s="92" t="s">
        <v>114</v>
      </c>
      <c r="AN82" s="93"/>
      <c r="AO82" s="93"/>
      <c r="AP82" s="93"/>
      <c r="AQ82" s="94"/>
      <c r="AR82" s="91" t="s">
        <v>159</v>
      </c>
      <c r="AS82" s="91" t="s">
        <v>112</v>
      </c>
      <c r="AT82" s="150" t="s">
        <v>2226</v>
      </c>
      <c r="AU82" s="165" t="s">
        <v>2264</v>
      </c>
      <c r="AV82" s="232" t="s">
        <v>2234</v>
      </c>
      <c r="AW82" s="126" t="s">
        <v>2242</v>
      </c>
      <c r="BA82" s="255"/>
      <c r="BB82" s="256"/>
      <c r="BC82" s="223" t="e">
        <f t="shared" si="63"/>
        <v>#DIV/0!</v>
      </c>
      <c r="BD82" s="255"/>
      <c r="BE82" s="256"/>
      <c r="BF82" s="223" t="e">
        <f t="shared" si="64"/>
        <v>#DIV/0!</v>
      </c>
      <c r="BG82" s="255"/>
      <c r="BH82" s="256"/>
      <c r="BI82" s="223" t="e">
        <f t="shared" si="65"/>
        <v>#DIV/0!</v>
      </c>
      <c r="BJ82" s="224">
        <f t="shared" si="66"/>
        <v>0</v>
      </c>
      <c r="BK82" s="225">
        <f t="shared" si="67"/>
        <v>0</v>
      </c>
      <c r="BL82" s="223" t="e">
        <f t="shared" si="68"/>
        <v>#DIV/0!</v>
      </c>
      <c r="BM82" s="255"/>
      <c r="BN82" s="256"/>
      <c r="BO82" s="223" t="e">
        <f t="shared" si="45"/>
        <v>#DIV/0!</v>
      </c>
      <c r="BP82" s="255"/>
      <c r="BQ82" s="256"/>
      <c r="BR82" s="223" t="e">
        <f t="shared" si="46"/>
        <v>#DIV/0!</v>
      </c>
      <c r="BS82" s="255"/>
      <c r="BT82" s="255"/>
      <c r="BU82" s="223" t="e">
        <f t="shared" si="47"/>
        <v>#DIV/0!</v>
      </c>
      <c r="BV82" s="224">
        <f t="shared" si="69"/>
        <v>0</v>
      </c>
      <c r="BW82" s="224">
        <f t="shared" si="70"/>
        <v>0</v>
      </c>
      <c r="BX82" s="223" t="e">
        <f t="shared" si="71"/>
        <v>#DIV/0!</v>
      </c>
      <c r="BY82" s="223">
        <f t="shared" si="72"/>
        <v>0</v>
      </c>
      <c r="BZ82" s="223">
        <f t="shared" si="73"/>
        <v>0</v>
      </c>
      <c r="CA82" s="226"/>
      <c r="CB82" s="175"/>
      <c r="CC82" s="191"/>
      <c r="CD82" s="192"/>
      <c r="CE82" s="193" t="e">
        <f t="shared" si="48"/>
        <v>#DIV/0!</v>
      </c>
      <c r="CF82" s="191"/>
      <c r="CG82" s="192"/>
      <c r="CH82" s="193" t="e">
        <f t="shared" si="49"/>
        <v>#DIV/0!</v>
      </c>
      <c r="CI82" s="197"/>
      <c r="CJ82" s="198"/>
      <c r="CK82" s="193" t="e">
        <f t="shared" si="50"/>
        <v>#DIV/0!</v>
      </c>
      <c r="CL82" s="195">
        <f t="shared" si="51"/>
        <v>0</v>
      </c>
      <c r="CM82" s="194">
        <f t="shared" si="52"/>
        <v>0</v>
      </c>
      <c r="CN82" s="193" t="e">
        <f t="shared" si="53"/>
        <v>#DIV/0!</v>
      </c>
      <c r="CO82" s="175"/>
      <c r="CP82" s="196">
        <f t="shared" si="54"/>
        <v>0</v>
      </c>
      <c r="CQ82" s="196">
        <f t="shared" si="55"/>
        <v>0</v>
      </c>
      <c r="CR82" s="199" t="e">
        <f t="shared" si="56"/>
        <v>#DIV/0!</v>
      </c>
      <c r="CS82" s="261">
        <f t="shared" si="74"/>
        <v>1</v>
      </c>
      <c r="CT82" s="175"/>
      <c r="CU82" s="196">
        <f t="shared" si="75"/>
        <v>0.3</v>
      </c>
      <c r="CV82" s="259"/>
      <c r="CW82" s="199">
        <f t="shared" si="76"/>
        <v>0</v>
      </c>
      <c r="CX82" s="196">
        <f t="shared" si="77"/>
        <v>0.3</v>
      </c>
      <c r="CY82" s="259"/>
      <c r="CZ82" s="199">
        <f t="shared" si="78"/>
        <v>0</v>
      </c>
      <c r="DA82" s="196">
        <f t="shared" si="79"/>
        <v>0.3</v>
      </c>
      <c r="DB82" s="259"/>
      <c r="DC82" s="199">
        <f t="shared" si="80"/>
        <v>0</v>
      </c>
      <c r="DD82" s="196">
        <f t="shared" si="81"/>
        <v>0.1</v>
      </c>
      <c r="DE82" s="259"/>
      <c r="DF82" s="199">
        <f t="shared" si="82"/>
        <v>0</v>
      </c>
      <c r="DG82" s="175"/>
      <c r="DH82" s="196">
        <f t="shared" si="83"/>
        <v>1</v>
      </c>
      <c r="DI82" s="196">
        <f t="shared" si="84"/>
        <v>0</v>
      </c>
      <c r="DJ82" s="199">
        <f t="shared" si="85"/>
        <v>0</v>
      </c>
      <c r="DK82" s="265">
        <f t="shared" si="86"/>
        <v>1</v>
      </c>
      <c r="DL82" s="244">
        <v>78</v>
      </c>
      <c r="DM82">
        <f t="shared" si="62"/>
        <v>0</v>
      </c>
    </row>
    <row r="83" spans="1:117" x14ac:dyDescent="0.3">
      <c r="A83" s="246">
        <v>79</v>
      </c>
      <c r="B83" s="91" t="s">
        <v>132</v>
      </c>
      <c r="C83" s="91" t="s">
        <v>118</v>
      </c>
      <c r="D83" s="91" t="s">
        <v>119</v>
      </c>
      <c r="E83" s="91" t="s">
        <v>155</v>
      </c>
      <c r="F83" s="91" t="s">
        <v>343</v>
      </c>
      <c r="G83" s="87" t="s">
        <v>361</v>
      </c>
      <c r="H83" s="87" t="s">
        <v>362</v>
      </c>
      <c r="I83" s="87" t="s">
        <v>340</v>
      </c>
      <c r="J83" s="87" t="s">
        <v>340</v>
      </c>
      <c r="K83" s="85" t="s">
        <v>104</v>
      </c>
      <c r="L83" s="85" t="s">
        <v>105</v>
      </c>
      <c r="M83" s="87" t="s">
        <v>106</v>
      </c>
      <c r="N83" s="87" t="s">
        <v>341</v>
      </c>
      <c r="O83" s="87" t="s">
        <v>127</v>
      </c>
      <c r="P83" s="87" t="s">
        <v>363</v>
      </c>
      <c r="Q83" s="87" t="s">
        <v>129</v>
      </c>
      <c r="R83" s="130">
        <v>1</v>
      </c>
      <c r="S83" s="88" t="s">
        <v>111</v>
      </c>
      <c r="T83" s="81">
        <v>0</v>
      </c>
      <c r="U83" s="81">
        <v>0</v>
      </c>
      <c r="V83" s="25" t="e">
        <f t="shared" si="61"/>
        <v>#DIV/0!</v>
      </c>
      <c r="W83" s="81">
        <v>0</v>
      </c>
      <c r="X83" s="81">
        <v>1</v>
      </c>
      <c r="Y83" s="25" t="e">
        <f t="shared" si="1"/>
        <v>#DIV/0!</v>
      </c>
      <c r="Z83" s="81">
        <v>0</v>
      </c>
      <c r="AA83" s="81"/>
      <c r="AB83" s="25" t="e">
        <f t="shared" si="2"/>
        <v>#DIV/0!</v>
      </c>
      <c r="AC83" s="81">
        <v>1</v>
      </c>
      <c r="AD83" s="81"/>
      <c r="AE83" s="25">
        <f t="shared" si="3"/>
        <v>0</v>
      </c>
      <c r="AF83" s="137">
        <f t="shared" si="43"/>
        <v>1</v>
      </c>
      <c r="AG83" s="137">
        <f t="shared" si="44"/>
        <v>1</v>
      </c>
      <c r="AH83" s="128" t="e">
        <f t="shared" si="5"/>
        <v>#DIV/0!</v>
      </c>
      <c r="AI83" s="90">
        <v>46113</v>
      </c>
      <c r="AJ83" s="90">
        <v>46477</v>
      </c>
      <c r="AK83" s="91" t="s">
        <v>112</v>
      </c>
      <c r="AL83" s="91" t="s">
        <v>113</v>
      </c>
      <c r="AM83" s="92" t="s">
        <v>114</v>
      </c>
      <c r="AN83" s="93"/>
      <c r="AO83" s="93"/>
      <c r="AP83" s="93"/>
      <c r="AQ83" s="94"/>
      <c r="AR83" s="91" t="s">
        <v>159</v>
      </c>
      <c r="AS83" s="91" t="s">
        <v>112</v>
      </c>
      <c r="AT83" s="150" t="s">
        <v>2226</v>
      </c>
      <c r="AU83" s="165" t="s">
        <v>2264</v>
      </c>
      <c r="AV83" s="232" t="s">
        <v>2234</v>
      </c>
      <c r="AW83" s="126" t="s">
        <v>2242</v>
      </c>
      <c r="BA83" s="255"/>
      <c r="BB83" s="256"/>
      <c r="BC83" s="223" t="e">
        <f t="shared" si="63"/>
        <v>#DIV/0!</v>
      </c>
      <c r="BD83" s="255"/>
      <c r="BE83" s="256"/>
      <c r="BF83" s="223" t="e">
        <f t="shared" si="64"/>
        <v>#DIV/0!</v>
      </c>
      <c r="BG83" s="255"/>
      <c r="BH83" s="256"/>
      <c r="BI83" s="223" t="e">
        <f t="shared" si="65"/>
        <v>#DIV/0!</v>
      </c>
      <c r="BJ83" s="224">
        <f t="shared" si="66"/>
        <v>0</v>
      </c>
      <c r="BK83" s="225">
        <f t="shared" si="67"/>
        <v>0</v>
      </c>
      <c r="BL83" s="223" t="e">
        <f t="shared" si="68"/>
        <v>#DIV/0!</v>
      </c>
      <c r="BM83" s="255"/>
      <c r="BN83" s="256"/>
      <c r="BO83" s="223" t="e">
        <f t="shared" si="45"/>
        <v>#DIV/0!</v>
      </c>
      <c r="BP83" s="255"/>
      <c r="BQ83" s="256"/>
      <c r="BR83" s="223" t="e">
        <f t="shared" si="46"/>
        <v>#DIV/0!</v>
      </c>
      <c r="BS83" s="255"/>
      <c r="BT83" s="255"/>
      <c r="BU83" s="223" t="e">
        <f t="shared" si="47"/>
        <v>#DIV/0!</v>
      </c>
      <c r="BV83" s="224">
        <f t="shared" si="69"/>
        <v>0</v>
      </c>
      <c r="BW83" s="224">
        <f t="shared" si="70"/>
        <v>0</v>
      </c>
      <c r="BX83" s="223" t="e">
        <f t="shared" si="71"/>
        <v>#DIV/0!</v>
      </c>
      <c r="BY83" s="223">
        <f t="shared" si="72"/>
        <v>0</v>
      </c>
      <c r="BZ83" s="223">
        <f t="shared" si="73"/>
        <v>0</v>
      </c>
      <c r="CA83" s="226"/>
      <c r="CB83" s="175"/>
      <c r="CC83" s="191"/>
      <c r="CD83" s="192"/>
      <c r="CE83" s="193" t="e">
        <f t="shared" si="48"/>
        <v>#DIV/0!</v>
      </c>
      <c r="CF83" s="191"/>
      <c r="CG83" s="192"/>
      <c r="CH83" s="193" t="e">
        <f t="shared" si="49"/>
        <v>#DIV/0!</v>
      </c>
      <c r="CI83" s="197"/>
      <c r="CJ83" s="198"/>
      <c r="CK83" s="193" t="e">
        <f t="shared" si="50"/>
        <v>#DIV/0!</v>
      </c>
      <c r="CL83" s="195">
        <f t="shared" si="51"/>
        <v>0</v>
      </c>
      <c r="CM83" s="194">
        <f t="shared" si="52"/>
        <v>0</v>
      </c>
      <c r="CN83" s="193" t="e">
        <f t="shared" si="53"/>
        <v>#DIV/0!</v>
      </c>
      <c r="CO83" s="175"/>
      <c r="CP83" s="196">
        <f t="shared" si="54"/>
        <v>0</v>
      </c>
      <c r="CQ83" s="196">
        <f t="shared" si="55"/>
        <v>0</v>
      </c>
      <c r="CR83" s="199" t="e">
        <f t="shared" si="56"/>
        <v>#DIV/0!</v>
      </c>
      <c r="CS83" s="261">
        <f t="shared" si="74"/>
        <v>1</v>
      </c>
      <c r="CT83" s="175"/>
      <c r="CU83" s="196">
        <f t="shared" si="75"/>
        <v>0.3</v>
      </c>
      <c r="CV83" s="259"/>
      <c r="CW83" s="199">
        <f t="shared" si="76"/>
        <v>0</v>
      </c>
      <c r="CX83" s="196">
        <f t="shared" si="77"/>
        <v>0.3</v>
      </c>
      <c r="CY83" s="259"/>
      <c r="CZ83" s="199">
        <f t="shared" si="78"/>
        <v>0</v>
      </c>
      <c r="DA83" s="196">
        <f t="shared" si="79"/>
        <v>0.3</v>
      </c>
      <c r="DB83" s="259"/>
      <c r="DC83" s="199">
        <f t="shared" si="80"/>
        <v>0</v>
      </c>
      <c r="DD83" s="196">
        <f t="shared" si="81"/>
        <v>0.1</v>
      </c>
      <c r="DE83" s="259"/>
      <c r="DF83" s="199">
        <f t="shared" si="82"/>
        <v>0</v>
      </c>
      <c r="DG83" s="175"/>
      <c r="DH83" s="196">
        <f t="shared" si="83"/>
        <v>1</v>
      </c>
      <c r="DI83" s="196">
        <f t="shared" si="84"/>
        <v>0</v>
      </c>
      <c r="DJ83" s="199">
        <f t="shared" si="85"/>
        <v>0</v>
      </c>
      <c r="DK83" s="265">
        <f t="shared" si="86"/>
        <v>1</v>
      </c>
      <c r="DL83" s="244">
        <v>79</v>
      </c>
      <c r="DM83">
        <f t="shared" si="62"/>
        <v>0</v>
      </c>
    </row>
    <row r="84" spans="1:117" x14ac:dyDescent="0.3">
      <c r="A84" s="246">
        <v>80</v>
      </c>
      <c r="B84" s="91" t="s">
        <v>132</v>
      </c>
      <c r="C84" s="91" t="s">
        <v>97</v>
      </c>
      <c r="D84" s="91" t="s">
        <v>98</v>
      </c>
      <c r="E84" s="91" t="s">
        <v>99</v>
      </c>
      <c r="F84" s="91" t="s">
        <v>343</v>
      </c>
      <c r="G84" s="87" t="s">
        <v>364</v>
      </c>
      <c r="H84" s="87" t="s">
        <v>365</v>
      </c>
      <c r="I84" s="87" t="s">
        <v>340</v>
      </c>
      <c r="J84" s="87" t="s">
        <v>340</v>
      </c>
      <c r="K84" s="85" t="s">
        <v>104</v>
      </c>
      <c r="L84" s="85" t="s">
        <v>105</v>
      </c>
      <c r="M84" s="87" t="s">
        <v>106</v>
      </c>
      <c r="N84" s="87" t="s">
        <v>341</v>
      </c>
      <c r="O84" s="87" t="s">
        <v>108</v>
      </c>
      <c r="P84" s="87" t="s">
        <v>366</v>
      </c>
      <c r="Q84" s="87" t="s">
        <v>110</v>
      </c>
      <c r="R84" s="130">
        <v>100</v>
      </c>
      <c r="S84" s="88" t="s">
        <v>158</v>
      </c>
      <c r="T84" s="81">
        <v>25</v>
      </c>
      <c r="U84" s="81">
        <v>0</v>
      </c>
      <c r="V84" s="25">
        <f t="shared" si="61"/>
        <v>0</v>
      </c>
      <c r="W84" s="81">
        <v>25</v>
      </c>
      <c r="X84" s="81">
        <v>0</v>
      </c>
      <c r="Y84" s="25">
        <f t="shared" si="1"/>
        <v>0</v>
      </c>
      <c r="Z84" s="81">
        <v>25</v>
      </c>
      <c r="AA84" s="81"/>
      <c r="AB84" s="25">
        <f t="shared" si="2"/>
        <v>0</v>
      </c>
      <c r="AC84" s="81">
        <v>25</v>
      </c>
      <c r="AD84" s="81"/>
      <c r="AE84" s="25">
        <f t="shared" si="3"/>
        <v>0</v>
      </c>
      <c r="AF84" s="137">
        <f t="shared" si="43"/>
        <v>100</v>
      </c>
      <c r="AG84" s="137">
        <f t="shared" si="44"/>
        <v>0</v>
      </c>
      <c r="AH84" s="128">
        <f t="shared" si="5"/>
        <v>0</v>
      </c>
      <c r="AI84" s="90">
        <v>46113</v>
      </c>
      <c r="AJ84" s="90">
        <v>46477</v>
      </c>
      <c r="AK84" s="91" t="s">
        <v>112</v>
      </c>
      <c r="AL84" s="91" t="s">
        <v>113</v>
      </c>
      <c r="AM84" s="92" t="s">
        <v>114</v>
      </c>
      <c r="AN84" s="93"/>
      <c r="AO84" s="93"/>
      <c r="AP84" s="93"/>
      <c r="AQ84" s="94"/>
      <c r="AR84" s="91" t="s">
        <v>159</v>
      </c>
      <c r="AS84" s="91" t="s">
        <v>112</v>
      </c>
      <c r="AT84" s="150" t="s">
        <v>2226</v>
      </c>
      <c r="AU84" s="165" t="s">
        <v>2264</v>
      </c>
      <c r="AV84" s="232" t="s">
        <v>2234</v>
      </c>
      <c r="AW84" s="126" t="s">
        <v>2242</v>
      </c>
      <c r="BA84" s="255"/>
      <c r="BB84" s="256"/>
      <c r="BC84" s="223" t="e">
        <f t="shared" si="63"/>
        <v>#DIV/0!</v>
      </c>
      <c r="BD84" s="255"/>
      <c r="BE84" s="256"/>
      <c r="BF84" s="223" t="e">
        <f t="shared" si="64"/>
        <v>#DIV/0!</v>
      </c>
      <c r="BG84" s="255"/>
      <c r="BH84" s="256"/>
      <c r="BI84" s="223" t="e">
        <f t="shared" si="65"/>
        <v>#DIV/0!</v>
      </c>
      <c r="BJ84" s="224">
        <f t="shared" si="66"/>
        <v>0</v>
      </c>
      <c r="BK84" s="225">
        <f t="shared" si="67"/>
        <v>0</v>
      </c>
      <c r="BL84" s="223" t="e">
        <f t="shared" si="68"/>
        <v>#DIV/0!</v>
      </c>
      <c r="BM84" s="255"/>
      <c r="BN84" s="256"/>
      <c r="BO84" s="223" t="e">
        <f t="shared" si="45"/>
        <v>#DIV/0!</v>
      </c>
      <c r="BP84" s="255"/>
      <c r="BQ84" s="256"/>
      <c r="BR84" s="223" t="e">
        <f t="shared" si="46"/>
        <v>#DIV/0!</v>
      </c>
      <c r="BS84" s="255"/>
      <c r="BT84" s="255"/>
      <c r="BU84" s="223" t="e">
        <f t="shared" si="47"/>
        <v>#DIV/0!</v>
      </c>
      <c r="BV84" s="224">
        <f t="shared" si="69"/>
        <v>0</v>
      </c>
      <c r="BW84" s="224">
        <f t="shared" si="70"/>
        <v>0</v>
      </c>
      <c r="BX84" s="223" t="e">
        <f t="shared" si="71"/>
        <v>#DIV/0!</v>
      </c>
      <c r="BY84" s="223">
        <f t="shared" si="72"/>
        <v>0</v>
      </c>
      <c r="BZ84" s="223">
        <f t="shared" si="73"/>
        <v>0</v>
      </c>
      <c r="CA84" s="226"/>
      <c r="CB84" s="175"/>
      <c r="CC84" s="191"/>
      <c r="CD84" s="192"/>
      <c r="CE84" s="193" t="e">
        <f t="shared" si="48"/>
        <v>#DIV/0!</v>
      </c>
      <c r="CF84" s="191"/>
      <c r="CG84" s="192"/>
      <c r="CH84" s="193" t="e">
        <f t="shared" si="49"/>
        <v>#DIV/0!</v>
      </c>
      <c r="CI84" s="197"/>
      <c r="CJ84" s="198"/>
      <c r="CK84" s="193" t="e">
        <f t="shared" si="50"/>
        <v>#DIV/0!</v>
      </c>
      <c r="CL84" s="195">
        <f t="shared" si="51"/>
        <v>0</v>
      </c>
      <c r="CM84" s="194">
        <f t="shared" si="52"/>
        <v>0</v>
      </c>
      <c r="CN84" s="193" t="e">
        <f t="shared" si="53"/>
        <v>#DIV/0!</v>
      </c>
      <c r="CO84" s="175"/>
      <c r="CP84" s="196">
        <f t="shared" si="54"/>
        <v>0</v>
      </c>
      <c r="CQ84" s="196">
        <f t="shared" si="55"/>
        <v>0</v>
      </c>
      <c r="CR84" s="199" t="e">
        <f t="shared" si="56"/>
        <v>#DIV/0!</v>
      </c>
      <c r="CS84" s="261">
        <f t="shared" si="74"/>
        <v>100</v>
      </c>
      <c r="CT84" s="175"/>
      <c r="CU84" s="196">
        <f t="shared" si="75"/>
        <v>30</v>
      </c>
      <c r="CV84" s="259"/>
      <c r="CW84" s="199">
        <f t="shared" si="76"/>
        <v>0</v>
      </c>
      <c r="CX84" s="196">
        <f t="shared" si="77"/>
        <v>30</v>
      </c>
      <c r="CY84" s="259"/>
      <c r="CZ84" s="199">
        <f t="shared" si="78"/>
        <v>0</v>
      </c>
      <c r="DA84" s="196">
        <f t="shared" si="79"/>
        <v>30</v>
      </c>
      <c r="DB84" s="259"/>
      <c r="DC84" s="199">
        <f t="shared" si="80"/>
        <v>0</v>
      </c>
      <c r="DD84" s="196">
        <f t="shared" si="81"/>
        <v>10</v>
      </c>
      <c r="DE84" s="259"/>
      <c r="DF84" s="199">
        <f t="shared" si="82"/>
        <v>0</v>
      </c>
      <c r="DG84" s="175"/>
      <c r="DH84" s="196">
        <f t="shared" si="83"/>
        <v>100</v>
      </c>
      <c r="DI84" s="196">
        <f t="shared" si="84"/>
        <v>0</v>
      </c>
      <c r="DJ84" s="199">
        <f t="shared" si="85"/>
        <v>0</v>
      </c>
      <c r="DK84" s="265">
        <f t="shared" si="86"/>
        <v>100</v>
      </c>
      <c r="DL84" s="244">
        <v>80</v>
      </c>
      <c r="DM84">
        <f t="shared" si="62"/>
        <v>0</v>
      </c>
    </row>
    <row r="85" spans="1:117" x14ac:dyDescent="0.3">
      <c r="A85" s="246">
        <v>81</v>
      </c>
      <c r="B85" s="91" t="s">
        <v>132</v>
      </c>
      <c r="C85" s="91" t="s">
        <v>97</v>
      </c>
      <c r="D85" s="91" t="s">
        <v>98</v>
      </c>
      <c r="E85" s="91" t="s">
        <v>99</v>
      </c>
      <c r="F85" s="91" t="s">
        <v>343</v>
      </c>
      <c r="G85" s="87" t="s">
        <v>364</v>
      </c>
      <c r="H85" s="87" t="s">
        <v>365</v>
      </c>
      <c r="I85" s="87" t="s">
        <v>340</v>
      </c>
      <c r="J85" s="87" t="s">
        <v>340</v>
      </c>
      <c r="K85" s="85" t="s">
        <v>104</v>
      </c>
      <c r="L85" s="85" t="s">
        <v>105</v>
      </c>
      <c r="M85" s="87" t="s">
        <v>106</v>
      </c>
      <c r="N85" s="87" t="s">
        <v>341</v>
      </c>
      <c r="O85" s="87" t="s">
        <v>108</v>
      </c>
      <c r="P85" s="87" t="s">
        <v>367</v>
      </c>
      <c r="Q85" s="87" t="s">
        <v>110</v>
      </c>
      <c r="R85" s="130">
        <v>29</v>
      </c>
      <c r="S85" s="88" t="s">
        <v>111</v>
      </c>
      <c r="T85" s="81">
        <v>6</v>
      </c>
      <c r="U85" s="81">
        <v>0</v>
      </c>
      <c r="V85" s="25">
        <f t="shared" si="61"/>
        <v>0</v>
      </c>
      <c r="W85" s="81">
        <v>8</v>
      </c>
      <c r="X85" s="81">
        <v>12</v>
      </c>
      <c r="Y85" s="25">
        <f t="shared" si="1"/>
        <v>150</v>
      </c>
      <c r="Z85" s="81">
        <v>9</v>
      </c>
      <c r="AA85" s="81"/>
      <c r="AB85" s="25">
        <f t="shared" si="2"/>
        <v>0</v>
      </c>
      <c r="AC85" s="81">
        <v>6</v>
      </c>
      <c r="AD85" s="81"/>
      <c r="AE85" s="25">
        <f t="shared" si="3"/>
        <v>0</v>
      </c>
      <c r="AF85" s="137">
        <f t="shared" si="43"/>
        <v>29</v>
      </c>
      <c r="AG85" s="137">
        <f t="shared" si="44"/>
        <v>12</v>
      </c>
      <c r="AH85" s="128">
        <f t="shared" si="5"/>
        <v>85.714285714285708</v>
      </c>
      <c r="AI85" s="90">
        <v>46113</v>
      </c>
      <c r="AJ85" s="90">
        <v>46477</v>
      </c>
      <c r="AK85" s="91" t="s">
        <v>112</v>
      </c>
      <c r="AL85" s="91" t="s">
        <v>113</v>
      </c>
      <c r="AM85" s="92" t="s">
        <v>114</v>
      </c>
      <c r="AN85" s="93"/>
      <c r="AO85" s="93"/>
      <c r="AP85" s="93"/>
      <c r="AQ85" s="94"/>
      <c r="AR85" s="91" t="s">
        <v>159</v>
      </c>
      <c r="AS85" s="91" t="s">
        <v>112</v>
      </c>
      <c r="AT85" s="150" t="s">
        <v>2226</v>
      </c>
      <c r="AU85" s="165" t="s">
        <v>2264</v>
      </c>
      <c r="AV85" s="232" t="s">
        <v>2234</v>
      </c>
      <c r="AW85" s="126" t="s">
        <v>2242</v>
      </c>
      <c r="BA85" s="255"/>
      <c r="BB85" s="256"/>
      <c r="BC85" s="223" t="e">
        <f t="shared" si="63"/>
        <v>#DIV/0!</v>
      </c>
      <c r="BD85" s="255"/>
      <c r="BE85" s="256"/>
      <c r="BF85" s="223" t="e">
        <f t="shared" si="64"/>
        <v>#DIV/0!</v>
      </c>
      <c r="BG85" s="255"/>
      <c r="BH85" s="256"/>
      <c r="BI85" s="223" t="e">
        <f t="shared" si="65"/>
        <v>#DIV/0!</v>
      </c>
      <c r="BJ85" s="224">
        <f t="shared" si="66"/>
        <v>0</v>
      </c>
      <c r="BK85" s="225">
        <f t="shared" si="67"/>
        <v>0</v>
      </c>
      <c r="BL85" s="223" t="e">
        <f t="shared" si="68"/>
        <v>#DIV/0!</v>
      </c>
      <c r="BM85" s="255"/>
      <c r="BN85" s="256"/>
      <c r="BO85" s="223" t="e">
        <f t="shared" si="45"/>
        <v>#DIV/0!</v>
      </c>
      <c r="BP85" s="255"/>
      <c r="BQ85" s="256"/>
      <c r="BR85" s="223" t="e">
        <f t="shared" si="46"/>
        <v>#DIV/0!</v>
      </c>
      <c r="BS85" s="255"/>
      <c r="BT85" s="255"/>
      <c r="BU85" s="223" t="e">
        <f t="shared" si="47"/>
        <v>#DIV/0!</v>
      </c>
      <c r="BV85" s="224">
        <f t="shared" si="69"/>
        <v>0</v>
      </c>
      <c r="BW85" s="224">
        <f t="shared" si="70"/>
        <v>0</v>
      </c>
      <c r="BX85" s="223" t="e">
        <f t="shared" si="71"/>
        <v>#DIV/0!</v>
      </c>
      <c r="BY85" s="223">
        <f t="shared" si="72"/>
        <v>0</v>
      </c>
      <c r="BZ85" s="223">
        <f t="shared" si="73"/>
        <v>0</v>
      </c>
      <c r="CA85" s="226"/>
      <c r="CB85" s="175"/>
      <c r="CC85" s="191"/>
      <c r="CD85" s="192"/>
      <c r="CE85" s="193" t="e">
        <f t="shared" si="48"/>
        <v>#DIV/0!</v>
      </c>
      <c r="CF85" s="191"/>
      <c r="CG85" s="192"/>
      <c r="CH85" s="193" t="e">
        <f t="shared" si="49"/>
        <v>#DIV/0!</v>
      </c>
      <c r="CI85" s="197"/>
      <c r="CJ85" s="198"/>
      <c r="CK85" s="193" t="e">
        <f t="shared" si="50"/>
        <v>#DIV/0!</v>
      </c>
      <c r="CL85" s="195">
        <f t="shared" si="51"/>
        <v>0</v>
      </c>
      <c r="CM85" s="194">
        <f t="shared" si="52"/>
        <v>0</v>
      </c>
      <c r="CN85" s="193" t="e">
        <f t="shared" si="53"/>
        <v>#DIV/0!</v>
      </c>
      <c r="CO85" s="175"/>
      <c r="CP85" s="196">
        <f t="shared" si="54"/>
        <v>0</v>
      </c>
      <c r="CQ85" s="196">
        <f t="shared" si="55"/>
        <v>0</v>
      </c>
      <c r="CR85" s="199" t="e">
        <f t="shared" si="56"/>
        <v>#DIV/0!</v>
      </c>
      <c r="CS85" s="261">
        <f t="shared" si="74"/>
        <v>29</v>
      </c>
      <c r="CT85" s="175"/>
      <c r="CU85" s="196">
        <f t="shared" si="75"/>
        <v>8.6999999999999993</v>
      </c>
      <c r="CV85" s="259"/>
      <c r="CW85" s="199">
        <f t="shared" si="76"/>
        <v>0</v>
      </c>
      <c r="CX85" s="196">
        <f t="shared" si="77"/>
        <v>8.6999999999999993</v>
      </c>
      <c r="CY85" s="259"/>
      <c r="CZ85" s="199">
        <f t="shared" si="78"/>
        <v>0</v>
      </c>
      <c r="DA85" s="196">
        <f t="shared" si="79"/>
        <v>8.6999999999999993</v>
      </c>
      <c r="DB85" s="259"/>
      <c r="DC85" s="199">
        <f t="shared" si="80"/>
        <v>0</v>
      </c>
      <c r="DD85" s="196">
        <f t="shared" si="81"/>
        <v>2.9000000000000004</v>
      </c>
      <c r="DE85" s="259"/>
      <c r="DF85" s="199">
        <f t="shared" si="82"/>
        <v>0</v>
      </c>
      <c r="DG85" s="175"/>
      <c r="DH85" s="196">
        <f t="shared" si="83"/>
        <v>29</v>
      </c>
      <c r="DI85" s="196">
        <f t="shared" si="84"/>
        <v>0</v>
      </c>
      <c r="DJ85" s="199">
        <f t="shared" si="85"/>
        <v>0</v>
      </c>
      <c r="DK85" s="265">
        <f t="shared" si="86"/>
        <v>29</v>
      </c>
      <c r="DL85" s="244">
        <v>81</v>
      </c>
      <c r="DM85">
        <f t="shared" si="62"/>
        <v>0</v>
      </c>
    </row>
    <row r="86" spans="1:117" x14ac:dyDescent="0.3">
      <c r="A86" s="246">
        <v>82</v>
      </c>
      <c r="B86" s="91" t="s">
        <v>132</v>
      </c>
      <c r="C86" s="91" t="s">
        <v>97</v>
      </c>
      <c r="D86" s="91" t="s">
        <v>98</v>
      </c>
      <c r="E86" s="91" t="s">
        <v>99</v>
      </c>
      <c r="F86" s="91" t="s">
        <v>343</v>
      </c>
      <c r="G86" s="87" t="s">
        <v>364</v>
      </c>
      <c r="H86" s="87" t="s">
        <v>365</v>
      </c>
      <c r="I86" s="87" t="s">
        <v>340</v>
      </c>
      <c r="J86" s="87" t="s">
        <v>340</v>
      </c>
      <c r="K86" s="85" t="s">
        <v>104</v>
      </c>
      <c r="L86" s="85" t="s">
        <v>105</v>
      </c>
      <c r="M86" s="87" t="s">
        <v>106</v>
      </c>
      <c r="N86" s="87" t="s">
        <v>341</v>
      </c>
      <c r="O86" s="87" t="s">
        <v>108</v>
      </c>
      <c r="P86" s="87" t="s">
        <v>368</v>
      </c>
      <c r="Q86" s="87" t="s">
        <v>110</v>
      </c>
      <c r="R86" s="130">
        <v>29</v>
      </c>
      <c r="S86" s="88" t="s">
        <v>111</v>
      </c>
      <c r="T86" s="81">
        <v>7</v>
      </c>
      <c r="U86" s="81">
        <v>0</v>
      </c>
      <c r="V86" s="25">
        <f t="shared" si="61"/>
        <v>0</v>
      </c>
      <c r="W86" s="81">
        <v>7</v>
      </c>
      <c r="X86" s="81">
        <v>18</v>
      </c>
      <c r="Y86" s="25">
        <f t="shared" si="1"/>
        <v>257.14285714285717</v>
      </c>
      <c r="Z86" s="81">
        <v>8</v>
      </c>
      <c r="AA86" s="81"/>
      <c r="AB86" s="25">
        <f t="shared" si="2"/>
        <v>0</v>
      </c>
      <c r="AC86" s="81">
        <v>7</v>
      </c>
      <c r="AD86" s="81"/>
      <c r="AE86" s="25">
        <f t="shared" si="3"/>
        <v>0</v>
      </c>
      <c r="AF86" s="137">
        <f t="shared" si="43"/>
        <v>29</v>
      </c>
      <c r="AG86" s="137">
        <f t="shared" si="44"/>
        <v>18</v>
      </c>
      <c r="AH86" s="128">
        <f t="shared" si="5"/>
        <v>128.57142857142858</v>
      </c>
      <c r="AI86" s="90">
        <v>46113</v>
      </c>
      <c r="AJ86" s="90">
        <v>46477</v>
      </c>
      <c r="AK86" s="91" t="s">
        <v>112</v>
      </c>
      <c r="AL86" s="91" t="s">
        <v>113</v>
      </c>
      <c r="AM86" s="92" t="s">
        <v>114</v>
      </c>
      <c r="AN86" s="93"/>
      <c r="AO86" s="93"/>
      <c r="AP86" s="93"/>
      <c r="AQ86" s="94"/>
      <c r="AR86" s="91" t="s">
        <v>159</v>
      </c>
      <c r="AS86" s="91" t="s">
        <v>112</v>
      </c>
      <c r="AT86" s="150" t="s">
        <v>2226</v>
      </c>
      <c r="AU86" s="165" t="s">
        <v>2264</v>
      </c>
      <c r="AV86" s="232" t="s">
        <v>2234</v>
      </c>
      <c r="AW86" s="126" t="s">
        <v>2242</v>
      </c>
      <c r="BA86" s="255"/>
      <c r="BB86" s="256"/>
      <c r="BC86" s="223" t="e">
        <f t="shared" si="63"/>
        <v>#DIV/0!</v>
      </c>
      <c r="BD86" s="255"/>
      <c r="BE86" s="256"/>
      <c r="BF86" s="223" t="e">
        <f t="shared" si="64"/>
        <v>#DIV/0!</v>
      </c>
      <c r="BG86" s="255"/>
      <c r="BH86" s="256"/>
      <c r="BI86" s="223" t="e">
        <f t="shared" si="65"/>
        <v>#DIV/0!</v>
      </c>
      <c r="BJ86" s="224">
        <f t="shared" si="66"/>
        <v>0</v>
      </c>
      <c r="BK86" s="225">
        <f t="shared" si="67"/>
        <v>0</v>
      </c>
      <c r="BL86" s="223" t="e">
        <f t="shared" si="68"/>
        <v>#DIV/0!</v>
      </c>
      <c r="BM86" s="255"/>
      <c r="BN86" s="256"/>
      <c r="BO86" s="223" t="e">
        <f t="shared" si="45"/>
        <v>#DIV/0!</v>
      </c>
      <c r="BP86" s="255"/>
      <c r="BQ86" s="256"/>
      <c r="BR86" s="223" t="e">
        <f t="shared" si="46"/>
        <v>#DIV/0!</v>
      </c>
      <c r="BS86" s="255"/>
      <c r="BT86" s="255"/>
      <c r="BU86" s="223" t="e">
        <f t="shared" si="47"/>
        <v>#DIV/0!</v>
      </c>
      <c r="BV86" s="224">
        <f t="shared" si="69"/>
        <v>0</v>
      </c>
      <c r="BW86" s="224">
        <f t="shared" si="70"/>
        <v>0</v>
      </c>
      <c r="BX86" s="223" t="e">
        <f t="shared" si="71"/>
        <v>#DIV/0!</v>
      </c>
      <c r="BY86" s="223">
        <f t="shared" si="72"/>
        <v>0</v>
      </c>
      <c r="BZ86" s="223">
        <f t="shared" si="73"/>
        <v>0</v>
      </c>
      <c r="CA86" s="226"/>
      <c r="CB86" s="175"/>
      <c r="CC86" s="191"/>
      <c r="CD86" s="192"/>
      <c r="CE86" s="193" t="e">
        <f t="shared" si="48"/>
        <v>#DIV/0!</v>
      </c>
      <c r="CF86" s="191"/>
      <c r="CG86" s="192"/>
      <c r="CH86" s="193" t="e">
        <f t="shared" si="49"/>
        <v>#DIV/0!</v>
      </c>
      <c r="CI86" s="197"/>
      <c r="CJ86" s="198"/>
      <c r="CK86" s="193" t="e">
        <f t="shared" si="50"/>
        <v>#DIV/0!</v>
      </c>
      <c r="CL86" s="195">
        <f t="shared" si="51"/>
        <v>0</v>
      </c>
      <c r="CM86" s="194">
        <f t="shared" si="52"/>
        <v>0</v>
      </c>
      <c r="CN86" s="193" t="e">
        <f t="shared" si="53"/>
        <v>#DIV/0!</v>
      </c>
      <c r="CO86" s="175"/>
      <c r="CP86" s="196">
        <f t="shared" si="54"/>
        <v>0</v>
      </c>
      <c r="CQ86" s="196">
        <f t="shared" si="55"/>
        <v>0</v>
      </c>
      <c r="CR86" s="199" t="e">
        <f t="shared" si="56"/>
        <v>#DIV/0!</v>
      </c>
      <c r="CS86" s="261">
        <f t="shared" si="74"/>
        <v>29</v>
      </c>
      <c r="CT86" s="175"/>
      <c r="CU86" s="196">
        <f t="shared" si="75"/>
        <v>8.6999999999999993</v>
      </c>
      <c r="CV86" s="259"/>
      <c r="CW86" s="199">
        <f t="shared" si="76"/>
        <v>0</v>
      </c>
      <c r="CX86" s="196">
        <f t="shared" si="77"/>
        <v>8.6999999999999993</v>
      </c>
      <c r="CY86" s="259"/>
      <c r="CZ86" s="199">
        <f t="shared" si="78"/>
        <v>0</v>
      </c>
      <c r="DA86" s="196">
        <f t="shared" si="79"/>
        <v>8.6999999999999993</v>
      </c>
      <c r="DB86" s="259"/>
      <c r="DC86" s="199">
        <f t="shared" si="80"/>
        <v>0</v>
      </c>
      <c r="DD86" s="196">
        <f t="shared" si="81"/>
        <v>2.9000000000000004</v>
      </c>
      <c r="DE86" s="259"/>
      <c r="DF86" s="199">
        <f t="shared" si="82"/>
        <v>0</v>
      </c>
      <c r="DG86" s="175"/>
      <c r="DH86" s="196">
        <f t="shared" si="83"/>
        <v>29</v>
      </c>
      <c r="DI86" s="196">
        <f t="shared" si="84"/>
        <v>0</v>
      </c>
      <c r="DJ86" s="199">
        <f t="shared" si="85"/>
        <v>0</v>
      </c>
      <c r="DK86" s="265">
        <f t="shared" si="86"/>
        <v>29</v>
      </c>
      <c r="DL86" s="244">
        <v>82</v>
      </c>
      <c r="DM86">
        <f t="shared" si="62"/>
        <v>0</v>
      </c>
    </row>
    <row r="87" spans="1:117" x14ac:dyDescent="0.3">
      <c r="A87" s="246">
        <v>83</v>
      </c>
      <c r="B87" s="91" t="s">
        <v>132</v>
      </c>
      <c r="C87" s="91" t="s">
        <v>97</v>
      </c>
      <c r="D87" s="91" t="s">
        <v>98</v>
      </c>
      <c r="E87" s="91" t="s">
        <v>99</v>
      </c>
      <c r="F87" s="91" t="s">
        <v>343</v>
      </c>
      <c r="G87" s="87" t="s">
        <v>364</v>
      </c>
      <c r="H87" s="87" t="s">
        <v>365</v>
      </c>
      <c r="I87" s="87" t="s">
        <v>340</v>
      </c>
      <c r="J87" s="87" t="s">
        <v>340</v>
      </c>
      <c r="K87" s="85" t="s">
        <v>104</v>
      </c>
      <c r="L87" s="85" t="s">
        <v>105</v>
      </c>
      <c r="M87" s="87" t="s">
        <v>106</v>
      </c>
      <c r="N87" s="87" t="s">
        <v>341</v>
      </c>
      <c r="O87" s="87" t="s">
        <v>108</v>
      </c>
      <c r="P87" s="87" t="s">
        <v>369</v>
      </c>
      <c r="Q87" s="87" t="s">
        <v>110</v>
      </c>
      <c r="R87" s="130">
        <v>29</v>
      </c>
      <c r="S87" s="88" t="s">
        <v>111</v>
      </c>
      <c r="T87" s="81">
        <v>7</v>
      </c>
      <c r="U87" s="81">
        <v>0</v>
      </c>
      <c r="V87" s="25">
        <f t="shared" si="61"/>
        <v>0</v>
      </c>
      <c r="W87" s="81">
        <v>7</v>
      </c>
      <c r="X87" s="81">
        <v>5</v>
      </c>
      <c r="Y87" s="25">
        <f t="shared" si="1"/>
        <v>71.428571428571431</v>
      </c>
      <c r="Z87" s="81">
        <v>8</v>
      </c>
      <c r="AA87" s="81"/>
      <c r="AB87" s="25">
        <f t="shared" si="2"/>
        <v>0</v>
      </c>
      <c r="AC87" s="81">
        <v>7</v>
      </c>
      <c r="AD87" s="81"/>
      <c r="AE87" s="25">
        <f t="shared" si="3"/>
        <v>0</v>
      </c>
      <c r="AF87" s="137">
        <f t="shared" si="43"/>
        <v>29</v>
      </c>
      <c r="AG87" s="137">
        <f t="shared" si="44"/>
        <v>5</v>
      </c>
      <c r="AH87" s="128">
        <f t="shared" si="5"/>
        <v>35.714285714285715</v>
      </c>
      <c r="AI87" s="90">
        <v>46054</v>
      </c>
      <c r="AJ87" s="90">
        <v>46477</v>
      </c>
      <c r="AK87" s="91" t="s">
        <v>112</v>
      </c>
      <c r="AL87" s="91" t="s">
        <v>113</v>
      </c>
      <c r="AM87" s="92" t="s">
        <v>114</v>
      </c>
      <c r="AN87" s="93">
        <v>110000000</v>
      </c>
      <c r="AO87" s="93">
        <v>110000000</v>
      </c>
      <c r="AP87" s="93">
        <v>110000000</v>
      </c>
      <c r="AQ87" s="94">
        <v>0</v>
      </c>
      <c r="AR87" s="91" t="s">
        <v>207</v>
      </c>
      <c r="AS87" s="91" t="s">
        <v>112</v>
      </c>
      <c r="AT87" s="150" t="s">
        <v>2226</v>
      </c>
      <c r="AU87" s="165" t="s">
        <v>2264</v>
      </c>
      <c r="AV87" s="232" t="s">
        <v>2234</v>
      </c>
      <c r="AW87" s="126" t="s">
        <v>2242</v>
      </c>
      <c r="BA87" s="255"/>
      <c r="BB87" s="256"/>
      <c r="BC87" s="223" t="e">
        <f t="shared" si="63"/>
        <v>#DIV/0!</v>
      </c>
      <c r="BD87" s="255"/>
      <c r="BE87" s="256"/>
      <c r="BF87" s="223" t="e">
        <f t="shared" si="64"/>
        <v>#DIV/0!</v>
      </c>
      <c r="BG87" s="255"/>
      <c r="BH87" s="256"/>
      <c r="BI87" s="223" t="e">
        <f t="shared" si="65"/>
        <v>#DIV/0!</v>
      </c>
      <c r="BJ87" s="224">
        <f t="shared" si="66"/>
        <v>0</v>
      </c>
      <c r="BK87" s="225">
        <f t="shared" si="67"/>
        <v>0</v>
      </c>
      <c r="BL87" s="223" t="e">
        <f t="shared" si="68"/>
        <v>#DIV/0!</v>
      </c>
      <c r="BM87" s="255"/>
      <c r="BN87" s="256"/>
      <c r="BO87" s="223" t="e">
        <f t="shared" si="45"/>
        <v>#DIV/0!</v>
      </c>
      <c r="BP87" s="255"/>
      <c r="BQ87" s="256"/>
      <c r="BR87" s="223" t="e">
        <f t="shared" si="46"/>
        <v>#DIV/0!</v>
      </c>
      <c r="BS87" s="255"/>
      <c r="BT87" s="255"/>
      <c r="BU87" s="223" t="e">
        <f t="shared" si="47"/>
        <v>#DIV/0!</v>
      </c>
      <c r="BV87" s="224">
        <f t="shared" si="69"/>
        <v>0</v>
      </c>
      <c r="BW87" s="224">
        <f t="shared" si="70"/>
        <v>0</v>
      </c>
      <c r="BX87" s="223" t="e">
        <f t="shared" si="71"/>
        <v>#DIV/0!</v>
      </c>
      <c r="BY87" s="223">
        <f t="shared" si="72"/>
        <v>0</v>
      </c>
      <c r="BZ87" s="223">
        <f t="shared" si="73"/>
        <v>0</v>
      </c>
      <c r="CA87" s="226"/>
      <c r="CB87" s="175"/>
      <c r="CC87" s="191"/>
      <c r="CD87" s="192"/>
      <c r="CE87" s="193" t="e">
        <f t="shared" si="48"/>
        <v>#DIV/0!</v>
      </c>
      <c r="CF87" s="191"/>
      <c r="CG87" s="192"/>
      <c r="CH87" s="193" t="e">
        <f t="shared" si="49"/>
        <v>#DIV/0!</v>
      </c>
      <c r="CI87" s="197"/>
      <c r="CJ87" s="198"/>
      <c r="CK87" s="193" t="e">
        <f t="shared" si="50"/>
        <v>#DIV/0!</v>
      </c>
      <c r="CL87" s="195">
        <f t="shared" si="51"/>
        <v>0</v>
      </c>
      <c r="CM87" s="194">
        <f t="shared" si="52"/>
        <v>0</v>
      </c>
      <c r="CN87" s="193" t="e">
        <f t="shared" si="53"/>
        <v>#DIV/0!</v>
      </c>
      <c r="CO87" s="175"/>
      <c r="CP87" s="196">
        <f t="shared" si="54"/>
        <v>0</v>
      </c>
      <c r="CQ87" s="196">
        <f t="shared" si="55"/>
        <v>0</v>
      </c>
      <c r="CR87" s="199" t="e">
        <f t="shared" si="56"/>
        <v>#DIV/0!</v>
      </c>
      <c r="CS87" s="261">
        <f t="shared" si="74"/>
        <v>29</v>
      </c>
      <c r="CT87" s="175"/>
      <c r="CU87" s="196">
        <f t="shared" si="75"/>
        <v>8.6999999999999993</v>
      </c>
      <c r="CV87" s="259"/>
      <c r="CW87" s="199">
        <f t="shared" si="76"/>
        <v>0</v>
      </c>
      <c r="CX87" s="196">
        <f t="shared" si="77"/>
        <v>8.6999999999999993</v>
      </c>
      <c r="CY87" s="259"/>
      <c r="CZ87" s="199">
        <f t="shared" si="78"/>
        <v>0</v>
      </c>
      <c r="DA87" s="196">
        <f t="shared" si="79"/>
        <v>8.6999999999999993</v>
      </c>
      <c r="DB87" s="259"/>
      <c r="DC87" s="199">
        <f t="shared" si="80"/>
        <v>0</v>
      </c>
      <c r="DD87" s="196">
        <f t="shared" si="81"/>
        <v>2.9000000000000004</v>
      </c>
      <c r="DE87" s="259"/>
      <c r="DF87" s="199">
        <f t="shared" si="82"/>
        <v>0</v>
      </c>
      <c r="DG87" s="175"/>
      <c r="DH87" s="196">
        <f t="shared" si="83"/>
        <v>29</v>
      </c>
      <c r="DI87" s="196">
        <f t="shared" si="84"/>
        <v>0</v>
      </c>
      <c r="DJ87" s="199">
        <f t="shared" si="85"/>
        <v>0</v>
      </c>
      <c r="DK87" s="265">
        <f t="shared" si="86"/>
        <v>29</v>
      </c>
      <c r="DL87" s="244">
        <v>83</v>
      </c>
      <c r="DM87">
        <f t="shared" si="62"/>
        <v>0</v>
      </c>
    </row>
    <row r="88" spans="1:117" x14ac:dyDescent="0.3">
      <c r="A88" s="246">
        <v>84</v>
      </c>
      <c r="B88" s="91" t="s">
        <v>132</v>
      </c>
      <c r="C88" s="91" t="s">
        <v>97</v>
      </c>
      <c r="D88" s="91" t="s">
        <v>98</v>
      </c>
      <c r="E88" s="91" t="s">
        <v>99</v>
      </c>
      <c r="F88" s="91" t="s">
        <v>370</v>
      </c>
      <c r="G88" s="87" t="s">
        <v>359</v>
      </c>
      <c r="H88" s="87" t="s">
        <v>371</v>
      </c>
      <c r="I88" s="87" t="s">
        <v>340</v>
      </c>
      <c r="J88" s="87" t="s">
        <v>340</v>
      </c>
      <c r="K88" s="85" t="s">
        <v>104</v>
      </c>
      <c r="L88" s="85" t="s">
        <v>105</v>
      </c>
      <c r="M88" s="87" t="s">
        <v>106</v>
      </c>
      <c r="N88" s="87" t="s">
        <v>341</v>
      </c>
      <c r="O88" s="87" t="s">
        <v>108</v>
      </c>
      <c r="P88" s="87" t="s">
        <v>372</v>
      </c>
      <c r="Q88" s="87" t="s">
        <v>110</v>
      </c>
      <c r="R88" s="130">
        <v>29</v>
      </c>
      <c r="S88" s="88" t="s">
        <v>111</v>
      </c>
      <c r="T88" s="81">
        <v>0</v>
      </c>
      <c r="U88" s="81">
        <v>0</v>
      </c>
      <c r="V88" s="25" t="e">
        <f t="shared" si="61"/>
        <v>#DIV/0!</v>
      </c>
      <c r="W88" s="81">
        <v>0</v>
      </c>
      <c r="X88" s="81">
        <v>0</v>
      </c>
      <c r="Y88" s="25" t="e">
        <f t="shared" si="1"/>
        <v>#DIV/0!</v>
      </c>
      <c r="Z88" s="81">
        <v>29</v>
      </c>
      <c r="AA88" s="81"/>
      <c r="AB88" s="25">
        <f t="shared" si="2"/>
        <v>0</v>
      </c>
      <c r="AC88" s="81">
        <v>0</v>
      </c>
      <c r="AD88" s="81"/>
      <c r="AE88" s="25" t="e">
        <f t="shared" si="3"/>
        <v>#DIV/0!</v>
      </c>
      <c r="AF88" s="137">
        <f t="shared" ref="AF88:AF151" si="87">R88</f>
        <v>29</v>
      </c>
      <c r="AG88" s="137">
        <f t="shared" ref="AG88:AG151" si="88">U88+X88+AA88+AD88</f>
        <v>0</v>
      </c>
      <c r="AH88" s="128" t="e">
        <f t="shared" si="5"/>
        <v>#DIV/0!</v>
      </c>
      <c r="AI88" s="90">
        <v>46113</v>
      </c>
      <c r="AJ88" s="90">
        <v>46477</v>
      </c>
      <c r="AK88" s="91" t="s">
        <v>112</v>
      </c>
      <c r="AL88" s="91" t="s">
        <v>113</v>
      </c>
      <c r="AM88" s="92" t="s">
        <v>114</v>
      </c>
      <c r="AN88" s="93">
        <v>60000000</v>
      </c>
      <c r="AO88" s="93">
        <v>60000000</v>
      </c>
      <c r="AP88" s="93">
        <v>60000000</v>
      </c>
      <c r="AQ88" s="94">
        <v>0</v>
      </c>
      <c r="AR88" s="91"/>
      <c r="AS88" s="91" t="s">
        <v>112</v>
      </c>
      <c r="AT88" s="150" t="s">
        <v>2226</v>
      </c>
      <c r="AU88" s="165" t="s">
        <v>2264</v>
      </c>
      <c r="AV88" s="232" t="s">
        <v>2234</v>
      </c>
      <c r="AW88" s="126" t="s">
        <v>2242</v>
      </c>
      <c r="BA88" s="255"/>
      <c r="BB88" s="256"/>
      <c r="BC88" s="223" t="e">
        <f t="shared" si="63"/>
        <v>#DIV/0!</v>
      </c>
      <c r="BD88" s="255"/>
      <c r="BE88" s="256"/>
      <c r="BF88" s="223" t="e">
        <f t="shared" si="64"/>
        <v>#DIV/0!</v>
      </c>
      <c r="BG88" s="255"/>
      <c r="BH88" s="256"/>
      <c r="BI88" s="223" t="e">
        <f t="shared" si="65"/>
        <v>#DIV/0!</v>
      </c>
      <c r="BJ88" s="224">
        <f t="shared" si="66"/>
        <v>0</v>
      </c>
      <c r="BK88" s="225">
        <f t="shared" si="67"/>
        <v>0</v>
      </c>
      <c r="BL88" s="223" t="e">
        <f t="shared" si="68"/>
        <v>#DIV/0!</v>
      </c>
      <c r="BM88" s="255"/>
      <c r="BN88" s="256"/>
      <c r="BO88" s="223" t="e">
        <f t="shared" ref="BO88:BO151" si="89">+BN88/BM88</f>
        <v>#DIV/0!</v>
      </c>
      <c r="BP88" s="255"/>
      <c r="BQ88" s="256"/>
      <c r="BR88" s="223" t="e">
        <f t="shared" ref="BR88:BR151" si="90">+BQ88/BP88</f>
        <v>#DIV/0!</v>
      </c>
      <c r="BS88" s="255"/>
      <c r="BT88" s="255"/>
      <c r="BU88" s="223" t="e">
        <f t="shared" ref="BU88:BU151" si="91">+BT88/BS88</f>
        <v>#DIV/0!</v>
      </c>
      <c r="BV88" s="224">
        <f t="shared" si="69"/>
        <v>0</v>
      </c>
      <c r="BW88" s="224">
        <f t="shared" si="70"/>
        <v>0</v>
      </c>
      <c r="BX88" s="223" t="e">
        <f t="shared" si="71"/>
        <v>#DIV/0!</v>
      </c>
      <c r="BY88" s="223">
        <f t="shared" si="72"/>
        <v>0</v>
      </c>
      <c r="BZ88" s="223">
        <f t="shared" si="73"/>
        <v>0</v>
      </c>
      <c r="CA88" s="226"/>
      <c r="CB88" s="175"/>
      <c r="CC88" s="191"/>
      <c r="CD88" s="192"/>
      <c r="CE88" s="193" t="e">
        <f t="shared" ref="CE88:CE151" si="92">+CD88/CC88</f>
        <v>#DIV/0!</v>
      </c>
      <c r="CF88" s="191"/>
      <c r="CG88" s="192"/>
      <c r="CH88" s="193" t="e">
        <f t="shared" ref="CH88:CH151" si="93">+CG88/CF88</f>
        <v>#DIV/0!</v>
      </c>
      <c r="CI88" s="197"/>
      <c r="CJ88" s="198"/>
      <c r="CK88" s="193" t="e">
        <f t="shared" ref="CK88:CK151" si="94">+CJ88/CI88</f>
        <v>#DIV/0!</v>
      </c>
      <c r="CL88" s="195">
        <f t="shared" ref="CL88:CL151" si="95">+CC88+CF88+CI88</f>
        <v>0</v>
      </c>
      <c r="CM88" s="194">
        <f t="shared" ref="CM88:CM151" si="96">+CD88+CG88+CJ88</f>
        <v>0</v>
      </c>
      <c r="CN88" s="193" t="e">
        <f t="shared" ref="CN88:CN151" si="97">+CM88/CL88</f>
        <v>#DIV/0!</v>
      </c>
      <c r="CO88" s="175"/>
      <c r="CP88" s="196">
        <f t="shared" ref="CP88:CP151" si="98">+BJ88+BV88+CL88</f>
        <v>0</v>
      </c>
      <c r="CQ88" s="196">
        <f t="shared" ref="CQ88:CQ151" si="99">+BK88+BW88+CM88</f>
        <v>0</v>
      </c>
      <c r="CR88" s="199" t="e">
        <f t="shared" ref="CR88:CR151" si="100">+CQ88/CP88</f>
        <v>#DIV/0!</v>
      </c>
      <c r="CS88" s="261">
        <f t="shared" si="74"/>
        <v>29</v>
      </c>
      <c r="CT88" s="175"/>
      <c r="CU88" s="196">
        <f t="shared" si="75"/>
        <v>8.6999999999999993</v>
      </c>
      <c r="CV88" s="259"/>
      <c r="CW88" s="199">
        <f t="shared" si="76"/>
        <v>0</v>
      </c>
      <c r="CX88" s="196">
        <f t="shared" si="77"/>
        <v>8.6999999999999993</v>
      </c>
      <c r="CY88" s="259"/>
      <c r="CZ88" s="199">
        <f t="shared" si="78"/>
        <v>0</v>
      </c>
      <c r="DA88" s="196">
        <f t="shared" si="79"/>
        <v>8.6999999999999993</v>
      </c>
      <c r="DB88" s="259"/>
      <c r="DC88" s="199">
        <f t="shared" si="80"/>
        <v>0</v>
      </c>
      <c r="DD88" s="196">
        <f t="shared" si="81"/>
        <v>2.9000000000000004</v>
      </c>
      <c r="DE88" s="259"/>
      <c r="DF88" s="199">
        <f t="shared" si="82"/>
        <v>0</v>
      </c>
      <c r="DG88" s="175"/>
      <c r="DH88" s="196">
        <f t="shared" si="83"/>
        <v>29</v>
      </c>
      <c r="DI88" s="196">
        <f t="shared" si="84"/>
        <v>0</v>
      </c>
      <c r="DJ88" s="199">
        <f t="shared" si="85"/>
        <v>0</v>
      </c>
      <c r="DK88" s="265">
        <f t="shared" si="86"/>
        <v>29</v>
      </c>
      <c r="DL88" s="244">
        <v>84</v>
      </c>
      <c r="DM88">
        <f t="shared" si="62"/>
        <v>0</v>
      </c>
    </row>
    <row r="89" spans="1:117" x14ac:dyDescent="0.3">
      <c r="A89" s="246">
        <v>85</v>
      </c>
      <c r="B89" s="91" t="s">
        <v>132</v>
      </c>
      <c r="C89" s="91" t="s">
        <v>118</v>
      </c>
      <c r="D89" s="91" t="s">
        <v>119</v>
      </c>
      <c r="E89" s="91" t="s">
        <v>155</v>
      </c>
      <c r="F89" s="91" t="s">
        <v>373</v>
      </c>
      <c r="G89" s="87" t="s">
        <v>344</v>
      </c>
      <c r="H89" s="87" t="s">
        <v>345</v>
      </c>
      <c r="I89" s="87" t="s">
        <v>374</v>
      </c>
      <c r="J89" s="87" t="s">
        <v>374</v>
      </c>
      <c r="K89" s="85" t="s">
        <v>104</v>
      </c>
      <c r="L89" s="85" t="s">
        <v>105</v>
      </c>
      <c r="M89" s="87" t="s">
        <v>106</v>
      </c>
      <c r="N89" s="87" t="s">
        <v>341</v>
      </c>
      <c r="O89" s="87" t="s">
        <v>127</v>
      </c>
      <c r="P89" s="87" t="s">
        <v>375</v>
      </c>
      <c r="Q89" s="87" t="s">
        <v>129</v>
      </c>
      <c r="R89" s="130">
        <v>12</v>
      </c>
      <c r="S89" s="88" t="s">
        <v>111</v>
      </c>
      <c r="T89" s="81">
        <v>3</v>
      </c>
      <c r="U89" s="81">
        <v>0</v>
      </c>
      <c r="V89" s="25">
        <f t="shared" si="61"/>
        <v>0</v>
      </c>
      <c r="W89" s="81">
        <v>3</v>
      </c>
      <c r="X89" s="81">
        <v>3</v>
      </c>
      <c r="Y89" s="25">
        <f t="shared" si="1"/>
        <v>100</v>
      </c>
      <c r="Z89" s="81">
        <v>3</v>
      </c>
      <c r="AA89" s="81"/>
      <c r="AB89" s="25">
        <f t="shared" si="2"/>
        <v>0</v>
      </c>
      <c r="AC89" s="81">
        <v>3</v>
      </c>
      <c r="AD89" s="81"/>
      <c r="AE89" s="25">
        <f t="shared" si="3"/>
        <v>0</v>
      </c>
      <c r="AF89" s="137">
        <f t="shared" si="87"/>
        <v>12</v>
      </c>
      <c r="AG89" s="137">
        <f t="shared" si="88"/>
        <v>3</v>
      </c>
      <c r="AH89" s="128">
        <f t="shared" si="5"/>
        <v>50</v>
      </c>
      <c r="AI89" s="90">
        <v>46113</v>
      </c>
      <c r="AJ89" s="90">
        <v>46477</v>
      </c>
      <c r="AK89" s="91" t="s">
        <v>112</v>
      </c>
      <c r="AL89" s="91" t="s">
        <v>113</v>
      </c>
      <c r="AM89" s="92" t="s">
        <v>114</v>
      </c>
      <c r="AN89" s="93"/>
      <c r="AO89" s="93"/>
      <c r="AP89" s="93"/>
      <c r="AQ89" s="94"/>
      <c r="AR89" s="91"/>
      <c r="AS89" s="91" t="s">
        <v>112</v>
      </c>
      <c r="AT89" s="150" t="s">
        <v>353</v>
      </c>
      <c r="AU89" s="165" t="s">
        <v>2264</v>
      </c>
      <c r="AV89" s="232" t="s">
        <v>2234</v>
      </c>
      <c r="AW89" s="126" t="s">
        <v>2242</v>
      </c>
      <c r="BA89" s="255"/>
      <c r="BB89" s="256"/>
      <c r="BC89" s="223" t="e">
        <f t="shared" si="63"/>
        <v>#DIV/0!</v>
      </c>
      <c r="BD89" s="255"/>
      <c r="BE89" s="256"/>
      <c r="BF89" s="223" t="e">
        <f t="shared" si="64"/>
        <v>#DIV/0!</v>
      </c>
      <c r="BG89" s="255"/>
      <c r="BH89" s="256"/>
      <c r="BI89" s="223" t="e">
        <f t="shared" si="65"/>
        <v>#DIV/0!</v>
      </c>
      <c r="BJ89" s="224">
        <f t="shared" si="66"/>
        <v>0</v>
      </c>
      <c r="BK89" s="225">
        <f t="shared" si="67"/>
        <v>0</v>
      </c>
      <c r="BL89" s="223" t="e">
        <f t="shared" si="68"/>
        <v>#DIV/0!</v>
      </c>
      <c r="BM89" s="255"/>
      <c r="BN89" s="256"/>
      <c r="BO89" s="223" t="e">
        <f t="shared" si="89"/>
        <v>#DIV/0!</v>
      </c>
      <c r="BP89" s="255"/>
      <c r="BQ89" s="256"/>
      <c r="BR89" s="223" t="e">
        <f t="shared" si="90"/>
        <v>#DIV/0!</v>
      </c>
      <c r="BS89" s="255"/>
      <c r="BT89" s="255"/>
      <c r="BU89" s="223" t="e">
        <f t="shared" si="91"/>
        <v>#DIV/0!</v>
      </c>
      <c r="BV89" s="224">
        <f t="shared" si="69"/>
        <v>0</v>
      </c>
      <c r="BW89" s="224">
        <f t="shared" si="70"/>
        <v>0</v>
      </c>
      <c r="BX89" s="223" t="e">
        <f t="shared" si="71"/>
        <v>#DIV/0!</v>
      </c>
      <c r="BY89" s="223">
        <f t="shared" si="72"/>
        <v>0</v>
      </c>
      <c r="BZ89" s="223">
        <f t="shared" si="73"/>
        <v>0</v>
      </c>
      <c r="CA89" s="226"/>
      <c r="CB89" s="175"/>
      <c r="CC89" s="191"/>
      <c r="CD89" s="192"/>
      <c r="CE89" s="193" t="e">
        <f t="shared" si="92"/>
        <v>#DIV/0!</v>
      </c>
      <c r="CF89" s="191"/>
      <c r="CG89" s="192"/>
      <c r="CH89" s="193" t="e">
        <f t="shared" si="93"/>
        <v>#DIV/0!</v>
      </c>
      <c r="CI89" s="197"/>
      <c r="CJ89" s="198"/>
      <c r="CK89" s="193" t="e">
        <f t="shared" si="94"/>
        <v>#DIV/0!</v>
      </c>
      <c r="CL89" s="195">
        <f t="shared" si="95"/>
        <v>0</v>
      </c>
      <c r="CM89" s="194">
        <f t="shared" si="96"/>
        <v>0</v>
      </c>
      <c r="CN89" s="193" t="e">
        <f t="shared" si="97"/>
        <v>#DIV/0!</v>
      </c>
      <c r="CO89" s="175"/>
      <c r="CP89" s="196">
        <f t="shared" si="98"/>
        <v>0</v>
      </c>
      <c r="CQ89" s="196">
        <f t="shared" si="99"/>
        <v>0</v>
      </c>
      <c r="CR89" s="199" t="e">
        <f t="shared" si="100"/>
        <v>#DIV/0!</v>
      </c>
      <c r="CS89" s="261">
        <f t="shared" si="74"/>
        <v>12</v>
      </c>
      <c r="CT89" s="175"/>
      <c r="CU89" s="196">
        <f t="shared" si="75"/>
        <v>3.5999999999999996</v>
      </c>
      <c r="CV89" s="259"/>
      <c r="CW89" s="199">
        <f t="shared" si="76"/>
        <v>0</v>
      </c>
      <c r="CX89" s="196">
        <f t="shared" si="77"/>
        <v>3.5999999999999996</v>
      </c>
      <c r="CY89" s="259"/>
      <c r="CZ89" s="199">
        <f t="shared" si="78"/>
        <v>0</v>
      </c>
      <c r="DA89" s="196">
        <f t="shared" si="79"/>
        <v>3.5999999999999996</v>
      </c>
      <c r="DB89" s="259"/>
      <c r="DC89" s="199">
        <f t="shared" si="80"/>
        <v>0</v>
      </c>
      <c r="DD89" s="196">
        <f t="shared" si="81"/>
        <v>1.2000000000000002</v>
      </c>
      <c r="DE89" s="259"/>
      <c r="DF89" s="199">
        <f t="shared" si="82"/>
        <v>0</v>
      </c>
      <c r="DG89" s="175"/>
      <c r="DH89" s="196">
        <f t="shared" si="83"/>
        <v>12</v>
      </c>
      <c r="DI89" s="196">
        <f t="shared" si="84"/>
        <v>0</v>
      </c>
      <c r="DJ89" s="199">
        <f t="shared" si="85"/>
        <v>0</v>
      </c>
      <c r="DK89" s="265">
        <f t="shared" si="86"/>
        <v>12</v>
      </c>
      <c r="DL89" s="244">
        <v>85</v>
      </c>
      <c r="DM89">
        <f t="shared" si="62"/>
        <v>0</v>
      </c>
    </row>
    <row r="90" spans="1:117" ht="39.6" x14ac:dyDescent="0.3">
      <c r="A90" s="246">
        <v>86</v>
      </c>
      <c r="B90" s="91" t="s">
        <v>132</v>
      </c>
      <c r="C90" s="91" t="s">
        <v>133</v>
      </c>
      <c r="D90" s="91" t="s">
        <v>119</v>
      </c>
      <c r="E90" s="91" t="s">
        <v>212</v>
      </c>
      <c r="F90" s="91" t="s">
        <v>354</v>
      </c>
      <c r="G90" s="87" t="s">
        <v>359</v>
      </c>
      <c r="H90" s="87" t="s">
        <v>376</v>
      </c>
      <c r="I90" s="87" t="s">
        <v>340</v>
      </c>
      <c r="J90" s="87" t="s">
        <v>340</v>
      </c>
      <c r="K90" s="85" t="s">
        <v>104</v>
      </c>
      <c r="L90" s="85" t="s">
        <v>105</v>
      </c>
      <c r="M90" s="87" t="s">
        <v>106</v>
      </c>
      <c r="N90" s="87" t="s">
        <v>341</v>
      </c>
      <c r="O90" s="87" t="s">
        <v>127</v>
      </c>
      <c r="P90" s="242" t="s">
        <v>377</v>
      </c>
      <c r="Q90" s="87" t="s">
        <v>129</v>
      </c>
      <c r="R90" s="130">
        <v>1</v>
      </c>
      <c r="S90" s="88" t="s">
        <v>111</v>
      </c>
      <c r="T90" s="81">
        <v>0</v>
      </c>
      <c r="U90" s="81">
        <v>0</v>
      </c>
      <c r="V90" s="25" t="e">
        <f t="shared" si="61"/>
        <v>#DIV/0!</v>
      </c>
      <c r="W90" s="81">
        <v>1</v>
      </c>
      <c r="X90" s="81">
        <v>0</v>
      </c>
      <c r="Y90" s="25">
        <f t="shared" si="1"/>
        <v>0</v>
      </c>
      <c r="Z90" s="81">
        <v>0</v>
      </c>
      <c r="AA90" s="81"/>
      <c r="AB90" s="25" t="e">
        <f t="shared" si="2"/>
        <v>#DIV/0!</v>
      </c>
      <c r="AC90" s="81">
        <v>1</v>
      </c>
      <c r="AD90" s="81"/>
      <c r="AE90" s="25">
        <f t="shared" si="3"/>
        <v>0</v>
      </c>
      <c r="AF90" s="137">
        <f t="shared" si="87"/>
        <v>1</v>
      </c>
      <c r="AG90" s="137">
        <f t="shared" si="88"/>
        <v>0</v>
      </c>
      <c r="AH90" s="128">
        <f t="shared" si="5"/>
        <v>0</v>
      </c>
      <c r="AI90" s="90">
        <v>46113</v>
      </c>
      <c r="AJ90" s="90">
        <v>46477</v>
      </c>
      <c r="AK90" s="91" t="s">
        <v>112</v>
      </c>
      <c r="AL90" s="91" t="s">
        <v>113</v>
      </c>
      <c r="AM90" s="92" t="s">
        <v>114</v>
      </c>
      <c r="AN90" s="93">
        <v>30000000</v>
      </c>
      <c r="AO90" s="93">
        <v>30000000</v>
      </c>
      <c r="AP90" s="93">
        <v>30000000</v>
      </c>
      <c r="AQ90" s="94">
        <v>0</v>
      </c>
      <c r="AR90" s="91"/>
      <c r="AS90" s="91" t="s">
        <v>112</v>
      </c>
      <c r="AT90" s="150" t="s">
        <v>353</v>
      </c>
      <c r="AU90" s="165" t="s">
        <v>2264</v>
      </c>
      <c r="AV90" s="232" t="s">
        <v>2234</v>
      </c>
      <c r="AW90" s="126" t="s">
        <v>2242</v>
      </c>
      <c r="BA90" s="255"/>
      <c r="BB90" s="256"/>
      <c r="BC90" s="223" t="e">
        <f t="shared" si="63"/>
        <v>#DIV/0!</v>
      </c>
      <c r="BD90" s="255"/>
      <c r="BE90" s="256"/>
      <c r="BF90" s="223" t="e">
        <f t="shared" si="64"/>
        <v>#DIV/0!</v>
      </c>
      <c r="BG90" s="255"/>
      <c r="BH90" s="256"/>
      <c r="BI90" s="223" t="e">
        <f t="shared" si="65"/>
        <v>#DIV/0!</v>
      </c>
      <c r="BJ90" s="224">
        <f t="shared" si="66"/>
        <v>0</v>
      </c>
      <c r="BK90" s="225">
        <f t="shared" si="67"/>
        <v>0</v>
      </c>
      <c r="BL90" s="223" t="e">
        <f t="shared" si="68"/>
        <v>#DIV/0!</v>
      </c>
      <c r="BM90" s="255"/>
      <c r="BN90" s="256"/>
      <c r="BO90" s="223" t="e">
        <f t="shared" si="89"/>
        <v>#DIV/0!</v>
      </c>
      <c r="BP90" s="255"/>
      <c r="BQ90" s="256"/>
      <c r="BR90" s="223" t="e">
        <f t="shared" si="90"/>
        <v>#DIV/0!</v>
      </c>
      <c r="BS90" s="255"/>
      <c r="BT90" s="255"/>
      <c r="BU90" s="223" t="e">
        <f t="shared" si="91"/>
        <v>#DIV/0!</v>
      </c>
      <c r="BV90" s="224">
        <f t="shared" si="69"/>
        <v>0</v>
      </c>
      <c r="BW90" s="224">
        <f t="shared" si="70"/>
        <v>0</v>
      </c>
      <c r="BX90" s="223" t="e">
        <f t="shared" si="71"/>
        <v>#DIV/0!</v>
      </c>
      <c r="BY90" s="223">
        <f t="shared" si="72"/>
        <v>0</v>
      </c>
      <c r="BZ90" s="223">
        <f t="shared" si="73"/>
        <v>0</v>
      </c>
      <c r="CA90" s="226"/>
      <c r="CB90" s="175"/>
      <c r="CC90" s="191"/>
      <c r="CD90" s="192"/>
      <c r="CE90" s="193" t="e">
        <f t="shared" si="92"/>
        <v>#DIV/0!</v>
      </c>
      <c r="CF90" s="191"/>
      <c r="CG90" s="192"/>
      <c r="CH90" s="193" t="e">
        <f t="shared" si="93"/>
        <v>#DIV/0!</v>
      </c>
      <c r="CI90" s="197"/>
      <c r="CJ90" s="198"/>
      <c r="CK90" s="193" t="e">
        <f t="shared" si="94"/>
        <v>#DIV/0!</v>
      </c>
      <c r="CL90" s="195">
        <f t="shared" si="95"/>
        <v>0</v>
      </c>
      <c r="CM90" s="194">
        <f t="shared" si="96"/>
        <v>0</v>
      </c>
      <c r="CN90" s="193" t="e">
        <f t="shared" si="97"/>
        <v>#DIV/0!</v>
      </c>
      <c r="CO90" s="175"/>
      <c r="CP90" s="196">
        <f t="shared" si="98"/>
        <v>0</v>
      </c>
      <c r="CQ90" s="196">
        <f t="shared" si="99"/>
        <v>0</v>
      </c>
      <c r="CR90" s="199" t="e">
        <f t="shared" si="100"/>
        <v>#DIV/0!</v>
      </c>
      <c r="CS90" s="261">
        <f t="shared" si="74"/>
        <v>1</v>
      </c>
      <c r="CT90" s="175"/>
      <c r="CU90" s="196">
        <f t="shared" si="75"/>
        <v>0.3</v>
      </c>
      <c r="CV90" s="259"/>
      <c r="CW90" s="199">
        <f t="shared" si="76"/>
        <v>0</v>
      </c>
      <c r="CX90" s="196">
        <f t="shared" si="77"/>
        <v>0.3</v>
      </c>
      <c r="CY90" s="259"/>
      <c r="CZ90" s="199">
        <f t="shared" si="78"/>
        <v>0</v>
      </c>
      <c r="DA90" s="196">
        <f t="shared" si="79"/>
        <v>0.3</v>
      </c>
      <c r="DB90" s="259"/>
      <c r="DC90" s="199">
        <f t="shared" si="80"/>
        <v>0</v>
      </c>
      <c r="DD90" s="196">
        <f t="shared" si="81"/>
        <v>0.1</v>
      </c>
      <c r="DE90" s="259"/>
      <c r="DF90" s="199">
        <f t="shared" si="82"/>
        <v>0</v>
      </c>
      <c r="DG90" s="175"/>
      <c r="DH90" s="196">
        <f t="shared" si="83"/>
        <v>1</v>
      </c>
      <c r="DI90" s="196">
        <f t="shared" si="84"/>
        <v>0</v>
      </c>
      <c r="DJ90" s="199">
        <f t="shared" si="85"/>
        <v>0</v>
      </c>
      <c r="DK90" s="265">
        <f t="shared" si="86"/>
        <v>1</v>
      </c>
      <c r="DL90" s="244">
        <v>86</v>
      </c>
      <c r="DM90">
        <f t="shared" si="62"/>
        <v>0</v>
      </c>
    </row>
    <row r="91" spans="1:117" x14ac:dyDescent="0.3">
      <c r="A91" s="246">
        <v>87</v>
      </c>
      <c r="B91" s="91" t="s">
        <v>270</v>
      </c>
      <c r="C91" s="91" t="s">
        <v>97</v>
      </c>
      <c r="D91" s="91" t="s">
        <v>98</v>
      </c>
      <c r="E91" s="91" t="s">
        <v>155</v>
      </c>
      <c r="F91" s="91" t="s">
        <v>378</v>
      </c>
      <c r="G91" s="87" t="s">
        <v>99</v>
      </c>
      <c r="H91" s="87" t="s">
        <v>99</v>
      </c>
      <c r="I91" s="87" t="s">
        <v>379</v>
      </c>
      <c r="J91" s="87" t="s">
        <v>379</v>
      </c>
      <c r="K91" s="85" t="s">
        <v>104</v>
      </c>
      <c r="L91" s="85" t="s">
        <v>105</v>
      </c>
      <c r="M91" s="87" t="s">
        <v>106</v>
      </c>
      <c r="N91" s="87" t="s">
        <v>380</v>
      </c>
      <c r="O91" s="87" t="s">
        <v>108</v>
      </c>
      <c r="P91" s="87" t="s">
        <v>381</v>
      </c>
      <c r="Q91" s="87" t="s">
        <v>129</v>
      </c>
      <c r="R91" s="130">
        <v>29</v>
      </c>
      <c r="S91" s="88" t="s">
        <v>111</v>
      </c>
      <c r="T91" s="81">
        <v>0</v>
      </c>
      <c r="U91" s="81">
        <v>0</v>
      </c>
      <c r="V91" s="25" t="e">
        <f t="shared" si="61"/>
        <v>#DIV/0!</v>
      </c>
      <c r="W91" s="81">
        <v>0</v>
      </c>
      <c r="X91" s="81">
        <v>1</v>
      </c>
      <c r="Y91" s="25" t="e">
        <f t="shared" si="1"/>
        <v>#DIV/0!</v>
      </c>
      <c r="Z91" s="81">
        <v>14</v>
      </c>
      <c r="AA91" s="81"/>
      <c r="AB91" s="25">
        <f t="shared" si="2"/>
        <v>0</v>
      </c>
      <c r="AC91" s="81">
        <v>15</v>
      </c>
      <c r="AD91" s="81"/>
      <c r="AE91" s="25">
        <f t="shared" si="3"/>
        <v>0</v>
      </c>
      <c r="AF91" s="137">
        <f t="shared" si="87"/>
        <v>29</v>
      </c>
      <c r="AG91" s="137">
        <f t="shared" si="88"/>
        <v>1</v>
      </c>
      <c r="AH91" s="128" t="e">
        <f t="shared" si="5"/>
        <v>#DIV/0!</v>
      </c>
      <c r="AI91" s="90">
        <v>46113</v>
      </c>
      <c r="AJ91" s="90">
        <v>46477</v>
      </c>
      <c r="AK91" s="91" t="s">
        <v>112</v>
      </c>
      <c r="AL91" s="91" t="s">
        <v>113</v>
      </c>
      <c r="AM91" s="92" t="s">
        <v>114</v>
      </c>
      <c r="AN91" s="93">
        <v>150000000</v>
      </c>
      <c r="AO91" s="93">
        <v>150000000</v>
      </c>
      <c r="AP91" s="93">
        <v>150000000</v>
      </c>
      <c r="AQ91" s="94">
        <v>0</v>
      </c>
      <c r="AR91" s="91" t="s">
        <v>191</v>
      </c>
      <c r="AS91" s="91" t="s">
        <v>112</v>
      </c>
      <c r="AT91" s="150" t="s">
        <v>382</v>
      </c>
      <c r="AU91" s="165" t="s">
        <v>2264</v>
      </c>
      <c r="AV91" s="232" t="s">
        <v>2234</v>
      </c>
      <c r="AW91" s="126" t="s">
        <v>2241</v>
      </c>
      <c r="BA91" s="255">
        <v>0</v>
      </c>
      <c r="BB91" s="256">
        <v>0</v>
      </c>
      <c r="BC91" s="223" t="e">
        <f t="shared" si="63"/>
        <v>#DIV/0!</v>
      </c>
      <c r="BD91" s="255">
        <v>0</v>
      </c>
      <c r="BE91" s="256">
        <v>0</v>
      </c>
      <c r="BF91" s="223" t="e">
        <f t="shared" si="64"/>
        <v>#DIV/0!</v>
      </c>
      <c r="BG91" s="255"/>
      <c r="BH91" s="256"/>
      <c r="BI91" s="223" t="e">
        <f t="shared" si="65"/>
        <v>#DIV/0!</v>
      </c>
      <c r="BJ91" s="224">
        <f t="shared" si="66"/>
        <v>0</v>
      </c>
      <c r="BK91" s="225">
        <f t="shared" si="67"/>
        <v>0</v>
      </c>
      <c r="BL91" s="223" t="e">
        <f t="shared" si="68"/>
        <v>#DIV/0!</v>
      </c>
      <c r="BM91" s="255"/>
      <c r="BN91" s="256"/>
      <c r="BO91" s="223" t="e">
        <f t="shared" si="89"/>
        <v>#DIV/0!</v>
      </c>
      <c r="BP91" s="255"/>
      <c r="BQ91" s="256"/>
      <c r="BR91" s="223" t="e">
        <f t="shared" si="90"/>
        <v>#DIV/0!</v>
      </c>
      <c r="BS91" s="255"/>
      <c r="BT91" s="255"/>
      <c r="BU91" s="223" t="e">
        <f t="shared" si="91"/>
        <v>#DIV/0!</v>
      </c>
      <c r="BV91" s="224">
        <f t="shared" si="69"/>
        <v>0</v>
      </c>
      <c r="BW91" s="224">
        <f t="shared" si="70"/>
        <v>0</v>
      </c>
      <c r="BX91" s="223" t="e">
        <f t="shared" si="71"/>
        <v>#DIV/0!</v>
      </c>
      <c r="BY91" s="223">
        <f t="shared" si="72"/>
        <v>0</v>
      </c>
      <c r="BZ91" s="223">
        <f t="shared" si="73"/>
        <v>0</v>
      </c>
      <c r="CA91" s="226"/>
      <c r="CB91" s="175"/>
      <c r="CC91" s="191"/>
      <c r="CD91" s="192"/>
      <c r="CE91" s="193" t="e">
        <f t="shared" si="92"/>
        <v>#DIV/0!</v>
      </c>
      <c r="CF91" s="191"/>
      <c r="CG91" s="192"/>
      <c r="CH91" s="193" t="e">
        <f t="shared" si="93"/>
        <v>#DIV/0!</v>
      </c>
      <c r="CI91" s="197"/>
      <c r="CJ91" s="198"/>
      <c r="CK91" s="193" t="e">
        <f t="shared" si="94"/>
        <v>#DIV/0!</v>
      </c>
      <c r="CL91" s="195">
        <f t="shared" si="95"/>
        <v>0</v>
      </c>
      <c r="CM91" s="194">
        <f t="shared" si="96"/>
        <v>0</v>
      </c>
      <c r="CN91" s="193" t="e">
        <f t="shared" si="97"/>
        <v>#DIV/0!</v>
      </c>
      <c r="CO91" s="175"/>
      <c r="CP91" s="196">
        <f t="shared" si="98"/>
        <v>0</v>
      </c>
      <c r="CQ91" s="196">
        <f t="shared" si="99"/>
        <v>0</v>
      </c>
      <c r="CR91" s="199" t="e">
        <f t="shared" si="100"/>
        <v>#DIV/0!</v>
      </c>
      <c r="CS91" s="261">
        <f t="shared" si="74"/>
        <v>29</v>
      </c>
      <c r="CT91" s="175"/>
      <c r="CU91" s="196">
        <f t="shared" si="75"/>
        <v>8.6999999999999993</v>
      </c>
      <c r="CV91" s="259"/>
      <c r="CW91" s="199">
        <f t="shared" si="76"/>
        <v>0</v>
      </c>
      <c r="CX91" s="196">
        <f t="shared" si="77"/>
        <v>8.6999999999999993</v>
      </c>
      <c r="CY91" s="259"/>
      <c r="CZ91" s="199">
        <f t="shared" si="78"/>
        <v>0</v>
      </c>
      <c r="DA91" s="196">
        <f t="shared" si="79"/>
        <v>8.6999999999999993</v>
      </c>
      <c r="DB91" s="259"/>
      <c r="DC91" s="199">
        <f t="shared" si="80"/>
        <v>0</v>
      </c>
      <c r="DD91" s="196">
        <f t="shared" si="81"/>
        <v>2.9000000000000004</v>
      </c>
      <c r="DE91" s="259"/>
      <c r="DF91" s="199">
        <f t="shared" si="82"/>
        <v>0</v>
      </c>
      <c r="DG91" s="175"/>
      <c r="DH91" s="196">
        <f t="shared" si="83"/>
        <v>29</v>
      </c>
      <c r="DI91" s="196">
        <f t="shared" si="84"/>
        <v>0</v>
      </c>
      <c r="DJ91" s="199">
        <f t="shared" si="85"/>
        <v>0</v>
      </c>
      <c r="DK91" s="265">
        <f t="shared" si="86"/>
        <v>29</v>
      </c>
      <c r="DL91" s="244">
        <v>87</v>
      </c>
      <c r="DM91">
        <f t="shared" si="62"/>
        <v>0</v>
      </c>
    </row>
    <row r="92" spans="1:117" x14ac:dyDescent="0.3">
      <c r="A92" s="246">
        <v>88</v>
      </c>
      <c r="B92" s="91" t="s">
        <v>270</v>
      </c>
      <c r="C92" s="91" t="s">
        <v>97</v>
      </c>
      <c r="D92" s="91" t="s">
        <v>98</v>
      </c>
      <c r="E92" s="91" t="s">
        <v>155</v>
      </c>
      <c r="F92" s="91" t="s">
        <v>378</v>
      </c>
      <c r="G92" s="87" t="s">
        <v>99</v>
      </c>
      <c r="H92" s="87" t="s">
        <v>99</v>
      </c>
      <c r="I92" s="87" t="s">
        <v>383</v>
      </c>
      <c r="J92" s="87" t="s">
        <v>383</v>
      </c>
      <c r="K92" s="85" t="s">
        <v>104</v>
      </c>
      <c r="L92" s="85" t="s">
        <v>105</v>
      </c>
      <c r="M92" s="87" t="s">
        <v>106</v>
      </c>
      <c r="N92" s="87" t="s">
        <v>380</v>
      </c>
      <c r="O92" s="87" t="s">
        <v>108</v>
      </c>
      <c r="P92" s="87" t="s">
        <v>384</v>
      </c>
      <c r="Q92" s="87" t="s">
        <v>110</v>
      </c>
      <c r="R92" s="130">
        <v>29</v>
      </c>
      <c r="S92" s="88" t="s">
        <v>111</v>
      </c>
      <c r="T92" s="81">
        <v>29</v>
      </c>
      <c r="U92" s="81">
        <v>0</v>
      </c>
      <c r="V92" s="25">
        <f t="shared" si="61"/>
        <v>0</v>
      </c>
      <c r="W92" s="81">
        <v>29</v>
      </c>
      <c r="X92" s="81">
        <v>0</v>
      </c>
      <c r="Y92" s="25">
        <f t="shared" si="1"/>
        <v>0</v>
      </c>
      <c r="Z92" s="81">
        <v>29</v>
      </c>
      <c r="AA92" s="81"/>
      <c r="AB92" s="25">
        <f t="shared" si="2"/>
        <v>0</v>
      </c>
      <c r="AC92" s="81">
        <v>29</v>
      </c>
      <c r="AD92" s="81"/>
      <c r="AE92" s="25">
        <f t="shared" si="3"/>
        <v>0</v>
      </c>
      <c r="AF92" s="137">
        <f t="shared" si="87"/>
        <v>29</v>
      </c>
      <c r="AG92" s="137">
        <f t="shared" si="88"/>
        <v>0</v>
      </c>
      <c r="AH92" s="128">
        <f t="shared" si="5"/>
        <v>0</v>
      </c>
      <c r="AI92" s="90">
        <v>46113</v>
      </c>
      <c r="AJ92" s="90">
        <v>46477</v>
      </c>
      <c r="AK92" s="91" t="s">
        <v>112</v>
      </c>
      <c r="AL92" s="91" t="s">
        <v>113</v>
      </c>
      <c r="AM92" s="92" t="s">
        <v>114</v>
      </c>
      <c r="AN92" s="93">
        <v>120000000</v>
      </c>
      <c r="AO92" s="93">
        <v>120000000</v>
      </c>
      <c r="AP92" s="93">
        <v>120000000</v>
      </c>
      <c r="AQ92" s="94">
        <v>0</v>
      </c>
      <c r="AR92" s="91" t="s">
        <v>385</v>
      </c>
      <c r="AS92" s="91" t="s">
        <v>112</v>
      </c>
      <c r="AT92" s="150" t="s">
        <v>382</v>
      </c>
      <c r="AU92" s="165" t="s">
        <v>2264</v>
      </c>
      <c r="AV92" s="232" t="s">
        <v>2234</v>
      </c>
      <c r="AW92" s="126" t="s">
        <v>2241</v>
      </c>
      <c r="BA92" s="255"/>
      <c r="BB92" s="256"/>
      <c r="BC92" s="223" t="e">
        <f t="shared" si="63"/>
        <v>#DIV/0!</v>
      </c>
      <c r="BD92" s="255"/>
      <c r="BE92" s="256"/>
      <c r="BF92" s="223" t="e">
        <f t="shared" si="64"/>
        <v>#DIV/0!</v>
      </c>
      <c r="BG92" s="255"/>
      <c r="BH92" s="256"/>
      <c r="BI92" s="223" t="e">
        <f t="shared" si="65"/>
        <v>#DIV/0!</v>
      </c>
      <c r="BJ92" s="224">
        <f t="shared" si="66"/>
        <v>0</v>
      </c>
      <c r="BK92" s="225">
        <f t="shared" si="67"/>
        <v>0</v>
      </c>
      <c r="BL92" s="223" t="e">
        <f t="shared" si="68"/>
        <v>#DIV/0!</v>
      </c>
      <c r="BM92" s="255"/>
      <c r="BN92" s="256"/>
      <c r="BO92" s="223" t="e">
        <f t="shared" si="89"/>
        <v>#DIV/0!</v>
      </c>
      <c r="BP92" s="255"/>
      <c r="BQ92" s="256"/>
      <c r="BR92" s="223" t="e">
        <f t="shared" si="90"/>
        <v>#DIV/0!</v>
      </c>
      <c r="BS92" s="255"/>
      <c r="BT92" s="255"/>
      <c r="BU92" s="223" t="e">
        <f t="shared" si="91"/>
        <v>#DIV/0!</v>
      </c>
      <c r="BV92" s="224">
        <f t="shared" si="69"/>
        <v>0</v>
      </c>
      <c r="BW92" s="224">
        <f t="shared" si="70"/>
        <v>0</v>
      </c>
      <c r="BX92" s="223" t="e">
        <f t="shared" si="71"/>
        <v>#DIV/0!</v>
      </c>
      <c r="BY92" s="223">
        <f t="shared" si="72"/>
        <v>0</v>
      </c>
      <c r="BZ92" s="223">
        <f t="shared" si="73"/>
        <v>0</v>
      </c>
      <c r="CA92" s="226"/>
      <c r="CB92" s="175"/>
      <c r="CC92" s="191"/>
      <c r="CD92" s="192"/>
      <c r="CE92" s="193" t="e">
        <f t="shared" si="92"/>
        <v>#DIV/0!</v>
      </c>
      <c r="CF92" s="191"/>
      <c r="CG92" s="192"/>
      <c r="CH92" s="193" t="e">
        <f t="shared" si="93"/>
        <v>#DIV/0!</v>
      </c>
      <c r="CI92" s="197"/>
      <c r="CJ92" s="198"/>
      <c r="CK92" s="193" t="e">
        <f t="shared" si="94"/>
        <v>#DIV/0!</v>
      </c>
      <c r="CL92" s="195">
        <f t="shared" si="95"/>
        <v>0</v>
      </c>
      <c r="CM92" s="194">
        <f t="shared" si="96"/>
        <v>0</v>
      </c>
      <c r="CN92" s="193" t="e">
        <f t="shared" si="97"/>
        <v>#DIV/0!</v>
      </c>
      <c r="CO92" s="175"/>
      <c r="CP92" s="196">
        <f t="shared" si="98"/>
        <v>0</v>
      </c>
      <c r="CQ92" s="196">
        <f t="shared" si="99"/>
        <v>0</v>
      </c>
      <c r="CR92" s="199" t="e">
        <f t="shared" si="100"/>
        <v>#DIV/0!</v>
      </c>
      <c r="CS92" s="261">
        <f t="shared" si="74"/>
        <v>29</v>
      </c>
      <c r="CT92" s="175"/>
      <c r="CU92" s="196">
        <f t="shared" si="75"/>
        <v>8.6999999999999993</v>
      </c>
      <c r="CV92" s="259"/>
      <c r="CW92" s="199">
        <f t="shared" si="76"/>
        <v>0</v>
      </c>
      <c r="CX92" s="196">
        <f t="shared" si="77"/>
        <v>8.6999999999999993</v>
      </c>
      <c r="CY92" s="259"/>
      <c r="CZ92" s="199">
        <f t="shared" si="78"/>
        <v>0</v>
      </c>
      <c r="DA92" s="196">
        <f t="shared" si="79"/>
        <v>8.6999999999999993</v>
      </c>
      <c r="DB92" s="259"/>
      <c r="DC92" s="199">
        <f t="shared" si="80"/>
        <v>0</v>
      </c>
      <c r="DD92" s="196">
        <f t="shared" si="81"/>
        <v>2.9000000000000004</v>
      </c>
      <c r="DE92" s="259"/>
      <c r="DF92" s="199">
        <f t="shared" si="82"/>
        <v>0</v>
      </c>
      <c r="DG92" s="175"/>
      <c r="DH92" s="196">
        <f t="shared" si="83"/>
        <v>29</v>
      </c>
      <c r="DI92" s="196">
        <f t="shared" si="84"/>
        <v>0</v>
      </c>
      <c r="DJ92" s="199">
        <f t="shared" si="85"/>
        <v>0</v>
      </c>
      <c r="DK92" s="265">
        <f t="shared" si="86"/>
        <v>29</v>
      </c>
      <c r="DL92" s="244">
        <v>88</v>
      </c>
      <c r="DM92">
        <f t="shared" si="62"/>
        <v>0</v>
      </c>
    </row>
    <row r="93" spans="1:117" x14ac:dyDescent="0.3">
      <c r="A93" s="246">
        <v>89</v>
      </c>
      <c r="B93" s="91" t="s">
        <v>270</v>
      </c>
      <c r="C93" s="91" t="s">
        <v>195</v>
      </c>
      <c r="D93" s="91" t="s">
        <v>196</v>
      </c>
      <c r="E93" s="91" t="s">
        <v>185</v>
      </c>
      <c r="F93" s="91" t="s">
        <v>386</v>
      </c>
      <c r="G93" s="87" t="s">
        <v>387</v>
      </c>
      <c r="H93" s="87" t="s">
        <v>388</v>
      </c>
      <c r="I93" s="87" t="s">
        <v>379</v>
      </c>
      <c r="J93" s="87" t="s">
        <v>379</v>
      </c>
      <c r="K93" s="85" t="s">
        <v>104</v>
      </c>
      <c r="L93" s="85" t="s">
        <v>105</v>
      </c>
      <c r="M93" s="87" t="s">
        <v>106</v>
      </c>
      <c r="N93" s="87" t="s">
        <v>380</v>
      </c>
      <c r="O93" s="87" t="s">
        <v>108</v>
      </c>
      <c r="P93" s="87" t="s">
        <v>389</v>
      </c>
      <c r="Q93" s="87" t="s">
        <v>110</v>
      </c>
      <c r="R93" s="130">
        <v>4</v>
      </c>
      <c r="S93" s="88" t="s">
        <v>111</v>
      </c>
      <c r="T93" s="81">
        <v>0</v>
      </c>
      <c r="U93" s="81">
        <v>0</v>
      </c>
      <c r="V93" s="25" t="e">
        <f t="shared" si="61"/>
        <v>#DIV/0!</v>
      </c>
      <c r="W93" s="81">
        <v>0</v>
      </c>
      <c r="X93" s="81">
        <v>0</v>
      </c>
      <c r="Y93" s="25" t="e">
        <f t="shared" si="1"/>
        <v>#DIV/0!</v>
      </c>
      <c r="Z93" s="81">
        <v>2</v>
      </c>
      <c r="AA93" s="81"/>
      <c r="AB93" s="25">
        <f t="shared" si="2"/>
        <v>0</v>
      </c>
      <c r="AC93" s="81">
        <v>2</v>
      </c>
      <c r="AD93" s="81"/>
      <c r="AE93" s="25">
        <f t="shared" si="3"/>
        <v>0</v>
      </c>
      <c r="AF93" s="137">
        <f t="shared" si="87"/>
        <v>4</v>
      </c>
      <c r="AG93" s="137">
        <f t="shared" si="88"/>
        <v>0</v>
      </c>
      <c r="AH93" s="128" t="e">
        <f t="shared" si="5"/>
        <v>#DIV/0!</v>
      </c>
      <c r="AI93" s="90">
        <v>46054</v>
      </c>
      <c r="AJ93" s="90">
        <v>46477</v>
      </c>
      <c r="AK93" s="91" t="s">
        <v>112</v>
      </c>
      <c r="AL93" s="91" t="s">
        <v>113</v>
      </c>
      <c r="AM93" s="92" t="s">
        <v>114</v>
      </c>
      <c r="AN93" s="93">
        <v>80000000</v>
      </c>
      <c r="AO93" s="93">
        <v>80000000</v>
      </c>
      <c r="AP93" s="93">
        <v>80000000</v>
      </c>
      <c r="AQ93" s="94">
        <v>0</v>
      </c>
      <c r="AR93" s="91" t="s">
        <v>159</v>
      </c>
      <c r="AS93" s="91" t="s">
        <v>112</v>
      </c>
      <c r="AT93" s="150" t="s">
        <v>382</v>
      </c>
      <c r="AU93" s="165" t="s">
        <v>2264</v>
      </c>
      <c r="AV93" s="232" t="s">
        <v>2234</v>
      </c>
      <c r="AW93" s="126" t="s">
        <v>2241</v>
      </c>
      <c r="BA93" s="255"/>
      <c r="BB93" s="256"/>
      <c r="BC93" s="223" t="e">
        <f t="shared" si="63"/>
        <v>#DIV/0!</v>
      </c>
      <c r="BD93" s="255"/>
      <c r="BE93" s="256"/>
      <c r="BF93" s="223" t="e">
        <f t="shared" si="64"/>
        <v>#DIV/0!</v>
      </c>
      <c r="BG93" s="255"/>
      <c r="BH93" s="256"/>
      <c r="BI93" s="223" t="e">
        <f t="shared" si="65"/>
        <v>#DIV/0!</v>
      </c>
      <c r="BJ93" s="224">
        <f t="shared" si="66"/>
        <v>0</v>
      </c>
      <c r="BK93" s="225">
        <f t="shared" si="67"/>
        <v>0</v>
      </c>
      <c r="BL93" s="223" t="e">
        <f t="shared" si="68"/>
        <v>#DIV/0!</v>
      </c>
      <c r="BM93" s="255"/>
      <c r="BN93" s="256"/>
      <c r="BO93" s="223" t="e">
        <f t="shared" si="89"/>
        <v>#DIV/0!</v>
      </c>
      <c r="BP93" s="255"/>
      <c r="BQ93" s="256"/>
      <c r="BR93" s="223" t="e">
        <f t="shared" si="90"/>
        <v>#DIV/0!</v>
      </c>
      <c r="BS93" s="255"/>
      <c r="BT93" s="255"/>
      <c r="BU93" s="223" t="e">
        <f t="shared" si="91"/>
        <v>#DIV/0!</v>
      </c>
      <c r="BV93" s="224">
        <f t="shared" si="69"/>
        <v>0</v>
      </c>
      <c r="BW93" s="224">
        <f t="shared" si="70"/>
        <v>0</v>
      </c>
      <c r="BX93" s="223" t="e">
        <f t="shared" si="71"/>
        <v>#DIV/0!</v>
      </c>
      <c r="BY93" s="223">
        <f t="shared" si="72"/>
        <v>0</v>
      </c>
      <c r="BZ93" s="223">
        <f t="shared" si="73"/>
        <v>0</v>
      </c>
      <c r="CA93" s="226"/>
      <c r="CB93" s="175"/>
      <c r="CC93" s="191"/>
      <c r="CD93" s="192"/>
      <c r="CE93" s="193" t="e">
        <f t="shared" si="92"/>
        <v>#DIV/0!</v>
      </c>
      <c r="CF93" s="191"/>
      <c r="CG93" s="192"/>
      <c r="CH93" s="193" t="e">
        <f t="shared" si="93"/>
        <v>#DIV/0!</v>
      </c>
      <c r="CI93" s="197"/>
      <c r="CJ93" s="198"/>
      <c r="CK93" s="193" t="e">
        <f t="shared" si="94"/>
        <v>#DIV/0!</v>
      </c>
      <c r="CL93" s="195">
        <f t="shared" si="95"/>
        <v>0</v>
      </c>
      <c r="CM93" s="194">
        <f t="shared" si="96"/>
        <v>0</v>
      </c>
      <c r="CN93" s="193" t="e">
        <f t="shared" si="97"/>
        <v>#DIV/0!</v>
      </c>
      <c r="CO93" s="175"/>
      <c r="CP93" s="196">
        <f t="shared" si="98"/>
        <v>0</v>
      </c>
      <c r="CQ93" s="196">
        <f t="shared" si="99"/>
        <v>0</v>
      </c>
      <c r="CR93" s="199" t="e">
        <f t="shared" si="100"/>
        <v>#DIV/0!</v>
      </c>
      <c r="CS93" s="261">
        <f t="shared" si="74"/>
        <v>4</v>
      </c>
      <c r="CT93" s="175"/>
      <c r="CU93" s="196">
        <f t="shared" si="75"/>
        <v>1.2</v>
      </c>
      <c r="CV93" s="259"/>
      <c r="CW93" s="199">
        <f t="shared" si="76"/>
        <v>0</v>
      </c>
      <c r="CX93" s="196">
        <f t="shared" si="77"/>
        <v>1.2</v>
      </c>
      <c r="CY93" s="259"/>
      <c r="CZ93" s="199">
        <f t="shared" si="78"/>
        <v>0</v>
      </c>
      <c r="DA93" s="196">
        <f t="shared" si="79"/>
        <v>1.2</v>
      </c>
      <c r="DB93" s="259"/>
      <c r="DC93" s="199">
        <f t="shared" si="80"/>
        <v>0</v>
      </c>
      <c r="DD93" s="196">
        <f t="shared" si="81"/>
        <v>0.4</v>
      </c>
      <c r="DE93" s="259"/>
      <c r="DF93" s="199">
        <f t="shared" si="82"/>
        <v>0</v>
      </c>
      <c r="DG93" s="175"/>
      <c r="DH93" s="196">
        <f t="shared" si="83"/>
        <v>4</v>
      </c>
      <c r="DI93" s="196">
        <f t="shared" si="84"/>
        <v>0</v>
      </c>
      <c r="DJ93" s="199">
        <f t="shared" si="85"/>
        <v>0</v>
      </c>
      <c r="DK93" s="265">
        <f t="shared" si="86"/>
        <v>4</v>
      </c>
      <c r="DL93" s="244">
        <v>89</v>
      </c>
      <c r="DM93">
        <f t="shared" si="62"/>
        <v>0</v>
      </c>
    </row>
    <row r="94" spans="1:117" x14ac:dyDescent="0.3">
      <c r="A94" s="246">
        <v>90</v>
      </c>
      <c r="B94" s="91" t="s">
        <v>270</v>
      </c>
      <c r="C94" s="91" t="s">
        <v>97</v>
      </c>
      <c r="D94" s="91" t="s">
        <v>98</v>
      </c>
      <c r="E94" s="91" t="s">
        <v>390</v>
      </c>
      <c r="F94" s="91" t="s">
        <v>391</v>
      </c>
      <c r="G94" s="87" t="s">
        <v>392</v>
      </c>
      <c r="H94" s="87" t="s">
        <v>393</v>
      </c>
      <c r="I94" s="87" t="s">
        <v>394</v>
      </c>
      <c r="J94" s="87" t="s">
        <v>394</v>
      </c>
      <c r="K94" s="85" t="s">
        <v>104</v>
      </c>
      <c r="L94" s="85" t="s">
        <v>105</v>
      </c>
      <c r="M94" s="87" t="s">
        <v>106</v>
      </c>
      <c r="N94" s="87" t="s">
        <v>380</v>
      </c>
      <c r="O94" s="87" t="s">
        <v>108</v>
      </c>
      <c r="P94" s="87" t="s">
        <v>395</v>
      </c>
      <c r="Q94" s="87" t="s">
        <v>110</v>
      </c>
      <c r="R94" s="130">
        <v>2</v>
      </c>
      <c r="S94" s="88" t="s">
        <v>111</v>
      </c>
      <c r="T94" s="81">
        <v>0</v>
      </c>
      <c r="U94" s="81">
        <v>0</v>
      </c>
      <c r="V94" s="25" t="e">
        <f t="shared" si="61"/>
        <v>#DIV/0!</v>
      </c>
      <c r="W94" s="81">
        <v>1</v>
      </c>
      <c r="X94" s="81">
        <v>1</v>
      </c>
      <c r="Y94" s="25">
        <f t="shared" si="1"/>
        <v>100</v>
      </c>
      <c r="Z94" s="81">
        <v>1</v>
      </c>
      <c r="AA94" s="81"/>
      <c r="AB94" s="25">
        <f t="shared" si="2"/>
        <v>0</v>
      </c>
      <c r="AC94" s="81">
        <v>0</v>
      </c>
      <c r="AD94" s="81"/>
      <c r="AE94" s="25" t="e">
        <f t="shared" si="3"/>
        <v>#DIV/0!</v>
      </c>
      <c r="AF94" s="137">
        <f t="shared" si="87"/>
        <v>2</v>
      </c>
      <c r="AG94" s="137">
        <f t="shared" si="88"/>
        <v>1</v>
      </c>
      <c r="AH94" s="128">
        <f t="shared" si="5"/>
        <v>100</v>
      </c>
      <c r="AI94" s="90">
        <v>46113</v>
      </c>
      <c r="AJ94" s="90">
        <v>46477</v>
      </c>
      <c r="AK94" s="91" t="s">
        <v>112</v>
      </c>
      <c r="AL94" s="91" t="s">
        <v>113</v>
      </c>
      <c r="AM94" s="92" t="s">
        <v>114</v>
      </c>
      <c r="AN94" s="93"/>
      <c r="AO94" s="93"/>
      <c r="AP94" s="93"/>
      <c r="AQ94" s="94"/>
      <c r="AR94" s="91"/>
      <c r="AS94" s="91" t="s">
        <v>112</v>
      </c>
      <c r="AT94" s="150" t="s">
        <v>382</v>
      </c>
      <c r="AU94" s="165" t="s">
        <v>2264</v>
      </c>
      <c r="AV94" s="232" t="s">
        <v>2234</v>
      </c>
      <c r="AW94" s="126" t="s">
        <v>2241</v>
      </c>
      <c r="BA94" s="255"/>
      <c r="BB94" s="256"/>
      <c r="BC94" s="223" t="e">
        <f t="shared" si="63"/>
        <v>#DIV/0!</v>
      </c>
      <c r="BD94" s="255"/>
      <c r="BE94" s="256"/>
      <c r="BF94" s="223" t="e">
        <f t="shared" si="64"/>
        <v>#DIV/0!</v>
      </c>
      <c r="BG94" s="255"/>
      <c r="BH94" s="256"/>
      <c r="BI94" s="223" t="e">
        <f t="shared" si="65"/>
        <v>#DIV/0!</v>
      </c>
      <c r="BJ94" s="224">
        <f t="shared" si="66"/>
        <v>0</v>
      </c>
      <c r="BK94" s="225">
        <f t="shared" si="67"/>
        <v>0</v>
      </c>
      <c r="BL94" s="223" t="e">
        <f t="shared" si="68"/>
        <v>#DIV/0!</v>
      </c>
      <c r="BM94" s="255"/>
      <c r="BN94" s="256"/>
      <c r="BO94" s="223" t="e">
        <f t="shared" si="89"/>
        <v>#DIV/0!</v>
      </c>
      <c r="BP94" s="255"/>
      <c r="BQ94" s="256"/>
      <c r="BR94" s="223" t="e">
        <f t="shared" si="90"/>
        <v>#DIV/0!</v>
      </c>
      <c r="BS94" s="255"/>
      <c r="BT94" s="255"/>
      <c r="BU94" s="223" t="e">
        <f t="shared" si="91"/>
        <v>#DIV/0!</v>
      </c>
      <c r="BV94" s="224">
        <f t="shared" si="69"/>
        <v>0</v>
      </c>
      <c r="BW94" s="224">
        <f t="shared" si="70"/>
        <v>0</v>
      </c>
      <c r="BX94" s="223" t="e">
        <f t="shared" si="71"/>
        <v>#DIV/0!</v>
      </c>
      <c r="BY94" s="223">
        <f t="shared" si="72"/>
        <v>0</v>
      </c>
      <c r="BZ94" s="223">
        <f t="shared" si="73"/>
        <v>0</v>
      </c>
      <c r="CA94" s="226"/>
      <c r="CB94" s="175"/>
      <c r="CC94" s="191"/>
      <c r="CD94" s="192"/>
      <c r="CE94" s="193" t="e">
        <f t="shared" si="92"/>
        <v>#DIV/0!</v>
      </c>
      <c r="CF94" s="191"/>
      <c r="CG94" s="192"/>
      <c r="CH94" s="193" t="e">
        <f t="shared" si="93"/>
        <v>#DIV/0!</v>
      </c>
      <c r="CI94" s="197"/>
      <c r="CJ94" s="198"/>
      <c r="CK94" s="193" t="e">
        <f t="shared" si="94"/>
        <v>#DIV/0!</v>
      </c>
      <c r="CL94" s="195">
        <f t="shared" si="95"/>
        <v>0</v>
      </c>
      <c r="CM94" s="194">
        <f t="shared" si="96"/>
        <v>0</v>
      </c>
      <c r="CN94" s="193" t="e">
        <f t="shared" si="97"/>
        <v>#DIV/0!</v>
      </c>
      <c r="CO94" s="175"/>
      <c r="CP94" s="196">
        <f t="shared" si="98"/>
        <v>0</v>
      </c>
      <c r="CQ94" s="196">
        <f t="shared" si="99"/>
        <v>0</v>
      </c>
      <c r="CR94" s="199" t="e">
        <f t="shared" si="100"/>
        <v>#DIV/0!</v>
      </c>
      <c r="CS94" s="261">
        <f t="shared" si="74"/>
        <v>2</v>
      </c>
      <c r="CT94" s="175"/>
      <c r="CU94" s="196">
        <f t="shared" si="75"/>
        <v>0.6</v>
      </c>
      <c r="CV94" s="259"/>
      <c r="CW94" s="199">
        <f t="shared" si="76"/>
        <v>0</v>
      </c>
      <c r="CX94" s="196">
        <f t="shared" si="77"/>
        <v>0.6</v>
      </c>
      <c r="CY94" s="259"/>
      <c r="CZ94" s="199">
        <f t="shared" si="78"/>
        <v>0</v>
      </c>
      <c r="DA94" s="196">
        <f t="shared" si="79"/>
        <v>0.6</v>
      </c>
      <c r="DB94" s="259"/>
      <c r="DC94" s="199">
        <f t="shared" si="80"/>
        <v>0</v>
      </c>
      <c r="DD94" s="196">
        <f t="shared" si="81"/>
        <v>0.2</v>
      </c>
      <c r="DE94" s="259"/>
      <c r="DF94" s="199">
        <f t="shared" si="82"/>
        <v>0</v>
      </c>
      <c r="DG94" s="175"/>
      <c r="DH94" s="196">
        <f t="shared" si="83"/>
        <v>2</v>
      </c>
      <c r="DI94" s="196">
        <f t="shared" si="84"/>
        <v>0</v>
      </c>
      <c r="DJ94" s="199">
        <f t="shared" si="85"/>
        <v>0</v>
      </c>
      <c r="DK94" s="265">
        <f t="shared" si="86"/>
        <v>2</v>
      </c>
      <c r="DL94" s="244">
        <v>90</v>
      </c>
      <c r="DM94">
        <f t="shared" si="62"/>
        <v>0</v>
      </c>
    </row>
    <row r="95" spans="1:117" ht="39.6" x14ac:dyDescent="0.3">
      <c r="A95" s="246">
        <v>91</v>
      </c>
      <c r="B95" s="91" t="s">
        <v>270</v>
      </c>
      <c r="C95" s="91" t="s">
        <v>97</v>
      </c>
      <c r="D95" s="91" t="s">
        <v>98</v>
      </c>
      <c r="E95" s="91" t="s">
        <v>390</v>
      </c>
      <c r="F95" s="91" t="s">
        <v>391</v>
      </c>
      <c r="G95" s="87" t="s">
        <v>392</v>
      </c>
      <c r="H95" s="87" t="s">
        <v>393</v>
      </c>
      <c r="I95" s="87" t="s">
        <v>383</v>
      </c>
      <c r="J95" s="87" t="s">
        <v>383</v>
      </c>
      <c r="K95" s="85" t="s">
        <v>104</v>
      </c>
      <c r="L95" s="85" t="s">
        <v>105</v>
      </c>
      <c r="M95" s="87" t="s">
        <v>106</v>
      </c>
      <c r="N95" s="87" t="s">
        <v>380</v>
      </c>
      <c r="O95" s="87" t="s">
        <v>108</v>
      </c>
      <c r="P95" s="229" t="s">
        <v>396</v>
      </c>
      <c r="Q95" s="87" t="s">
        <v>110</v>
      </c>
      <c r="R95" s="130">
        <v>1</v>
      </c>
      <c r="S95" s="88" t="s">
        <v>158</v>
      </c>
      <c r="T95" s="27" t="s">
        <v>397</v>
      </c>
      <c r="U95" s="81">
        <v>0</v>
      </c>
      <c r="V95" s="25">
        <f t="shared" si="61"/>
        <v>0</v>
      </c>
      <c r="W95" s="27" t="s">
        <v>397</v>
      </c>
      <c r="X95" s="81">
        <v>1</v>
      </c>
      <c r="Y95" s="25">
        <f t="shared" si="1"/>
        <v>400</v>
      </c>
      <c r="Z95" s="27" t="s">
        <v>397</v>
      </c>
      <c r="AA95" s="81"/>
      <c r="AB95" s="25">
        <f t="shared" si="2"/>
        <v>0</v>
      </c>
      <c r="AC95" s="27" t="s">
        <v>397</v>
      </c>
      <c r="AD95" s="81"/>
      <c r="AE95" s="25">
        <f t="shared" si="3"/>
        <v>0</v>
      </c>
      <c r="AF95" s="137">
        <f t="shared" si="87"/>
        <v>1</v>
      </c>
      <c r="AG95" s="137">
        <f t="shared" si="88"/>
        <v>1</v>
      </c>
      <c r="AH95" s="128">
        <f t="shared" si="5"/>
        <v>200</v>
      </c>
      <c r="AI95" s="90">
        <v>46113</v>
      </c>
      <c r="AJ95" s="90">
        <v>46477</v>
      </c>
      <c r="AK95" s="91" t="s">
        <v>112</v>
      </c>
      <c r="AL95" s="91" t="s">
        <v>113</v>
      </c>
      <c r="AM95" s="92" t="s">
        <v>114</v>
      </c>
      <c r="AN95" s="93">
        <v>60000000</v>
      </c>
      <c r="AO95" s="93">
        <v>60000000</v>
      </c>
      <c r="AP95" s="93">
        <v>60000000</v>
      </c>
      <c r="AQ95" s="94">
        <v>0</v>
      </c>
      <c r="AR95" s="91" t="s">
        <v>115</v>
      </c>
      <c r="AS95" s="91" t="s">
        <v>112</v>
      </c>
      <c r="AT95" s="150" t="s">
        <v>382</v>
      </c>
      <c r="AU95" s="165" t="s">
        <v>2264</v>
      </c>
      <c r="AV95" s="232" t="s">
        <v>2234</v>
      </c>
      <c r="AW95" s="126" t="s">
        <v>2241</v>
      </c>
      <c r="BA95" s="255"/>
      <c r="BB95" s="256"/>
      <c r="BC95" s="223" t="e">
        <f t="shared" si="63"/>
        <v>#DIV/0!</v>
      </c>
      <c r="BD95" s="255"/>
      <c r="BE95" s="256"/>
      <c r="BF95" s="223" t="e">
        <f t="shared" si="64"/>
        <v>#DIV/0!</v>
      </c>
      <c r="BG95" s="255"/>
      <c r="BH95" s="256"/>
      <c r="BI95" s="223" t="e">
        <f t="shared" si="65"/>
        <v>#DIV/0!</v>
      </c>
      <c r="BJ95" s="224">
        <f t="shared" si="66"/>
        <v>0</v>
      </c>
      <c r="BK95" s="225">
        <f t="shared" si="67"/>
        <v>0</v>
      </c>
      <c r="BL95" s="223" t="e">
        <f t="shared" si="68"/>
        <v>#DIV/0!</v>
      </c>
      <c r="BM95" s="255"/>
      <c r="BN95" s="256"/>
      <c r="BO95" s="223" t="e">
        <f t="shared" si="89"/>
        <v>#DIV/0!</v>
      </c>
      <c r="BP95" s="255"/>
      <c r="BQ95" s="256"/>
      <c r="BR95" s="223" t="e">
        <f t="shared" si="90"/>
        <v>#DIV/0!</v>
      </c>
      <c r="BS95" s="255"/>
      <c r="BT95" s="255"/>
      <c r="BU95" s="223" t="e">
        <f t="shared" si="91"/>
        <v>#DIV/0!</v>
      </c>
      <c r="BV95" s="224">
        <f t="shared" si="69"/>
        <v>0</v>
      </c>
      <c r="BW95" s="224">
        <f t="shared" si="70"/>
        <v>0</v>
      </c>
      <c r="BX95" s="223" t="e">
        <f t="shared" si="71"/>
        <v>#DIV/0!</v>
      </c>
      <c r="BY95" s="223">
        <f t="shared" si="72"/>
        <v>0</v>
      </c>
      <c r="BZ95" s="223">
        <f t="shared" si="73"/>
        <v>0</v>
      </c>
      <c r="CA95" s="226"/>
      <c r="CB95" s="175"/>
      <c r="CC95" s="191"/>
      <c r="CD95" s="192"/>
      <c r="CE95" s="193" t="e">
        <f t="shared" si="92"/>
        <v>#DIV/0!</v>
      </c>
      <c r="CF95" s="191"/>
      <c r="CG95" s="192"/>
      <c r="CH95" s="193" t="e">
        <f t="shared" si="93"/>
        <v>#DIV/0!</v>
      </c>
      <c r="CI95" s="197"/>
      <c r="CJ95" s="198"/>
      <c r="CK95" s="193" t="e">
        <f t="shared" si="94"/>
        <v>#DIV/0!</v>
      </c>
      <c r="CL95" s="195">
        <f t="shared" si="95"/>
        <v>0</v>
      </c>
      <c r="CM95" s="194">
        <f t="shared" si="96"/>
        <v>0</v>
      </c>
      <c r="CN95" s="193" t="e">
        <f t="shared" si="97"/>
        <v>#DIV/0!</v>
      </c>
      <c r="CO95" s="175"/>
      <c r="CP95" s="196">
        <f t="shared" si="98"/>
        <v>0</v>
      </c>
      <c r="CQ95" s="196">
        <f t="shared" si="99"/>
        <v>0</v>
      </c>
      <c r="CR95" s="199" t="e">
        <f t="shared" si="100"/>
        <v>#DIV/0!</v>
      </c>
      <c r="CS95" s="261">
        <f t="shared" si="74"/>
        <v>1</v>
      </c>
      <c r="CT95" s="175"/>
      <c r="CU95" s="196">
        <f t="shared" si="75"/>
        <v>0.3</v>
      </c>
      <c r="CV95" s="259"/>
      <c r="CW95" s="199">
        <f t="shared" si="76"/>
        <v>0</v>
      </c>
      <c r="CX95" s="196">
        <f t="shared" si="77"/>
        <v>0.3</v>
      </c>
      <c r="CY95" s="259"/>
      <c r="CZ95" s="199">
        <f t="shared" si="78"/>
        <v>0</v>
      </c>
      <c r="DA95" s="196">
        <f t="shared" si="79"/>
        <v>0.3</v>
      </c>
      <c r="DB95" s="259"/>
      <c r="DC95" s="199">
        <f t="shared" si="80"/>
        <v>0</v>
      </c>
      <c r="DD95" s="196">
        <f t="shared" si="81"/>
        <v>0.1</v>
      </c>
      <c r="DE95" s="259"/>
      <c r="DF95" s="199">
        <f t="shared" si="82"/>
        <v>0</v>
      </c>
      <c r="DG95" s="175"/>
      <c r="DH95" s="196">
        <f t="shared" si="83"/>
        <v>1</v>
      </c>
      <c r="DI95" s="196">
        <f t="shared" si="84"/>
        <v>0</v>
      </c>
      <c r="DJ95" s="199">
        <f t="shared" si="85"/>
        <v>0</v>
      </c>
      <c r="DK95" s="265">
        <f t="shared" si="86"/>
        <v>1</v>
      </c>
      <c r="DL95" s="244">
        <v>91</v>
      </c>
      <c r="DM95">
        <f t="shared" si="62"/>
        <v>0</v>
      </c>
    </row>
    <row r="96" spans="1:117" x14ac:dyDescent="0.3">
      <c r="A96" s="246">
        <v>92</v>
      </c>
      <c r="B96" s="91" t="s">
        <v>270</v>
      </c>
      <c r="C96" s="91" t="s">
        <v>118</v>
      </c>
      <c r="D96" s="91" t="s">
        <v>119</v>
      </c>
      <c r="E96" s="91" t="s">
        <v>155</v>
      </c>
      <c r="F96" s="91" t="s">
        <v>398</v>
      </c>
      <c r="G96" s="87" t="s">
        <v>392</v>
      </c>
      <c r="H96" s="87" t="s">
        <v>393</v>
      </c>
      <c r="I96" s="87" t="s">
        <v>379</v>
      </c>
      <c r="J96" s="87" t="s">
        <v>379</v>
      </c>
      <c r="K96" s="85" t="s">
        <v>104</v>
      </c>
      <c r="L96" s="85" t="s">
        <v>105</v>
      </c>
      <c r="M96" s="87" t="s">
        <v>106</v>
      </c>
      <c r="N96" s="87" t="s">
        <v>380</v>
      </c>
      <c r="O96" s="87" t="s">
        <v>127</v>
      </c>
      <c r="P96" s="241" t="s">
        <v>399</v>
      </c>
      <c r="Q96" s="87" t="s">
        <v>129</v>
      </c>
      <c r="R96" s="130">
        <v>4</v>
      </c>
      <c r="S96" s="88" t="s">
        <v>111</v>
      </c>
      <c r="T96" s="81">
        <v>0</v>
      </c>
      <c r="U96" s="81">
        <v>0</v>
      </c>
      <c r="V96" s="25" t="e">
        <f t="shared" si="61"/>
        <v>#DIV/0!</v>
      </c>
      <c r="W96" s="81">
        <v>0</v>
      </c>
      <c r="X96" s="81">
        <v>0</v>
      </c>
      <c r="Y96" s="25" t="e">
        <f t="shared" si="1"/>
        <v>#DIV/0!</v>
      </c>
      <c r="Z96" s="81">
        <v>4</v>
      </c>
      <c r="AA96" s="81"/>
      <c r="AB96" s="25">
        <f t="shared" si="2"/>
        <v>0</v>
      </c>
      <c r="AC96" s="81">
        <v>4</v>
      </c>
      <c r="AD96" s="81"/>
      <c r="AE96" s="25">
        <f t="shared" si="3"/>
        <v>0</v>
      </c>
      <c r="AF96" s="137">
        <f t="shared" si="87"/>
        <v>4</v>
      </c>
      <c r="AG96" s="137">
        <f t="shared" si="88"/>
        <v>0</v>
      </c>
      <c r="AH96" s="128" t="e">
        <f t="shared" si="5"/>
        <v>#DIV/0!</v>
      </c>
      <c r="AI96" s="90">
        <v>46113</v>
      </c>
      <c r="AJ96" s="90">
        <v>46477</v>
      </c>
      <c r="AK96" s="91" t="s">
        <v>112</v>
      </c>
      <c r="AL96" s="91" t="s">
        <v>113</v>
      </c>
      <c r="AM96" s="92" t="s">
        <v>114</v>
      </c>
      <c r="AN96" s="93">
        <v>100000000</v>
      </c>
      <c r="AO96" s="93">
        <v>100000000</v>
      </c>
      <c r="AP96" s="93">
        <v>100000000</v>
      </c>
      <c r="AQ96" s="94">
        <v>0</v>
      </c>
      <c r="AR96" s="91" t="s">
        <v>115</v>
      </c>
      <c r="AS96" s="91" t="s">
        <v>112</v>
      </c>
      <c r="AT96" s="150" t="s">
        <v>382</v>
      </c>
      <c r="AU96" s="165" t="s">
        <v>2264</v>
      </c>
      <c r="AV96" s="232" t="s">
        <v>2234</v>
      </c>
      <c r="AW96" s="126" t="s">
        <v>2241</v>
      </c>
      <c r="BA96" s="255"/>
      <c r="BB96" s="256"/>
      <c r="BC96" s="223" t="e">
        <f t="shared" si="63"/>
        <v>#DIV/0!</v>
      </c>
      <c r="BD96" s="255"/>
      <c r="BE96" s="256"/>
      <c r="BF96" s="223" t="e">
        <f t="shared" si="64"/>
        <v>#DIV/0!</v>
      </c>
      <c r="BG96" s="255"/>
      <c r="BH96" s="256"/>
      <c r="BI96" s="223" t="e">
        <f t="shared" si="65"/>
        <v>#DIV/0!</v>
      </c>
      <c r="BJ96" s="224">
        <f t="shared" si="66"/>
        <v>0</v>
      </c>
      <c r="BK96" s="225">
        <f t="shared" si="67"/>
        <v>0</v>
      </c>
      <c r="BL96" s="223" t="e">
        <f t="shared" si="68"/>
        <v>#DIV/0!</v>
      </c>
      <c r="BM96" s="255"/>
      <c r="BN96" s="256"/>
      <c r="BO96" s="223" t="e">
        <f t="shared" si="89"/>
        <v>#DIV/0!</v>
      </c>
      <c r="BP96" s="255"/>
      <c r="BQ96" s="256"/>
      <c r="BR96" s="223" t="e">
        <f t="shared" si="90"/>
        <v>#DIV/0!</v>
      </c>
      <c r="BS96" s="255"/>
      <c r="BT96" s="255"/>
      <c r="BU96" s="223" t="e">
        <f t="shared" si="91"/>
        <v>#DIV/0!</v>
      </c>
      <c r="BV96" s="224">
        <f t="shared" si="69"/>
        <v>0</v>
      </c>
      <c r="BW96" s="224">
        <f t="shared" si="70"/>
        <v>0</v>
      </c>
      <c r="BX96" s="223" t="e">
        <f t="shared" si="71"/>
        <v>#DIV/0!</v>
      </c>
      <c r="BY96" s="223">
        <f t="shared" si="72"/>
        <v>0</v>
      </c>
      <c r="BZ96" s="223">
        <f t="shared" si="73"/>
        <v>0</v>
      </c>
      <c r="CA96" s="226"/>
      <c r="CB96" s="175"/>
      <c r="CC96" s="191"/>
      <c r="CD96" s="192"/>
      <c r="CE96" s="193" t="e">
        <f t="shared" si="92"/>
        <v>#DIV/0!</v>
      </c>
      <c r="CF96" s="191"/>
      <c r="CG96" s="192"/>
      <c r="CH96" s="193" t="e">
        <f t="shared" si="93"/>
        <v>#DIV/0!</v>
      </c>
      <c r="CI96" s="197"/>
      <c r="CJ96" s="198"/>
      <c r="CK96" s="193" t="e">
        <f t="shared" si="94"/>
        <v>#DIV/0!</v>
      </c>
      <c r="CL96" s="195">
        <f t="shared" si="95"/>
        <v>0</v>
      </c>
      <c r="CM96" s="194">
        <f t="shared" si="96"/>
        <v>0</v>
      </c>
      <c r="CN96" s="193" t="e">
        <f t="shared" si="97"/>
        <v>#DIV/0!</v>
      </c>
      <c r="CO96" s="175"/>
      <c r="CP96" s="196">
        <f t="shared" si="98"/>
        <v>0</v>
      </c>
      <c r="CQ96" s="196">
        <f t="shared" si="99"/>
        <v>0</v>
      </c>
      <c r="CR96" s="199" t="e">
        <f t="shared" si="100"/>
        <v>#DIV/0!</v>
      </c>
      <c r="CS96" s="261">
        <f t="shared" si="74"/>
        <v>4</v>
      </c>
      <c r="CT96" s="175"/>
      <c r="CU96" s="196">
        <f t="shared" si="75"/>
        <v>1.2</v>
      </c>
      <c r="CV96" s="259"/>
      <c r="CW96" s="199">
        <f t="shared" si="76"/>
        <v>0</v>
      </c>
      <c r="CX96" s="196">
        <f t="shared" si="77"/>
        <v>1.2</v>
      </c>
      <c r="CY96" s="259"/>
      <c r="CZ96" s="199">
        <f t="shared" si="78"/>
        <v>0</v>
      </c>
      <c r="DA96" s="196">
        <f t="shared" si="79"/>
        <v>1.2</v>
      </c>
      <c r="DB96" s="259"/>
      <c r="DC96" s="199">
        <f t="shared" si="80"/>
        <v>0</v>
      </c>
      <c r="DD96" s="196">
        <f t="shared" si="81"/>
        <v>0.4</v>
      </c>
      <c r="DE96" s="259"/>
      <c r="DF96" s="199">
        <f t="shared" si="82"/>
        <v>0</v>
      </c>
      <c r="DG96" s="175"/>
      <c r="DH96" s="196">
        <f t="shared" si="83"/>
        <v>4</v>
      </c>
      <c r="DI96" s="196">
        <f t="shared" si="84"/>
        <v>0</v>
      </c>
      <c r="DJ96" s="199">
        <f t="shared" si="85"/>
        <v>0</v>
      </c>
      <c r="DK96" s="265">
        <f t="shared" si="86"/>
        <v>4</v>
      </c>
      <c r="DL96" s="244">
        <v>92</v>
      </c>
      <c r="DM96">
        <f t="shared" si="62"/>
        <v>0</v>
      </c>
    </row>
    <row r="97" spans="1:117" x14ac:dyDescent="0.3">
      <c r="A97" s="246">
        <v>93</v>
      </c>
      <c r="B97" s="91" t="s">
        <v>270</v>
      </c>
      <c r="C97" s="91" t="s">
        <v>118</v>
      </c>
      <c r="D97" s="91" t="s">
        <v>119</v>
      </c>
      <c r="E97" s="91" t="s">
        <v>155</v>
      </c>
      <c r="F97" s="91" t="s">
        <v>398</v>
      </c>
      <c r="G97" s="87" t="s">
        <v>392</v>
      </c>
      <c r="H97" s="87" t="s">
        <v>393</v>
      </c>
      <c r="I97" s="87" t="s">
        <v>400</v>
      </c>
      <c r="J97" s="87" t="s">
        <v>400</v>
      </c>
      <c r="K97" s="85" t="s">
        <v>104</v>
      </c>
      <c r="L97" s="85" t="s">
        <v>105</v>
      </c>
      <c r="M97" s="87" t="s">
        <v>106</v>
      </c>
      <c r="N97" s="87" t="s">
        <v>380</v>
      </c>
      <c r="O97" s="87" t="s">
        <v>127</v>
      </c>
      <c r="P97" s="241" t="s">
        <v>401</v>
      </c>
      <c r="Q97" s="87" t="s">
        <v>129</v>
      </c>
      <c r="R97" s="130">
        <v>1</v>
      </c>
      <c r="S97" s="88" t="s">
        <v>111</v>
      </c>
      <c r="T97" s="81">
        <v>0</v>
      </c>
      <c r="U97" s="81">
        <v>0</v>
      </c>
      <c r="V97" s="25" t="e">
        <f t="shared" si="61"/>
        <v>#DIV/0!</v>
      </c>
      <c r="W97" s="81">
        <v>0</v>
      </c>
      <c r="X97" s="81">
        <v>0</v>
      </c>
      <c r="Y97" s="25" t="e">
        <f t="shared" si="1"/>
        <v>#DIV/0!</v>
      </c>
      <c r="Z97" s="81">
        <v>1</v>
      </c>
      <c r="AA97" s="81"/>
      <c r="AB97" s="25">
        <f t="shared" si="2"/>
        <v>0</v>
      </c>
      <c r="AC97" s="81">
        <v>1</v>
      </c>
      <c r="AD97" s="81"/>
      <c r="AE97" s="25">
        <f t="shared" si="3"/>
        <v>0</v>
      </c>
      <c r="AF97" s="137">
        <f t="shared" si="87"/>
        <v>1</v>
      </c>
      <c r="AG97" s="137">
        <f t="shared" si="88"/>
        <v>0</v>
      </c>
      <c r="AH97" s="128" t="e">
        <f t="shared" si="5"/>
        <v>#DIV/0!</v>
      </c>
      <c r="AI97" s="90">
        <v>46113</v>
      </c>
      <c r="AJ97" s="90">
        <v>46477</v>
      </c>
      <c r="AK97" s="91" t="s">
        <v>112</v>
      </c>
      <c r="AL97" s="91" t="s">
        <v>113</v>
      </c>
      <c r="AM97" s="92" t="s">
        <v>114</v>
      </c>
      <c r="AN97" s="93">
        <v>50000000</v>
      </c>
      <c r="AO97" s="93">
        <v>50000000</v>
      </c>
      <c r="AP97" s="93">
        <v>50000000</v>
      </c>
      <c r="AQ97" s="94">
        <v>0</v>
      </c>
      <c r="AR97" s="91" t="s">
        <v>207</v>
      </c>
      <c r="AS97" s="91" t="s">
        <v>112</v>
      </c>
      <c r="AT97" s="150" t="s">
        <v>382</v>
      </c>
      <c r="AU97" s="165" t="s">
        <v>2264</v>
      </c>
      <c r="AV97" s="232" t="s">
        <v>2234</v>
      </c>
      <c r="AW97" s="126" t="s">
        <v>2241</v>
      </c>
      <c r="BA97" s="255"/>
      <c r="BB97" s="256"/>
      <c r="BC97" s="223" t="e">
        <f t="shared" si="63"/>
        <v>#DIV/0!</v>
      </c>
      <c r="BD97" s="255"/>
      <c r="BE97" s="256"/>
      <c r="BF97" s="223" t="e">
        <f t="shared" si="64"/>
        <v>#DIV/0!</v>
      </c>
      <c r="BG97" s="255"/>
      <c r="BH97" s="256"/>
      <c r="BI97" s="223" t="e">
        <f t="shared" si="65"/>
        <v>#DIV/0!</v>
      </c>
      <c r="BJ97" s="224">
        <f t="shared" si="66"/>
        <v>0</v>
      </c>
      <c r="BK97" s="225">
        <f t="shared" si="67"/>
        <v>0</v>
      </c>
      <c r="BL97" s="223" t="e">
        <f t="shared" si="68"/>
        <v>#DIV/0!</v>
      </c>
      <c r="BM97" s="255"/>
      <c r="BN97" s="256"/>
      <c r="BO97" s="223" t="e">
        <f t="shared" si="89"/>
        <v>#DIV/0!</v>
      </c>
      <c r="BP97" s="255"/>
      <c r="BQ97" s="256"/>
      <c r="BR97" s="223" t="e">
        <f t="shared" si="90"/>
        <v>#DIV/0!</v>
      </c>
      <c r="BS97" s="255"/>
      <c r="BT97" s="255"/>
      <c r="BU97" s="223" t="e">
        <f t="shared" si="91"/>
        <v>#DIV/0!</v>
      </c>
      <c r="BV97" s="224">
        <f t="shared" si="69"/>
        <v>0</v>
      </c>
      <c r="BW97" s="224">
        <f t="shared" si="70"/>
        <v>0</v>
      </c>
      <c r="BX97" s="223" t="e">
        <f t="shared" si="71"/>
        <v>#DIV/0!</v>
      </c>
      <c r="BY97" s="223">
        <f t="shared" si="72"/>
        <v>0</v>
      </c>
      <c r="BZ97" s="223">
        <f t="shared" si="73"/>
        <v>0</v>
      </c>
      <c r="CA97" s="226"/>
      <c r="CB97" s="175"/>
      <c r="CC97" s="191"/>
      <c r="CD97" s="192"/>
      <c r="CE97" s="193" t="e">
        <f t="shared" si="92"/>
        <v>#DIV/0!</v>
      </c>
      <c r="CF97" s="191"/>
      <c r="CG97" s="192"/>
      <c r="CH97" s="193" t="e">
        <f t="shared" si="93"/>
        <v>#DIV/0!</v>
      </c>
      <c r="CI97" s="197"/>
      <c r="CJ97" s="198"/>
      <c r="CK97" s="193" t="e">
        <f t="shared" si="94"/>
        <v>#DIV/0!</v>
      </c>
      <c r="CL97" s="195">
        <f t="shared" si="95"/>
        <v>0</v>
      </c>
      <c r="CM97" s="194">
        <f t="shared" si="96"/>
        <v>0</v>
      </c>
      <c r="CN97" s="193" t="e">
        <f t="shared" si="97"/>
        <v>#DIV/0!</v>
      </c>
      <c r="CO97" s="175"/>
      <c r="CP97" s="196">
        <f t="shared" si="98"/>
        <v>0</v>
      </c>
      <c r="CQ97" s="196">
        <f t="shared" si="99"/>
        <v>0</v>
      </c>
      <c r="CR97" s="199" t="e">
        <f t="shared" si="100"/>
        <v>#DIV/0!</v>
      </c>
      <c r="CS97" s="261">
        <f t="shared" si="74"/>
        <v>1</v>
      </c>
      <c r="CT97" s="175"/>
      <c r="CU97" s="196">
        <f t="shared" si="75"/>
        <v>0.3</v>
      </c>
      <c r="CV97" s="259"/>
      <c r="CW97" s="199">
        <f t="shared" si="76"/>
        <v>0</v>
      </c>
      <c r="CX97" s="196">
        <f t="shared" si="77"/>
        <v>0.3</v>
      </c>
      <c r="CY97" s="259"/>
      <c r="CZ97" s="199">
        <f t="shared" si="78"/>
        <v>0</v>
      </c>
      <c r="DA97" s="196">
        <f t="shared" si="79"/>
        <v>0.3</v>
      </c>
      <c r="DB97" s="259"/>
      <c r="DC97" s="199">
        <f t="shared" si="80"/>
        <v>0</v>
      </c>
      <c r="DD97" s="196">
        <f t="shared" si="81"/>
        <v>0.1</v>
      </c>
      <c r="DE97" s="259"/>
      <c r="DF97" s="199">
        <f t="shared" si="82"/>
        <v>0</v>
      </c>
      <c r="DG97" s="175"/>
      <c r="DH97" s="196">
        <f t="shared" si="83"/>
        <v>1</v>
      </c>
      <c r="DI97" s="196">
        <f t="shared" si="84"/>
        <v>0</v>
      </c>
      <c r="DJ97" s="199">
        <f t="shared" si="85"/>
        <v>0</v>
      </c>
      <c r="DK97" s="265">
        <f t="shared" si="86"/>
        <v>1</v>
      </c>
      <c r="DL97" s="244">
        <v>93</v>
      </c>
      <c r="DM97">
        <f t="shared" si="62"/>
        <v>0</v>
      </c>
    </row>
    <row r="98" spans="1:117" x14ac:dyDescent="0.3">
      <c r="A98" s="246">
        <v>94</v>
      </c>
      <c r="B98" s="91" t="s">
        <v>270</v>
      </c>
      <c r="C98" s="91" t="s">
        <v>118</v>
      </c>
      <c r="D98" s="91" t="s">
        <v>119</v>
      </c>
      <c r="E98" s="91" t="s">
        <v>155</v>
      </c>
      <c r="F98" s="91" t="s">
        <v>402</v>
      </c>
      <c r="G98" s="87" t="s">
        <v>392</v>
      </c>
      <c r="H98" s="87" t="s">
        <v>393</v>
      </c>
      <c r="I98" s="87" t="s">
        <v>400</v>
      </c>
      <c r="J98" s="87" t="s">
        <v>400</v>
      </c>
      <c r="K98" s="85" t="s">
        <v>104</v>
      </c>
      <c r="L98" s="85" t="s">
        <v>105</v>
      </c>
      <c r="M98" s="87" t="s">
        <v>106</v>
      </c>
      <c r="N98" s="87" t="s">
        <v>380</v>
      </c>
      <c r="O98" s="87" t="s">
        <v>127</v>
      </c>
      <c r="P98" s="87" t="s">
        <v>403</v>
      </c>
      <c r="Q98" s="87" t="s">
        <v>129</v>
      </c>
      <c r="R98" s="130">
        <v>29</v>
      </c>
      <c r="S98" s="88" t="s">
        <v>111</v>
      </c>
      <c r="T98" s="81">
        <v>5</v>
      </c>
      <c r="U98" s="81">
        <v>0</v>
      </c>
      <c r="V98" s="25">
        <f t="shared" si="61"/>
        <v>0</v>
      </c>
      <c r="W98" s="81">
        <v>5</v>
      </c>
      <c r="X98" s="81">
        <v>2</v>
      </c>
      <c r="Y98" s="25">
        <f t="shared" si="1"/>
        <v>40</v>
      </c>
      <c r="Z98" s="81">
        <v>9</v>
      </c>
      <c r="AA98" s="81"/>
      <c r="AB98" s="25">
        <f t="shared" si="2"/>
        <v>0</v>
      </c>
      <c r="AC98" s="81">
        <v>10</v>
      </c>
      <c r="AD98" s="81"/>
      <c r="AE98" s="25">
        <f t="shared" si="3"/>
        <v>0</v>
      </c>
      <c r="AF98" s="137">
        <f t="shared" si="87"/>
        <v>29</v>
      </c>
      <c r="AG98" s="137">
        <f t="shared" si="88"/>
        <v>2</v>
      </c>
      <c r="AH98" s="128">
        <f t="shared" si="5"/>
        <v>20</v>
      </c>
      <c r="AI98" s="90">
        <v>46113</v>
      </c>
      <c r="AJ98" s="90">
        <v>46477</v>
      </c>
      <c r="AK98" s="91" t="s">
        <v>112</v>
      </c>
      <c r="AL98" s="91" t="s">
        <v>113</v>
      </c>
      <c r="AM98" s="92" t="s">
        <v>114</v>
      </c>
      <c r="AN98" s="93"/>
      <c r="AO98" s="93"/>
      <c r="AP98" s="93"/>
      <c r="AQ98" s="94"/>
      <c r="AR98" s="91" t="s">
        <v>115</v>
      </c>
      <c r="AS98" s="91" t="s">
        <v>112</v>
      </c>
      <c r="AT98" s="150" t="s">
        <v>382</v>
      </c>
      <c r="AU98" s="165" t="s">
        <v>2264</v>
      </c>
      <c r="AV98" s="232" t="s">
        <v>2234</v>
      </c>
      <c r="AW98" s="126" t="s">
        <v>2241</v>
      </c>
      <c r="BA98" s="255"/>
      <c r="BB98" s="256"/>
      <c r="BC98" s="223" t="e">
        <f t="shared" si="63"/>
        <v>#DIV/0!</v>
      </c>
      <c r="BD98" s="255"/>
      <c r="BE98" s="256"/>
      <c r="BF98" s="223" t="e">
        <f t="shared" si="64"/>
        <v>#DIV/0!</v>
      </c>
      <c r="BG98" s="255"/>
      <c r="BH98" s="256"/>
      <c r="BI98" s="223" t="e">
        <f t="shared" si="65"/>
        <v>#DIV/0!</v>
      </c>
      <c r="BJ98" s="224">
        <f t="shared" si="66"/>
        <v>0</v>
      </c>
      <c r="BK98" s="225">
        <f t="shared" si="67"/>
        <v>0</v>
      </c>
      <c r="BL98" s="223" t="e">
        <f t="shared" si="68"/>
        <v>#DIV/0!</v>
      </c>
      <c r="BM98" s="255"/>
      <c r="BN98" s="256"/>
      <c r="BO98" s="223" t="e">
        <f t="shared" si="89"/>
        <v>#DIV/0!</v>
      </c>
      <c r="BP98" s="255"/>
      <c r="BQ98" s="256"/>
      <c r="BR98" s="223" t="e">
        <f t="shared" si="90"/>
        <v>#DIV/0!</v>
      </c>
      <c r="BS98" s="255"/>
      <c r="BT98" s="255"/>
      <c r="BU98" s="223" t="e">
        <f t="shared" si="91"/>
        <v>#DIV/0!</v>
      </c>
      <c r="BV98" s="224">
        <f t="shared" si="69"/>
        <v>0</v>
      </c>
      <c r="BW98" s="224">
        <f t="shared" si="70"/>
        <v>0</v>
      </c>
      <c r="BX98" s="223" t="e">
        <f t="shared" si="71"/>
        <v>#DIV/0!</v>
      </c>
      <c r="BY98" s="223">
        <f t="shared" si="72"/>
        <v>0</v>
      </c>
      <c r="BZ98" s="223">
        <f t="shared" si="73"/>
        <v>0</v>
      </c>
      <c r="CA98" s="226"/>
      <c r="CB98" s="175"/>
      <c r="CC98" s="191"/>
      <c r="CD98" s="192"/>
      <c r="CE98" s="193" t="e">
        <f t="shared" si="92"/>
        <v>#DIV/0!</v>
      </c>
      <c r="CF98" s="191"/>
      <c r="CG98" s="192"/>
      <c r="CH98" s="193" t="e">
        <f t="shared" si="93"/>
        <v>#DIV/0!</v>
      </c>
      <c r="CI98" s="197"/>
      <c r="CJ98" s="198"/>
      <c r="CK98" s="193" t="e">
        <f t="shared" si="94"/>
        <v>#DIV/0!</v>
      </c>
      <c r="CL98" s="195">
        <f t="shared" si="95"/>
        <v>0</v>
      </c>
      <c r="CM98" s="194">
        <f t="shared" si="96"/>
        <v>0</v>
      </c>
      <c r="CN98" s="193" t="e">
        <f t="shared" si="97"/>
        <v>#DIV/0!</v>
      </c>
      <c r="CO98" s="175"/>
      <c r="CP98" s="196">
        <f t="shared" si="98"/>
        <v>0</v>
      </c>
      <c r="CQ98" s="196">
        <f t="shared" si="99"/>
        <v>0</v>
      </c>
      <c r="CR98" s="199" t="e">
        <f t="shared" si="100"/>
        <v>#DIV/0!</v>
      </c>
      <c r="CS98" s="261">
        <f t="shared" si="74"/>
        <v>29</v>
      </c>
      <c r="CT98" s="175"/>
      <c r="CU98" s="196">
        <f t="shared" si="75"/>
        <v>8.6999999999999993</v>
      </c>
      <c r="CV98" s="259"/>
      <c r="CW98" s="199">
        <f t="shared" si="76"/>
        <v>0</v>
      </c>
      <c r="CX98" s="196">
        <f t="shared" si="77"/>
        <v>8.6999999999999993</v>
      </c>
      <c r="CY98" s="259"/>
      <c r="CZ98" s="199">
        <f t="shared" si="78"/>
        <v>0</v>
      </c>
      <c r="DA98" s="196">
        <f t="shared" si="79"/>
        <v>8.6999999999999993</v>
      </c>
      <c r="DB98" s="259"/>
      <c r="DC98" s="199">
        <f t="shared" si="80"/>
        <v>0</v>
      </c>
      <c r="DD98" s="196">
        <f t="shared" si="81"/>
        <v>2.9000000000000004</v>
      </c>
      <c r="DE98" s="259"/>
      <c r="DF98" s="199">
        <f t="shared" si="82"/>
        <v>0</v>
      </c>
      <c r="DG98" s="175"/>
      <c r="DH98" s="196">
        <f t="shared" si="83"/>
        <v>29</v>
      </c>
      <c r="DI98" s="196">
        <f t="shared" si="84"/>
        <v>0</v>
      </c>
      <c r="DJ98" s="199">
        <f t="shared" si="85"/>
        <v>0</v>
      </c>
      <c r="DK98" s="265">
        <f t="shared" si="86"/>
        <v>29</v>
      </c>
      <c r="DL98" s="244">
        <v>94</v>
      </c>
      <c r="DM98">
        <f t="shared" si="62"/>
        <v>0</v>
      </c>
    </row>
    <row r="99" spans="1:117" x14ac:dyDescent="0.3">
      <c r="A99" s="246">
        <v>95</v>
      </c>
      <c r="B99" s="91" t="s">
        <v>270</v>
      </c>
      <c r="C99" s="91" t="s">
        <v>118</v>
      </c>
      <c r="D99" s="91" t="s">
        <v>119</v>
      </c>
      <c r="E99" s="91" t="s">
        <v>155</v>
      </c>
      <c r="F99" s="91" t="s">
        <v>404</v>
      </c>
      <c r="G99" s="87" t="s">
        <v>405</v>
      </c>
      <c r="H99" s="87" t="s">
        <v>406</v>
      </c>
      <c r="I99" s="87" t="s">
        <v>103</v>
      </c>
      <c r="J99" s="87" t="s">
        <v>103</v>
      </c>
      <c r="K99" s="85" t="s">
        <v>104</v>
      </c>
      <c r="L99" s="85" t="s">
        <v>105</v>
      </c>
      <c r="M99" s="87" t="s">
        <v>106</v>
      </c>
      <c r="N99" s="87" t="s">
        <v>380</v>
      </c>
      <c r="O99" s="87" t="s">
        <v>127</v>
      </c>
      <c r="P99" s="241" t="s">
        <v>407</v>
      </c>
      <c r="Q99" s="87" t="s">
        <v>129</v>
      </c>
      <c r="R99" s="130">
        <v>12</v>
      </c>
      <c r="S99" s="88" t="s">
        <v>158</v>
      </c>
      <c r="T99" s="81">
        <v>3</v>
      </c>
      <c r="U99" s="81">
        <v>3</v>
      </c>
      <c r="V99" s="25">
        <f t="shared" si="61"/>
        <v>100</v>
      </c>
      <c r="W99" s="81">
        <v>3</v>
      </c>
      <c r="X99" s="81">
        <v>3</v>
      </c>
      <c r="Y99" s="25">
        <f t="shared" si="1"/>
        <v>100</v>
      </c>
      <c r="Z99" s="81"/>
      <c r="AA99" s="81"/>
      <c r="AB99" s="25" t="e">
        <f t="shared" si="2"/>
        <v>#DIV/0!</v>
      </c>
      <c r="AC99" s="81"/>
      <c r="AD99" s="81"/>
      <c r="AE99" s="25" t="e">
        <f t="shared" si="3"/>
        <v>#DIV/0!</v>
      </c>
      <c r="AF99" s="137">
        <f t="shared" si="87"/>
        <v>12</v>
      </c>
      <c r="AG99" s="137">
        <f t="shared" si="88"/>
        <v>6</v>
      </c>
      <c r="AH99" s="128">
        <f t="shared" si="5"/>
        <v>100</v>
      </c>
      <c r="AI99" s="90">
        <v>46113</v>
      </c>
      <c r="AJ99" s="90">
        <v>46477</v>
      </c>
      <c r="AK99" s="91" t="s">
        <v>112</v>
      </c>
      <c r="AL99" s="91" t="s">
        <v>113</v>
      </c>
      <c r="AM99" s="92" t="s">
        <v>114</v>
      </c>
      <c r="AN99" s="93">
        <v>75000000</v>
      </c>
      <c r="AO99" s="93">
        <v>75000000</v>
      </c>
      <c r="AP99" s="93">
        <v>75000000</v>
      </c>
      <c r="AQ99" s="94">
        <f>AO99</f>
        <v>75000000</v>
      </c>
      <c r="AR99" s="91" t="s">
        <v>115</v>
      </c>
      <c r="AS99" s="91" t="s">
        <v>112</v>
      </c>
      <c r="AT99" s="150" t="s">
        <v>382</v>
      </c>
      <c r="AU99" s="165" t="s">
        <v>2264</v>
      </c>
      <c r="AV99" s="232" t="s">
        <v>2234</v>
      </c>
      <c r="AW99" s="126" t="s">
        <v>2241</v>
      </c>
      <c r="BA99" s="255"/>
      <c r="BB99" s="256"/>
      <c r="BC99" s="223" t="e">
        <f t="shared" si="63"/>
        <v>#DIV/0!</v>
      </c>
      <c r="BD99" s="255"/>
      <c r="BE99" s="256"/>
      <c r="BF99" s="223" t="e">
        <f t="shared" si="64"/>
        <v>#DIV/0!</v>
      </c>
      <c r="BG99" s="255"/>
      <c r="BH99" s="256"/>
      <c r="BI99" s="223" t="e">
        <f t="shared" si="65"/>
        <v>#DIV/0!</v>
      </c>
      <c r="BJ99" s="224">
        <f t="shared" si="66"/>
        <v>0</v>
      </c>
      <c r="BK99" s="225">
        <f t="shared" si="67"/>
        <v>0</v>
      </c>
      <c r="BL99" s="223" t="e">
        <f t="shared" si="68"/>
        <v>#DIV/0!</v>
      </c>
      <c r="BM99" s="255"/>
      <c r="BN99" s="256"/>
      <c r="BO99" s="223" t="e">
        <f t="shared" si="89"/>
        <v>#DIV/0!</v>
      </c>
      <c r="BP99" s="255"/>
      <c r="BQ99" s="256"/>
      <c r="BR99" s="223" t="e">
        <f t="shared" si="90"/>
        <v>#DIV/0!</v>
      </c>
      <c r="BS99" s="255"/>
      <c r="BT99" s="255"/>
      <c r="BU99" s="223" t="e">
        <f t="shared" si="91"/>
        <v>#DIV/0!</v>
      </c>
      <c r="BV99" s="224">
        <f t="shared" si="69"/>
        <v>0</v>
      </c>
      <c r="BW99" s="224">
        <f t="shared" si="70"/>
        <v>0</v>
      </c>
      <c r="BX99" s="223" t="e">
        <f t="shared" si="71"/>
        <v>#DIV/0!</v>
      </c>
      <c r="BY99" s="223">
        <f t="shared" si="72"/>
        <v>0</v>
      </c>
      <c r="BZ99" s="223">
        <f t="shared" si="73"/>
        <v>0</v>
      </c>
      <c r="CA99" s="226"/>
      <c r="CB99" s="175"/>
      <c r="CC99" s="191"/>
      <c r="CD99" s="192"/>
      <c r="CE99" s="193" t="e">
        <f t="shared" si="92"/>
        <v>#DIV/0!</v>
      </c>
      <c r="CF99" s="191"/>
      <c r="CG99" s="192"/>
      <c r="CH99" s="193" t="e">
        <f t="shared" si="93"/>
        <v>#DIV/0!</v>
      </c>
      <c r="CI99" s="197"/>
      <c r="CJ99" s="198"/>
      <c r="CK99" s="193" t="e">
        <f t="shared" si="94"/>
        <v>#DIV/0!</v>
      </c>
      <c r="CL99" s="195">
        <f t="shared" si="95"/>
        <v>0</v>
      </c>
      <c r="CM99" s="194">
        <f t="shared" si="96"/>
        <v>0</v>
      </c>
      <c r="CN99" s="193" t="e">
        <f t="shared" si="97"/>
        <v>#DIV/0!</v>
      </c>
      <c r="CO99" s="175"/>
      <c r="CP99" s="196">
        <f t="shared" si="98"/>
        <v>0</v>
      </c>
      <c r="CQ99" s="196">
        <f t="shared" si="99"/>
        <v>0</v>
      </c>
      <c r="CR99" s="199" t="e">
        <f t="shared" si="100"/>
        <v>#DIV/0!</v>
      </c>
      <c r="CS99" s="261">
        <f t="shared" si="74"/>
        <v>12</v>
      </c>
      <c r="CT99" s="175"/>
      <c r="CU99" s="196">
        <f t="shared" si="75"/>
        <v>3.5999999999999996</v>
      </c>
      <c r="CV99" s="259"/>
      <c r="CW99" s="199">
        <f t="shared" si="76"/>
        <v>0</v>
      </c>
      <c r="CX99" s="196">
        <f t="shared" si="77"/>
        <v>3.5999999999999996</v>
      </c>
      <c r="CY99" s="259"/>
      <c r="CZ99" s="199">
        <f t="shared" si="78"/>
        <v>0</v>
      </c>
      <c r="DA99" s="196">
        <f t="shared" si="79"/>
        <v>3.5999999999999996</v>
      </c>
      <c r="DB99" s="259"/>
      <c r="DC99" s="199">
        <f t="shared" si="80"/>
        <v>0</v>
      </c>
      <c r="DD99" s="196">
        <f t="shared" si="81"/>
        <v>1.2000000000000002</v>
      </c>
      <c r="DE99" s="259"/>
      <c r="DF99" s="199">
        <f t="shared" si="82"/>
        <v>0</v>
      </c>
      <c r="DG99" s="175"/>
      <c r="DH99" s="196">
        <f t="shared" si="83"/>
        <v>12</v>
      </c>
      <c r="DI99" s="196">
        <f t="shared" si="84"/>
        <v>0</v>
      </c>
      <c r="DJ99" s="199">
        <f t="shared" si="85"/>
        <v>0</v>
      </c>
      <c r="DK99" s="265">
        <f t="shared" si="86"/>
        <v>12</v>
      </c>
      <c r="DL99" s="244">
        <v>95</v>
      </c>
      <c r="DM99">
        <f t="shared" si="62"/>
        <v>0</v>
      </c>
    </row>
    <row r="100" spans="1:117" x14ac:dyDescent="0.3">
      <c r="A100" s="246">
        <v>96</v>
      </c>
      <c r="B100" s="91" t="s">
        <v>270</v>
      </c>
      <c r="C100" s="91" t="s">
        <v>118</v>
      </c>
      <c r="D100" s="91" t="s">
        <v>119</v>
      </c>
      <c r="E100" s="91" t="s">
        <v>155</v>
      </c>
      <c r="F100" s="91" t="s">
        <v>402</v>
      </c>
      <c r="G100" s="87" t="s">
        <v>405</v>
      </c>
      <c r="H100" s="87" t="s">
        <v>406</v>
      </c>
      <c r="I100" s="87" t="s">
        <v>103</v>
      </c>
      <c r="J100" s="87" t="s">
        <v>103</v>
      </c>
      <c r="K100" s="85" t="s">
        <v>104</v>
      </c>
      <c r="L100" s="85" t="s">
        <v>105</v>
      </c>
      <c r="M100" s="87" t="s">
        <v>106</v>
      </c>
      <c r="N100" s="87" t="s">
        <v>408</v>
      </c>
      <c r="O100" s="87" t="s">
        <v>127</v>
      </c>
      <c r="P100" s="87" t="s">
        <v>409</v>
      </c>
      <c r="Q100" s="87" t="s">
        <v>129</v>
      </c>
      <c r="R100" s="130">
        <v>1</v>
      </c>
      <c r="S100" s="88" t="s">
        <v>158</v>
      </c>
      <c r="T100" s="81">
        <v>0.25</v>
      </c>
      <c r="U100" s="81">
        <v>0</v>
      </c>
      <c r="V100" s="25">
        <f t="shared" si="61"/>
        <v>0</v>
      </c>
      <c r="W100" s="81">
        <v>0.25</v>
      </c>
      <c r="X100" s="81">
        <v>1</v>
      </c>
      <c r="Y100" s="25">
        <f t="shared" si="1"/>
        <v>400</v>
      </c>
      <c r="Z100" s="81">
        <v>0.25</v>
      </c>
      <c r="AA100" s="81"/>
      <c r="AB100" s="25">
        <f t="shared" si="2"/>
        <v>0</v>
      </c>
      <c r="AC100" s="81">
        <v>0.25</v>
      </c>
      <c r="AD100" s="81"/>
      <c r="AE100" s="25">
        <f t="shared" si="3"/>
        <v>0</v>
      </c>
      <c r="AF100" s="137">
        <f t="shared" si="87"/>
        <v>1</v>
      </c>
      <c r="AG100" s="137">
        <f t="shared" si="88"/>
        <v>1</v>
      </c>
      <c r="AH100" s="128">
        <f t="shared" si="5"/>
        <v>200</v>
      </c>
      <c r="AI100" s="90">
        <v>46113</v>
      </c>
      <c r="AJ100" s="90">
        <v>46477</v>
      </c>
      <c r="AK100" s="91" t="s">
        <v>112</v>
      </c>
      <c r="AL100" s="91" t="s">
        <v>113</v>
      </c>
      <c r="AM100" s="92" t="s">
        <v>114</v>
      </c>
      <c r="AN100" s="93">
        <v>67000000</v>
      </c>
      <c r="AO100" s="93">
        <v>67000000</v>
      </c>
      <c r="AP100" s="93">
        <v>67000000</v>
      </c>
      <c r="AQ100" s="94">
        <v>0</v>
      </c>
      <c r="AR100" s="91" t="s">
        <v>159</v>
      </c>
      <c r="AS100" s="91" t="s">
        <v>112</v>
      </c>
      <c r="AT100" s="150" t="s">
        <v>382</v>
      </c>
      <c r="AU100" s="165" t="s">
        <v>2264</v>
      </c>
      <c r="AV100" s="232" t="s">
        <v>2234</v>
      </c>
      <c r="AW100" s="126" t="s">
        <v>2241</v>
      </c>
      <c r="BA100" s="255"/>
      <c r="BB100" s="256"/>
      <c r="BC100" s="223" t="e">
        <f t="shared" si="63"/>
        <v>#DIV/0!</v>
      </c>
      <c r="BD100" s="255"/>
      <c r="BE100" s="256"/>
      <c r="BF100" s="223" t="e">
        <f t="shared" si="64"/>
        <v>#DIV/0!</v>
      </c>
      <c r="BG100" s="255"/>
      <c r="BH100" s="256"/>
      <c r="BI100" s="223" t="e">
        <f t="shared" si="65"/>
        <v>#DIV/0!</v>
      </c>
      <c r="BJ100" s="224">
        <f t="shared" si="66"/>
        <v>0</v>
      </c>
      <c r="BK100" s="225">
        <f t="shared" si="67"/>
        <v>0</v>
      </c>
      <c r="BL100" s="223" t="e">
        <f t="shared" si="68"/>
        <v>#DIV/0!</v>
      </c>
      <c r="BM100" s="255"/>
      <c r="BN100" s="256"/>
      <c r="BO100" s="223" t="e">
        <f t="shared" si="89"/>
        <v>#DIV/0!</v>
      </c>
      <c r="BP100" s="255"/>
      <c r="BQ100" s="256"/>
      <c r="BR100" s="223" t="e">
        <f t="shared" si="90"/>
        <v>#DIV/0!</v>
      </c>
      <c r="BS100" s="255"/>
      <c r="BT100" s="255"/>
      <c r="BU100" s="223" t="e">
        <f t="shared" si="91"/>
        <v>#DIV/0!</v>
      </c>
      <c r="BV100" s="224">
        <f t="shared" si="69"/>
        <v>0</v>
      </c>
      <c r="BW100" s="224">
        <f t="shared" si="70"/>
        <v>0</v>
      </c>
      <c r="BX100" s="223" t="e">
        <f t="shared" si="71"/>
        <v>#DIV/0!</v>
      </c>
      <c r="BY100" s="223">
        <f t="shared" si="72"/>
        <v>0</v>
      </c>
      <c r="BZ100" s="223">
        <f t="shared" si="73"/>
        <v>0</v>
      </c>
      <c r="CA100" s="226"/>
      <c r="CB100" s="175"/>
      <c r="CC100" s="191"/>
      <c r="CD100" s="192"/>
      <c r="CE100" s="193" t="e">
        <f t="shared" si="92"/>
        <v>#DIV/0!</v>
      </c>
      <c r="CF100" s="191"/>
      <c r="CG100" s="192"/>
      <c r="CH100" s="193" t="e">
        <f t="shared" si="93"/>
        <v>#DIV/0!</v>
      </c>
      <c r="CI100" s="197"/>
      <c r="CJ100" s="198"/>
      <c r="CK100" s="193" t="e">
        <f t="shared" si="94"/>
        <v>#DIV/0!</v>
      </c>
      <c r="CL100" s="195">
        <f t="shared" si="95"/>
        <v>0</v>
      </c>
      <c r="CM100" s="194">
        <f t="shared" si="96"/>
        <v>0</v>
      </c>
      <c r="CN100" s="193" t="e">
        <f t="shared" si="97"/>
        <v>#DIV/0!</v>
      </c>
      <c r="CO100" s="175"/>
      <c r="CP100" s="196">
        <f t="shared" si="98"/>
        <v>0</v>
      </c>
      <c r="CQ100" s="196">
        <f t="shared" si="99"/>
        <v>0</v>
      </c>
      <c r="CR100" s="199" t="e">
        <f t="shared" si="100"/>
        <v>#DIV/0!</v>
      </c>
      <c r="CS100" s="261">
        <f t="shared" si="74"/>
        <v>1</v>
      </c>
      <c r="CT100" s="175"/>
      <c r="CU100" s="196">
        <f t="shared" si="75"/>
        <v>0.3</v>
      </c>
      <c r="CV100" s="259"/>
      <c r="CW100" s="199">
        <f t="shared" si="76"/>
        <v>0</v>
      </c>
      <c r="CX100" s="196">
        <f t="shared" si="77"/>
        <v>0.3</v>
      </c>
      <c r="CY100" s="259"/>
      <c r="CZ100" s="199">
        <f t="shared" si="78"/>
        <v>0</v>
      </c>
      <c r="DA100" s="196">
        <f t="shared" si="79"/>
        <v>0.3</v>
      </c>
      <c r="DB100" s="259"/>
      <c r="DC100" s="199">
        <f t="shared" si="80"/>
        <v>0</v>
      </c>
      <c r="DD100" s="196">
        <f t="shared" si="81"/>
        <v>0.1</v>
      </c>
      <c r="DE100" s="259"/>
      <c r="DF100" s="199">
        <f t="shared" si="82"/>
        <v>0</v>
      </c>
      <c r="DG100" s="175"/>
      <c r="DH100" s="196">
        <f t="shared" si="83"/>
        <v>1</v>
      </c>
      <c r="DI100" s="196">
        <f t="shared" si="84"/>
        <v>0</v>
      </c>
      <c r="DJ100" s="199">
        <f t="shared" si="85"/>
        <v>0</v>
      </c>
      <c r="DK100" s="265">
        <f t="shared" si="86"/>
        <v>1</v>
      </c>
      <c r="DL100" s="244">
        <v>96</v>
      </c>
      <c r="DM100">
        <f t="shared" si="62"/>
        <v>0</v>
      </c>
    </row>
    <row r="101" spans="1:117" x14ac:dyDescent="0.3">
      <c r="A101" s="246">
        <v>97</v>
      </c>
      <c r="B101" s="91" t="s">
        <v>270</v>
      </c>
      <c r="C101" s="91" t="s">
        <v>118</v>
      </c>
      <c r="D101" s="91" t="s">
        <v>119</v>
      </c>
      <c r="E101" s="91" t="s">
        <v>155</v>
      </c>
      <c r="F101" s="91" t="s">
        <v>402</v>
      </c>
      <c r="G101" s="87" t="s">
        <v>405</v>
      </c>
      <c r="H101" s="87" t="s">
        <v>406</v>
      </c>
      <c r="I101" s="87" t="s">
        <v>103</v>
      </c>
      <c r="J101" s="87" t="s">
        <v>103</v>
      </c>
      <c r="K101" s="85" t="s">
        <v>104</v>
      </c>
      <c r="L101" s="85" t="s">
        <v>105</v>
      </c>
      <c r="M101" s="87" t="s">
        <v>106</v>
      </c>
      <c r="N101" s="87" t="s">
        <v>380</v>
      </c>
      <c r="O101" s="87" t="s">
        <v>127</v>
      </c>
      <c r="P101" s="87" t="s">
        <v>410</v>
      </c>
      <c r="Q101" s="87" t="s">
        <v>129</v>
      </c>
      <c r="R101" s="130">
        <v>1</v>
      </c>
      <c r="S101" s="88" t="s">
        <v>158</v>
      </c>
      <c r="T101" s="81">
        <v>0.25</v>
      </c>
      <c r="U101" s="81">
        <v>3</v>
      </c>
      <c r="V101" s="25">
        <f t="shared" si="61"/>
        <v>1200</v>
      </c>
      <c r="W101" s="81">
        <v>0.25</v>
      </c>
      <c r="X101" s="81">
        <v>3</v>
      </c>
      <c r="Y101" s="25">
        <f t="shared" si="1"/>
        <v>1200</v>
      </c>
      <c r="Z101" s="81">
        <v>1</v>
      </c>
      <c r="AA101" s="81"/>
      <c r="AB101" s="25">
        <f t="shared" si="2"/>
        <v>0</v>
      </c>
      <c r="AC101" s="81"/>
      <c r="AD101" s="81"/>
      <c r="AE101" s="25" t="e">
        <f t="shared" si="3"/>
        <v>#DIV/0!</v>
      </c>
      <c r="AF101" s="137">
        <f t="shared" si="87"/>
        <v>1</v>
      </c>
      <c r="AG101" s="137">
        <f t="shared" si="88"/>
        <v>6</v>
      </c>
      <c r="AH101" s="128">
        <f t="shared" si="5"/>
        <v>1200</v>
      </c>
      <c r="AI101" s="90">
        <v>46113</v>
      </c>
      <c r="AJ101" s="90">
        <v>46477</v>
      </c>
      <c r="AK101" s="91" t="s">
        <v>112</v>
      </c>
      <c r="AL101" s="91" t="s">
        <v>113</v>
      </c>
      <c r="AM101" s="92" t="s">
        <v>114</v>
      </c>
      <c r="AN101" s="93"/>
      <c r="AO101" s="93"/>
      <c r="AP101" s="93"/>
      <c r="AQ101" s="94"/>
      <c r="AR101" s="91" t="s">
        <v>159</v>
      </c>
      <c r="AS101" s="91" t="s">
        <v>112</v>
      </c>
      <c r="AT101" s="150" t="s">
        <v>382</v>
      </c>
      <c r="AU101" s="165" t="s">
        <v>2264</v>
      </c>
      <c r="AV101" s="232" t="s">
        <v>2234</v>
      </c>
      <c r="AW101" s="126" t="s">
        <v>2241</v>
      </c>
      <c r="BA101" s="255"/>
      <c r="BB101" s="256"/>
      <c r="BC101" s="223" t="e">
        <f t="shared" si="63"/>
        <v>#DIV/0!</v>
      </c>
      <c r="BD101" s="255"/>
      <c r="BE101" s="256"/>
      <c r="BF101" s="223" t="e">
        <f t="shared" si="64"/>
        <v>#DIV/0!</v>
      </c>
      <c r="BG101" s="255"/>
      <c r="BH101" s="256"/>
      <c r="BI101" s="223" t="e">
        <f t="shared" si="65"/>
        <v>#DIV/0!</v>
      </c>
      <c r="BJ101" s="224">
        <f t="shared" si="66"/>
        <v>0</v>
      </c>
      <c r="BK101" s="225">
        <f t="shared" si="67"/>
        <v>0</v>
      </c>
      <c r="BL101" s="223" t="e">
        <f t="shared" si="68"/>
        <v>#DIV/0!</v>
      </c>
      <c r="BM101" s="255"/>
      <c r="BN101" s="256"/>
      <c r="BO101" s="223" t="e">
        <f t="shared" si="89"/>
        <v>#DIV/0!</v>
      </c>
      <c r="BP101" s="255"/>
      <c r="BQ101" s="256"/>
      <c r="BR101" s="223" t="e">
        <f t="shared" si="90"/>
        <v>#DIV/0!</v>
      </c>
      <c r="BS101" s="255"/>
      <c r="BT101" s="255"/>
      <c r="BU101" s="223" t="e">
        <f t="shared" si="91"/>
        <v>#DIV/0!</v>
      </c>
      <c r="BV101" s="224">
        <f t="shared" si="69"/>
        <v>0</v>
      </c>
      <c r="BW101" s="224">
        <f t="shared" si="70"/>
        <v>0</v>
      </c>
      <c r="BX101" s="223" t="e">
        <f t="shared" si="71"/>
        <v>#DIV/0!</v>
      </c>
      <c r="BY101" s="223">
        <f t="shared" si="72"/>
        <v>0</v>
      </c>
      <c r="BZ101" s="223">
        <f t="shared" si="73"/>
        <v>0</v>
      </c>
      <c r="CA101" s="226"/>
      <c r="CB101" s="175"/>
      <c r="CC101" s="191"/>
      <c r="CD101" s="192"/>
      <c r="CE101" s="193" t="e">
        <f t="shared" si="92"/>
        <v>#DIV/0!</v>
      </c>
      <c r="CF101" s="191"/>
      <c r="CG101" s="192"/>
      <c r="CH101" s="193" t="e">
        <f t="shared" si="93"/>
        <v>#DIV/0!</v>
      </c>
      <c r="CI101" s="197"/>
      <c r="CJ101" s="198"/>
      <c r="CK101" s="193" t="e">
        <f t="shared" si="94"/>
        <v>#DIV/0!</v>
      </c>
      <c r="CL101" s="195">
        <f t="shared" si="95"/>
        <v>0</v>
      </c>
      <c r="CM101" s="194">
        <f t="shared" si="96"/>
        <v>0</v>
      </c>
      <c r="CN101" s="193" t="e">
        <f t="shared" si="97"/>
        <v>#DIV/0!</v>
      </c>
      <c r="CO101" s="175"/>
      <c r="CP101" s="196">
        <f t="shared" si="98"/>
        <v>0</v>
      </c>
      <c r="CQ101" s="196">
        <f t="shared" si="99"/>
        <v>0</v>
      </c>
      <c r="CR101" s="199" t="e">
        <f t="shared" si="100"/>
        <v>#DIV/0!</v>
      </c>
      <c r="CS101" s="261">
        <f t="shared" si="74"/>
        <v>1</v>
      </c>
      <c r="CT101" s="175"/>
      <c r="CU101" s="196">
        <f t="shared" si="75"/>
        <v>0.3</v>
      </c>
      <c r="CV101" s="259"/>
      <c r="CW101" s="199">
        <f t="shared" si="76"/>
        <v>0</v>
      </c>
      <c r="CX101" s="196">
        <f t="shared" si="77"/>
        <v>0.3</v>
      </c>
      <c r="CY101" s="259"/>
      <c r="CZ101" s="199">
        <f t="shared" si="78"/>
        <v>0</v>
      </c>
      <c r="DA101" s="196">
        <f t="shared" si="79"/>
        <v>0.3</v>
      </c>
      <c r="DB101" s="259"/>
      <c r="DC101" s="199">
        <f t="shared" si="80"/>
        <v>0</v>
      </c>
      <c r="DD101" s="196">
        <f t="shared" si="81"/>
        <v>0.1</v>
      </c>
      <c r="DE101" s="259"/>
      <c r="DF101" s="199">
        <f t="shared" si="82"/>
        <v>0</v>
      </c>
      <c r="DG101" s="175"/>
      <c r="DH101" s="196">
        <f t="shared" si="83"/>
        <v>1</v>
      </c>
      <c r="DI101" s="196">
        <f t="shared" si="84"/>
        <v>0</v>
      </c>
      <c r="DJ101" s="199">
        <f t="shared" si="85"/>
        <v>0</v>
      </c>
      <c r="DK101" s="265">
        <f t="shared" si="86"/>
        <v>1</v>
      </c>
      <c r="DL101" s="244">
        <v>97</v>
      </c>
      <c r="DM101">
        <f t="shared" ref="DM101:DM132" si="101">+A101-DL101</f>
        <v>0</v>
      </c>
    </row>
    <row r="102" spans="1:117" x14ac:dyDescent="0.3">
      <c r="A102" s="246">
        <v>98</v>
      </c>
      <c r="B102" s="91" t="s">
        <v>270</v>
      </c>
      <c r="C102" s="91" t="s">
        <v>118</v>
      </c>
      <c r="D102" s="91" t="s">
        <v>119</v>
      </c>
      <c r="E102" s="91" t="s">
        <v>155</v>
      </c>
      <c r="F102" s="91" t="s">
        <v>402</v>
      </c>
      <c r="G102" s="87" t="s">
        <v>405</v>
      </c>
      <c r="H102" s="87" t="s">
        <v>406</v>
      </c>
      <c r="I102" s="87" t="s">
        <v>103</v>
      </c>
      <c r="J102" s="87" t="s">
        <v>103</v>
      </c>
      <c r="K102" s="85" t="s">
        <v>104</v>
      </c>
      <c r="L102" s="85" t="s">
        <v>105</v>
      </c>
      <c r="M102" s="87" t="s">
        <v>106</v>
      </c>
      <c r="N102" s="87" t="s">
        <v>380</v>
      </c>
      <c r="O102" s="87" t="s">
        <v>127</v>
      </c>
      <c r="P102" s="87" t="s">
        <v>411</v>
      </c>
      <c r="Q102" s="87" t="s">
        <v>129</v>
      </c>
      <c r="R102" s="130">
        <v>1</v>
      </c>
      <c r="S102" s="88" t="s">
        <v>158</v>
      </c>
      <c r="T102" s="81">
        <v>1</v>
      </c>
      <c r="U102" s="81">
        <v>0</v>
      </c>
      <c r="V102" s="25">
        <f t="shared" si="61"/>
        <v>0</v>
      </c>
      <c r="W102" s="81">
        <v>1</v>
      </c>
      <c r="X102" s="81">
        <v>1</v>
      </c>
      <c r="Y102" s="25">
        <f t="shared" si="1"/>
        <v>100</v>
      </c>
      <c r="Z102" s="81"/>
      <c r="AA102" s="81"/>
      <c r="AB102" s="25" t="e">
        <f t="shared" si="2"/>
        <v>#DIV/0!</v>
      </c>
      <c r="AC102" s="81"/>
      <c r="AD102" s="81"/>
      <c r="AE102" s="25" t="e">
        <f t="shared" si="3"/>
        <v>#DIV/0!</v>
      </c>
      <c r="AF102" s="137">
        <f t="shared" si="87"/>
        <v>1</v>
      </c>
      <c r="AG102" s="137">
        <f t="shared" si="88"/>
        <v>1</v>
      </c>
      <c r="AH102" s="128">
        <f t="shared" si="5"/>
        <v>50</v>
      </c>
      <c r="AI102" s="90">
        <v>46054</v>
      </c>
      <c r="AJ102" s="90">
        <v>46477</v>
      </c>
      <c r="AK102" s="91" t="s">
        <v>112</v>
      </c>
      <c r="AL102" s="91" t="s">
        <v>113</v>
      </c>
      <c r="AM102" s="92" t="s">
        <v>114</v>
      </c>
      <c r="AN102" s="93">
        <v>100000000</v>
      </c>
      <c r="AO102" s="93">
        <v>100000000</v>
      </c>
      <c r="AP102" s="93">
        <v>100000000</v>
      </c>
      <c r="AQ102" s="94">
        <f>AO102</f>
        <v>100000000</v>
      </c>
      <c r="AR102" s="91" t="s">
        <v>159</v>
      </c>
      <c r="AS102" s="91" t="s">
        <v>112</v>
      </c>
      <c r="AT102" s="150" t="s">
        <v>382</v>
      </c>
      <c r="AU102" s="165" t="s">
        <v>2264</v>
      </c>
      <c r="AV102" s="232" t="s">
        <v>2234</v>
      </c>
      <c r="AW102" s="126" t="s">
        <v>2241</v>
      </c>
      <c r="BA102" s="255"/>
      <c r="BB102" s="256"/>
      <c r="BC102" s="223" t="e">
        <f t="shared" si="63"/>
        <v>#DIV/0!</v>
      </c>
      <c r="BD102" s="255"/>
      <c r="BE102" s="256"/>
      <c r="BF102" s="223" t="e">
        <f t="shared" si="64"/>
        <v>#DIV/0!</v>
      </c>
      <c r="BG102" s="255"/>
      <c r="BH102" s="256"/>
      <c r="BI102" s="223" t="e">
        <f t="shared" si="65"/>
        <v>#DIV/0!</v>
      </c>
      <c r="BJ102" s="224">
        <f t="shared" si="66"/>
        <v>0</v>
      </c>
      <c r="BK102" s="225">
        <f t="shared" si="67"/>
        <v>0</v>
      </c>
      <c r="BL102" s="223" t="e">
        <f t="shared" si="68"/>
        <v>#DIV/0!</v>
      </c>
      <c r="BM102" s="255"/>
      <c r="BN102" s="256"/>
      <c r="BO102" s="223" t="e">
        <f t="shared" si="89"/>
        <v>#DIV/0!</v>
      </c>
      <c r="BP102" s="255"/>
      <c r="BQ102" s="256"/>
      <c r="BR102" s="223" t="e">
        <f t="shared" si="90"/>
        <v>#DIV/0!</v>
      </c>
      <c r="BS102" s="255"/>
      <c r="BT102" s="255"/>
      <c r="BU102" s="223" t="e">
        <f t="shared" si="91"/>
        <v>#DIV/0!</v>
      </c>
      <c r="BV102" s="224">
        <f t="shared" si="69"/>
        <v>0</v>
      </c>
      <c r="BW102" s="224">
        <f t="shared" si="70"/>
        <v>0</v>
      </c>
      <c r="BX102" s="223" t="e">
        <f t="shared" si="71"/>
        <v>#DIV/0!</v>
      </c>
      <c r="BY102" s="223">
        <f t="shared" si="72"/>
        <v>0</v>
      </c>
      <c r="BZ102" s="223">
        <f t="shared" si="73"/>
        <v>0</v>
      </c>
      <c r="CA102" s="226"/>
      <c r="CB102" s="175"/>
      <c r="CC102" s="191"/>
      <c r="CD102" s="192"/>
      <c r="CE102" s="193" t="e">
        <f t="shared" si="92"/>
        <v>#DIV/0!</v>
      </c>
      <c r="CF102" s="191"/>
      <c r="CG102" s="192"/>
      <c r="CH102" s="193" t="e">
        <f t="shared" si="93"/>
        <v>#DIV/0!</v>
      </c>
      <c r="CI102" s="197"/>
      <c r="CJ102" s="198"/>
      <c r="CK102" s="193" t="e">
        <f t="shared" si="94"/>
        <v>#DIV/0!</v>
      </c>
      <c r="CL102" s="195">
        <f t="shared" si="95"/>
        <v>0</v>
      </c>
      <c r="CM102" s="194">
        <f t="shared" si="96"/>
        <v>0</v>
      </c>
      <c r="CN102" s="193" t="e">
        <f t="shared" si="97"/>
        <v>#DIV/0!</v>
      </c>
      <c r="CO102" s="175"/>
      <c r="CP102" s="196">
        <f t="shared" si="98"/>
        <v>0</v>
      </c>
      <c r="CQ102" s="196">
        <f t="shared" si="99"/>
        <v>0</v>
      </c>
      <c r="CR102" s="199" t="e">
        <f t="shared" si="100"/>
        <v>#DIV/0!</v>
      </c>
      <c r="CS102" s="261">
        <f t="shared" si="74"/>
        <v>1</v>
      </c>
      <c r="CT102" s="175"/>
      <c r="CU102" s="196">
        <f t="shared" si="75"/>
        <v>0.3</v>
      </c>
      <c r="CV102" s="259"/>
      <c r="CW102" s="199">
        <f t="shared" si="76"/>
        <v>0</v>
      </c>
      <c r="CX102" s="196">
        <f t="shared" si="77"/>
        <v>0.3</v>
      </c>
      <c r="CY102" s="259"/>
      <c r="CZ102" s="199">
        <f t="shared" si="78"/>
        <v>0</v>
      </c>
      <c r="DA102" s="196">
        <f t="shared" si="79"/>
        <v>0.3</v>
      </c>
      <c r="DB102" s="259"/>
      <c r="DC102" s="199">
        <f t="shared" si="80"/>
        <v>0</v>
      </c>
      <c r="DD102" s="196">
        <f t="shared" si="81"/>
        <v>0.1</v>
      </c>
      <c r="DE102" s="259"/>
      <c r="DF102" s="199">
        <f t="shared" si="82"/>
        <v>0</v>
      </c>
      <c r="DG102" s="175"/>
      <c r="DH102" s="196">
        <f t="shared" si="83"/>
        <v>1</v>
      </c>
      <c r="DI102" s="196">
        <f t="shared" si="84"/>
        <v>0</v>
      </c>
      <c r="DJ102" s="199">
        <f t="shared" si="85"/>
        <v>0</v>
      </c>
      <c r="DK102" s="265">
        <f t="shared" si="86"/>
        <v>1</v>
      </c>
      <c r="DL102" s="244">
        <v>98</v>
      </c>
      <c r="DM102">
        <f t="shared" si="101"/>
        <v>0</v>
      </c>
    </row>
    <row r="103" spans="1:117" x14ac:dyDescent="0.3">
      <c r="A103" s="246">
        <v>99</v>
      </c>
      <c r="B103" s="91" t="s">
        <v>270</v>
      </c>
      <c r="C103" s="91" t="s">
        <v>118</v>
      </c>
      <c r="D103" s="91" t="s">
        <v>119</v>
      </c>
      <c r="E103" s="91" t="s">
        <v>155</v>
      </c>
      <c r="F103" s="91" t="s">
        <v>412</v>
      </c>
      <c r="G103" s="87" t="s">
        <v>405</v>
      </c>
      <c r="H103" s="87" t="s">
        <v>406</v>
      </c>
      <c r="I103" s="87" t="s">
        <v>413</v>
      </c>
      <c r="J103" s="87" t="s">
        <v>413</v>
      </c>
      <c r="K103" s="85" t="s">
        <v>104</v>
      </c>
      <c r="L103" s="85" t="s">
        <v>105</v>
      </c>
      <c r="M103" s="87" t="s">
        <v>106</v>
      </c>
      <c r="N103" s="87" t="s">
        <v>380</v>
      </c>
      <c r="O103" s="87" t="s">
        <v>127</v>
      </c>
      <c r="P103" s="241" t="s">
        <v>414</v>
      </c>
      <c r="Q103" s="87" t="s">
        <v>129</v>
      </c>
      <c r="R103" s="130">
        <v>4</v>
      </c>
      <c r="S103" s="88" t="s">
        <v>111</v>
      </c>
      <c r="T103" s="81">
        <v>0.25</v>
      </c>
      <c r="U103" s="81">
        <v>0</v>
      </c>
      <c r="V103" s="25">
        <f t="shared" si="61"/>
        <v>0</v>
      </c>
      <c r="W103" s="81">
        <v>0.25</v>
      </c>
      <c r="X103" s="81">
        <v>1</v>
      </c>
      <c r="Y103" s="25">
        <f t="shared" si="1"/>
        <v>400</v>
      </c>
      <c r="Z103" s="81">
        <v>0.25</v>
      </c>
      <c r="AA103" s="81"/>
      <c r="AB103" s="25">
        <f t="shared" si="2"/>
        <v>0</v>
      </c>
      <c r="AC103" s="81">
        <v>0.25</v>
      </c>
      <c r="AD103" s="81"/>
      <c r="AE103" s="25">
        <f t="shared" si="3"/>
        <v>0</v>
      </c>
      <c r="AF103" s="137">
        <f t="shared" si="87"/>
        <v>4</v>
      </c>
      <c r="AG103" s="137">
        <f t="shared" si="88"/>
        <v>1</v>
      </c>
      <c r="AH103" s="128">
        <f t="shared" si="5"/>
        <v>200</v>
      </c>
      <c r="AI103" s="90">
        <v>46113</v>
      </c>
      <c r="AJ103" s="90">
        <v>46477</v>
      </c>
      <c r="AK103" s="91" t="s">
        <v>112</v>
      </c>
      <c r="AL103" s="91" t="s">
        <v>113</v>
      </c>
      <c r="AM103" s="92" t="s">
        <v>114</v>
      </c>
      <c r="AN103" s="93">
        <v>32000000</v>
      </c>
      <c r="AO103" s="93">
        <v>32000000</v>
      </c>
      <c r="AP103" s="93">
        <v>32000000</v>
      </c>
      <c r="AQ103" s="94">
        <v>0</v>
      </c>
      <c r="AR103" s="91"/>
      <c r="AS103" s="91" t="s">
        <v>112</v>
      </c>
      <c r="AT103" s="150" t="s">
        <v>382</v>
      </c>
      <c r="AU103" s="165" t="s">
        <v>2264</v>
      </c>
      <c r="AV103" s="232" t="s">
        <v>2234</v>
      </c>
      <c r="AW103" s="126" t="s">
        <v>2241</v>
      </c>
      <c r="BA103" s="255"/>
      <c r="BB103" s="256"/>
      <c r="BC103" s="223" t="e">
        <f t="shared" si="63"/>
        <v>#DIV/0!</v>
      </c>
      <c r="BD103" s="255"/>
      <c r="BE103" s="256"/>
      <c r="BF103" s="223" t="e">
        <f t="shared" si="64"/>
        <v>#DIV/0!</v>
      </c>
      <c r="BG103" s="255"/>
      <c r="BH103" s="256"/>
      <c r="BI103" s="223" t="e">
        <f t="shared" si="65"/>
        <v>#DIV/0!</v>
      </c>
      <c r="BJ103" s="224">
        <f t="shared" si="66"/>
        <v>0</v>
      </c>
      <c r="BK103" s="225">
        <f t="shared" si="67"/>
        <v>0</v>
      </c>
      <c r="BL103" s="223" t="e">
        <f t="shared" si="68"/>
        <v>#DIV/0!</v>
      </c>
      <c r="BM103" s="255"/>
      <c r="BN103" s="256"/>
      <c r="BO103" s="223" t="e">
        <f t="shared" si="89"/>
        <v>#DIV/0!</v>
      </c>
      <c r="BP103" s="255"/>
      <c r="BQ103" s="256"/>
      <c r="BR103" s="223" t="e">
        <f t="shared" si="90"/>
        <v>#DIV/0!</v>
      </c>
      <c r="BS103" s="255"/>
      <c r="BT103" s="255"/>
      <c r="BU103" s="223" t="e">
        <f t="shared" si="91"/>
        <v>#DIV/0!</v>
      </c>
      <c r="BV103" s="224">
        <f t="shared" si="69"/>
        <v>0</v>
      </c>
      <c r="BW103" s="224">
        <f t="shared" si="70"/>
        <v>0</v>
      </c>
      <c r="BX103" s="223" t="e">
        <f t="shared" si="71"/>
        <v>#DIV/0!</v>
      </c>
      <c r="BY103" s="223">
        <f t="shared" si="72"/>
        <v>0</v>
      </c>
      <c r="BZ103" s="223">
        <f t="shared" si="73"/>
        <v>0</v>
      </c>
      <c r="CA103" s="226"/>
      <c r="CB103" s="175"/>
      <c r="CC103" s="191"/>
      <c r="CD103" s="192"/>
      <c r="CE103" s="193" t="e">
        <f t="shared" si="92"/>
        <v>#DIV/0!</v>
      </c>
      <c r="CF103" s="191"/>
      <c r="CG103" s="192"/>
      <c r="CH103" s="193" t="e">
        <f t="shared" si="93"/>
        <v>#DIV/0!</v>
      </c>
      <c r="CI103" s="197"/>
      <c r="CJ103" s="198"/>
      <c r="CK103" s="193" t="e">
        <f t="shared" si="94"/>
        <v>#DIV/0!</v>
      </c>
      <c r="CL103" s="195">
        <f t="shared" si="95"/>
        <v>0</v>
      </c>
      <c r="CM103" s="194">
        <f t="shared" si="96"/>
        <v>0</v>
      </c>
      <c r="CN103" s="193" t="e">
        <f t="shared" si="97"/>
        <v>#DIV/0!</v>
      </c>
      <c r="CO103" s="175"/>
      <c r="CP103" s="196">
        <f t="shared" si="98"/>
        <v>0</v>
      </c>
      <c r="CQ103" s="196">
        <f t="shared" si="99"/>
        <v>0</v>
      </c>
      <c r="CR103" s="199" t="e">
        <f t="shared" si="100"/>
        <v>#DIV/0!</v>
      </c>
      <c r="CS103" s="261">
        <f t="shared" si="74"/>
        <v>4</v>
      </c>
      <c r="CT103" s="175"/>
      <c r="CU103" s="196">
        <f t="shared" si="75"/>
        <v>1.2</v>
      </c>
      <c r="CV103" s="259"/>
      <c r="CW103" s="199">
        <f t="shared" si="76"/>
        <v>0</v>
      </c>
      <c r="CX103" s="196">
        <f t="shared" si="77"/>
        <v>1.2</v>
      </c>
      <c r="CY103" s="259"/>
      <c r="CZ103" s="199">
        <f t="shared" si="78"/>
        <v>0</v>
      </c>
      <c r="DA103" s="196">
        <f t="shared" si="79"/>
        <v>1.2</v>
      </c>
      <c r="DB103" s="259"/>
      <c r="DC103" s="199">
        <f t="shared" si="80"/>
        <v>0</v>
      </c>
      <c r="DD103" s="196">
        <f t="shared" si="81"/>
        <v>0.4</v>
      </c>
      <c r="DE103" s="259"/>
      <c r="DF103" s="199">
        <f t="shared" si="82"/>
        <v>0</v>
      </c>
      <c r="DG103" s="175"/>
      <c r="DH103" s="196">
        <f t="shared" si="83"/>
        <v>4</v>
      </c>
      <c r="DI103" s="196">
        <f t="shared" si="84"/>
        <v>0</v>
      </c>
      <c r="DJ103" s="199">
        <f t="shared" si="85"/>
        <v>0</v>
      </c>
      <c r="DK103" s="265">
        <f t="shared" si="86"/>
        <v>4</v>
      </c>
      <c r="DL103" s="244">
        <v>99</v>
      </c>
      <c r="DM103">
        <f t="shared" si="101"/>
        <v>0</v>
      </c>
    </row>
    <row r="104" spans="1:117" x14ac:dyDescent="0.3">
      <c r="A104" s="246">
        <v>100</v>
      </c>
      <c r="B104" s="91" t="s">
        <v>270</v>
      </c>
      <c r="C104" s="91" t="s">
        <v>118</v>
      </c>
      <c r="D104" s="91" t="s">
        <v>119</v>
      </c>
      <c r="E104" s="91" t="s">
        <v>155</v>
      </c>
      <c r="F104" s="91" t="s">
        <v>415</v>
      </c>
      <c r="G104" s="87" t="s">
        <v>405</v>
      </c>
      <c r="H104" s="87" t="s">
        <v>406</v>
      </c>
      <c r="I104" s="87" t="s">
        <v>103</v>
      </c>
      <c r="J104" s="87" t="s">
        <v>103</v>
      </c>
      <c r="K104" s="85" t="s">
        <v>104</v>
      </c>
      <c r="L104" s="85" t="s">
        <v>105</v>
      </c>
      <c r="M104" s="87" t="s">
        <v>106</v>
      </c>
      <c r="N104" s="87" t="s">
        <v>380</v>
      </c>
      <c r="O104" s="87" t="s">
        <v>127</v>
      </c>
      <c r="P104" s="87" t="s">
        <v>416</v>
      </c>
      <c r="Q104" s="87" t="s">
        <v>129</v>
      </c>
      <c r="R104" s="130">
        <v>1</v>
      </c>
      <c r="S104" s="88" t="s">
        <v>158</v>
      </c>
      <c r="T104" s="81">
        <v>0</v>
      </c>
      <c r="U104" s="81">
        <v>0</v>
      </c>
      <c r="V104" s="25" t="e">
        <f t="shared" si="61"/>
        <v>#DIV/0!</v>
      </c>
      <c r="W104" s="81">
        <v>0.25</v>
      </c>
      <c r="X104" s="81">
        <v>1</v>
      </c>
      <c r="Y104" s="25">
        <f t="shared" si="1"/>
        <v>400</v>
      </c>
      <c r="Z104" s="81">
        <v>0.25</v>
      </c>
      <c r="AA104" s="81"/>
      <c r="AB104" s="25">
        <f t="shared" si="2"/>
        <v>0</v>
      </c>
      <c r="AC104" s="81">
        <v>0.25</v>
      </c>
      <c r="AD104" s="81"/>
      <c r="AE104" s="25">
        <f t="shared" si="3"/>
        <v>0</v>
      </c>
      <c r="AF104" s="137">
        <f t="shared" si="87"/>
        <v>1</v>
      </c>
      <c r="AG104" s="137">
        <f t="shared" si="88"/>
        <v>1</v>
      </c>
      <c r="AH104" s="128">
        <f t="shared" si="5"/>
        <v>400</v>
      </c>
      <c r="AI104" s="90">
        <v>46113</v>
      </c>
      <c r="AJ104" s="90">
        <v>46477</v>
      </c>
      <c r="AK104" s="91" t="s">
        <v>112</v>
      </c>
      <c r="AL104" s="91" t="s">
        <v>113</v>
      </c>
      <c r="AM104" s="92" t="s">
        <v>114</v>
      </c>
      <c r="AN104" s="93"/>
      <c r="AO104" s="93"/>
      <c r="AP104" s="93"/>
      <c r="AQ104" s="94"/>
      <c r="AR104" s="91"/>
      <c r="AS104" s="91" t="s">
        <v>112</v>
      </c>
      <c r="AT104" s="150" t="s">
        <v>382</v>
      </c>
      <c r="AU104" s="165" t="s">
        <v>2264</v>
      </c>
      <c r="AV104" s="232" t="s">
        <v>2234</v>
      </c>
      <c r="AW104" s="126" t="s">
        <v>2241</v>
      </c>
      <c r="BA104" s="255"/>
      <c r="BB104" s="256"/>
      <c r="BC104" s="223" t="e">
        <f t="shared" si="63"/>
        <v>#DIV/0!</v>
      </c>
      <c r="BD104" s="255"/>
      <c r="BE104" s="256"/>
      <c r="BF104" s="223" t="e">
        <f t="shared" si="64"/>
        <v>#DIV/0!</v>
      </c>
      <c r="BG104" s="255"/>
      <c r="BH104" s="256"/>
      <c r="BI104" s="223" t="e">
        <f t="shared" si="65"/>
        <v>#DIV/0!</v>
      </c>
      <c r="BJ104" s="224">
        <f t="shared" si="66"/>
        <v>0</v>
      </c>
      <c r="BK104" s="225">
        <f t="shared" si="67"/>
        <v>0</v>
      </c>
      <c r="BL104" s="223" t="e">
        <f t="shared" si="68"/>
        <v>#DIV/0!</v>
      </c>
      <c r="BM104" s="255"/>
      <c r="BN104" s="256"/>
      <c r="BO104" s="223" t="e">
        <f t="shared" si="89"/>
        <v>#DIV/0!</v>
      </c>
      <c r="BP104" s="255"/>
      <c r="BQ104" s="256"/>
      <c r="BR104" s="223" t="e">
        <f t="shared" si="90"/>
        <v>#DIV/0!</v>
      </c>
      <c r="BS104" s="255"/>
      <c r="BT104" s="255"/>
      <c r="BU104" s="223" t="e">
        <f t="shared" si="91"/>
        <v>#DIV/0!</v>
      </c>
      <c r="BV104" s="224">
        <f t="shared" si="69"/>
        <v>0</v>
      </c>
      <c r="BW104" s="224">
        <f t="shared" si="70"/>
        <v>0</v>
      </c>
      <c r="BX104" s="223" t="e">
        <f t="shared" si="71"/>
        <v>#DIV/0!</v>
      </c>
      <c r="BY104" s="223">
        <f t="shared" si="72"/>
        <v>0</v>
      </c>
      <c r="BZ104" s="223">
        <f t="shared" si="73"/>
        <v>0</v>
      </c>
      <c r="CA104" s="226"/>
      <c r="CB104" s="175"/>
      <c r="CC104" s="191"/>
      <c r="CD104" s="192"/>
      <c r="CE104" s="193" t="e">
        <f t="shared" si="92"/>
        <v>#DIV/0!</v>
      </c>
      <c r="CF104" s="191"/>
      <c r="CG104" s="192"/>
      <c r="CH104" s="193" t="e">
        <f t="shared" si="93"/>
        <v>#DIV/0!</v>
      </c>
      <c r="CI104" s="197"/>
      <c r="CJ104" s="198"/>
      <c r="CK104" s="193" t="e">
        <f t="shared" si="94"/>
        <v>#DIV/0!</v>
      </c>
      <c r="CL104" s="195">
        <f t="shared" si="95"/>
        <v>0</v>
      </c>
      <c r="CM104" s="194">
        <f t="shared" si="96"/>
        <v>0</v>
      </c>
      <c r="CN104" s="193" t="e">
        <f t="shared" si="97"/>
        <v>#DIV/0!</v>
      </c>
      <c r="CO104" s="175"/>
      <c r="CP104" s="196">
        <f t="shared" si="98"/>
        <v>0</v>
      </c>
      <c r="CQ104" s="196">
        <f t="shared" si="99"/>
        <v>0</v>
      </c>
      <c r="CR104" s="199" t="e">
        <f t="shared" si="100"/>
        <v>#DIV/0!</v>
      </c>
      <c r="CS104" s="261">
        <f t="shared" si="74"/>
        <v>1</v>
      </c>
      <c r="CT104" s="175"/>
      <c r="CU104" s="196">
        <f t="shared" si="75"/>
        <v>0.3</v>
      </c>
      <c r="CV104" s="259"/>
      <c r="CW104" s="199">
        <f t="shared" si="76"/>
        <v>0</v>
      </c>
      <c r="CX104" s="196">
        <f t="shared" si="77"/>
        <v>0.3</v>
      </c>
      <c r="CY104" s="259"/>
      <c r="CZ104" s="199">
        <f t="shared" si="78"/>
        <v>0</v>
      </c>
      <c r="DA104" s="196">
        <f t="shared" si="79"/>
        <v>0.3</v>
      </c>
      <c r="DB104" s="259"/>
      <c r="DC104" s="199">
        <f t="shared" si="80"/>
        <v>0</v>
      </c>
      <c r="DD104" s="196">
        <f t="shared" si="81"/>
        <v>0.1</v>
      </c>
      <c r="DE104" s="259"/>
      <c r="DF104" s="199">
        <f t="shared" si="82"/>
        <v>0</v>
      </c>
      <c r="DG104" s="175"/>
      <c r="DH104" s="196">
        <f t="shared" si="83"/>
        <v>1</v>
      </c>
      <c r="DI104" s="196">
        <f t="shared" si="84"/>
        <v>0</v>
      </c>
      <c r="DJ104" s="199">
        <f t="shared" si="85"/>
        <v>0</v>
      </c>
      <c r="DK104" s="265">
        <f t="shared" si="86"/>
        <v>1</v>
      </c>
      <c r="DL104" s="244">
        <v>100</v>
      </c>
      <c r="DM104">
        <f t="shared" si="101"/>
        <v>0</v>
      </c>
    </row>
    <row r="105" spans="1:117" x14ac:dyDescent="0.3">
      <c r="A105" s="246">
        <v>101</v>
      </c>
      <c r="B105" s="91" t="s">
        <v>270</v>
      </c>
      <c r="C105" s="91" t="s">
        <v>118</v>
      </c>
      <c r="D105" s="91" t="s">
        <v>119</v>
      </c>
      <c r="E105" s="91" t="s">
        <v>155</v>
      </c>
      <c r="F105" s="91" t="s">
        <v>402</v>
      </c>
      <c r="G105" s="87" t="s">
        <v>405</v>
      </c>
      <c r="H105" s="87" t="s">
        <v>406</v>
      </c>
      <c r="I105" s="87" t="s">
        <v>103</v>
      </c>
      <c r="J105" s="87" t="s">
        <v>103</v>
      </c>
      <c r="K105" s="85" t="s">
        <v>104</v>
      </c>
      <c r="L105" s="85" t="s">
        <v>105</v>
      </c>
      <c r="M105" s="87" t="s">
        <v>106</v>
      </c>
      <c r="N105" s="87" t="s">
        <v>380</v>
      </c>
      <c r="O105" s="87" t="s">
        <v>127</v>
      </c>
      <c r="P105" s="87" t="s">
        <v>417</v>
      </c>
      <c r="Q105" s="87" t="s">
        <v>129</v>
      </c>
      <c r="R105" s="130">
        <v>29</v>
      </c>
      <c r="S105" s="88" t="s">
        <v>111</v>
      </c>
      <c r="T105" s="81">
        <v>5</v>
      </c>
      <c r="U105" s="81">
        <v>7</v>
      </c>
      <c r="V105" s="25">
        <f t="shared" si="61"/>
        <v>140</v>
      </c>
      <c r="W105" s="81">
        <v>5</v>
      </c>
      <c r="X105" s="81">
        <v>22</v>
      </c>
      <c r="Y105" s="25">
        <f t="shared" si="1"/>
        <v>440.00000000000006</v>
      </c>
      <c r="Z105" s="81">
        <v>9</v>
      </c>
      <c r="AA105" s="81"/>
      <c r="AB105" s="25">
        <f t="shared" si="2"/>
        <v>0</v>
      </c>
      <c r="AC105" s="81">
        <v>10</v>
      </c>
      <c r="AD105" s="81"/>
      <c r="AE105" s="25">
        <f t="shared" si="3"/>
        <v>0</v>
      </c>
      <c r="AF105" s="137">
        <f t="shared" si="87"/>
        <v>29</v>
      </c>
      <c r="AG105" s="137">
        <f t="shared" si="88"/>
        <v>29</v>
      </c>
      <c r="AH105" s="128">
        <f t="shared" si="5"/>
        <v>290</v>
      </c>
      <c r="AI105" s="90">
        <v>46054</v>
      </c>
      <c r="AJ105" s="90">
        <v>46477</v>
      </c>
      <c r="AK105" s="91" t="s">
        <v>112</v>
      </c>
      <c r="AL105" s="91" t="s">
        <v>113</v>
      </c>
      <c r="AM105" s="92" t="s">
        <v>114</v>
      </c>
      <c r="AN105" s="93"/>
      <c r="AO105" s="93"/>
      <c r="AP105" s="93"/>
      <c r="AQ105" s="94"/>
      <c r="AR105" s="91"/>
      <c r="AS105" s="91" t="s">
        <v>112</v>
      </c>
      <c r="AT105" s="150" t="s">
        <v>382</v>
      </c>
      <c r="AU105" s="165" t="s">
        <v>2264</v>
      </c>
      <c r="AV105" s="232" t="s">
        <v>2234</v>
      </c>
      <c r="AW105" s="126" t="s">
        <v>2241</v>
      </c>
      <c r="BA105" s="255"/>
      <c r="BB105" s="256"/>
      <c r="BC105" s="223" t="e">
        <f t="shared" si="63"/>
        <v>#DIV/0!</v>
      </c>
      <c r="BD105" s="255"/>
      <c r="BE105" s="256"/>
      <c r="BF105" s="223" t="e">
        <f t="shared" si="64"/>
        <v>#DIV/0!</v>
      </c>
      <c r="BG105" s="255"/>
      <c r="BH105" s="256"/>
      <c r="BI105" s="223" t="e">
        <f t="shared" si="65"/>
        <v>#DIV/0!</v>
      </c>
      <c r="BJ105" s="224">
        <f t="shared" si="66"/>
        <v>0</v>
      </c>
      <c r="BK105" s="225">
        <f t="shared" si="67"/>
        <v>0</v>
      </c>
      <c r="BL105" s="223" t="e">
        <f t="shared" si="68"/>
        <v>#DIV/0!</v>
      </c>
      <c r="BM105" s="255"/>
      <c r="BN105" s="256"/>
      <c r="BO105" s="223" t="e">
        <f t="shared" si="89"/>
        <v>#DIV/0!</v>
      </c>
      <c r="BP105" s="255"/>
      <c r="BQ105" s="256"/>
      <c r="BR105" s="223" t="e">
        <f t="shared" si="90"/>
        <v>#DIV/0!</v>
      </c>
      <c r="BS105" s="255"/>
      <c r="BT105" s="255"/>
      <c r="BU105" s="223" t="e">
        <f t="shared" si="91"/>
        <v>#DIV/0!</v>
      </c>
      <c r="BV105" s="224">
        <f t="shared" si="69"/>
        <v>0</v>
      </c>
      <c r="BW105" s="224">
        <f t="shared" si="70"/>
        <v>0</v>
      </c>
      <c r="BX105" s="223" t="e">
        <f t="shared" si="71"/>
        <v>#DIV/0!</v>
      </c>
      <c r="BY105" s="223">
        <f t="shared" si="72"/>
        <v>0</v>
      </c>
      <c r="BZ105" s="223">
        <f t="shared" si="73"/>
        <v>0</v>
      </c>
      <c r="CA105" s="226"/>
      <c r="CB105" s="175"/>
      <c r="CC105" s="191"/>
      <c r="CD105" s="192"/>
      <c r="CE105" s="193" t="e">
        <f t="shared" si="92"/>
        <v>#DIV/0!</v>
      </c>
      <c r="CF105" s="191"/>
      <c r="CG105" s="192"/>
      <c r="CH105" s="193" t="e">
        <f t="shared" si="93"/>
        <v>#DIV/0!</v>
      </c>
      <c r="CI105" s="197"/>
      <c r="CJ105" s="198"/>
      <c r="CK105" s="193" t="e">
        <f t="shared" si="94"/>
        <v>#DIV/0!</v>
      </c>
      <c r="CL105" s="195">
        <f t="shared" si="95"/>
        <v>0</v>
      </c>
      <c r="CM105" s="194">
        <f t="shared" si="96"/>
        <v>0</v>
      </c>
      <c r="CN105" s="193" t="e">
        <f t="shared" si="97"/>
        <v>#DIV/0!</v>
      </c>
      <c r="CO105" s="175"/>
      <c r="CP105" s="196">
        <f t="shared" si="98"/>
        <v>0</v>
      </c>
      <c r="CQ105" s="196">
        <f t="shared" si="99"/>
        <v>0</v>
      </c>
      <c r="CR105" s="199" t="e">
        <f t="shared" si="100"/>
        <v>#DIV/0!</v>
      </c>
      <c r="CS105" s="261">
        <f t="shared" si="74"/>
        <v>29</v>
      </c>
      <c r="CT105" s="175"/>
      <c r="CU105" s="196">
        <f t="shared" si="75"/>
        <v>8.6999999999999993</v>
      </c>
      <c r="CV105" s="259"/>
      <c r="CW105" s="199">
        <f t="shared" si="76"/>
        <v>0</v>
      </c>
      <c r="CX105" s="196">
        <f t="shared" si="77"/>
        <v>8.6999999999999993</v>
      </c>
      <c r="CY105" s="259"/>
      <c r="CZ105" s="199">
        <f t="shared" si="78"/>
        <v>0</v>
      </c>
      <c r="DA105" s="196">
        <f t="shared" si="79"/>
        <v>8.6999999999999993</v>
      </c>
      <c r="DB105" s="259"/>
      <c r="DC105" s="199">
        <f t="shared" si="80"/>
        <v>0</v>
      </c>
      <c r="DD105" s="196">
        <f t="shared" si="81"/>
        <v>2.9000000000000004</v>
      </c>
      <c r="DE105" s="259"/>
      <c r="DF105" s="199">
        <f t="shared" si="82"/>
        <v>0</v>
      </c>
      <c r="DG105" s="175"/>
      <c r="DH105" s="196">
        <f t="shared" si="83"/>
        <v>29</v>
      </c>
      <c r="DI105" s="196">
        <f t="shared" si="84"/>
        <v>0</v>
      </c>
      <c r="DJ105" s="199">
        <f t="shared" si="85"/>
        <v>0</v>
      </c>
      <c r="DK105" s="265">
        <f t="shared" si="86"/>
        <v>29</v>
      </c>
      <c r="DL105" s="244">
        <v>101</v>
      </c>
      <c r="DM105">
        <f t="shared" si="101"/>
        <v>0</v>
      </c>
    </row>
    <row r="106" spans="1:117" x14ac:dyDescent="0.3">
      <c r="A106" s="246">
        <v>102</v>
      </c>
      <c r="B106" s="91" t="s">
        <v>270</v>
      </c>
      <c r="C106" s="91" t="s">
        <v>118</v>
      </c>
      <c r="D106" s="91" t="s">
        <v>119</v>
      </c>
      <c r="E106" s="91" t="s">
        <v>155</v>
      </c>
      <c r="F106" s="91" t="s">
        <v>418</v>
      </c>
      <c r="G106" s="87" t="s">
        <v>405</v>
      </c>
      <c r="H106" s="87" t="s">
        <v>406</v>
      </c>
      <c r="I106" s="87" t="s">
        <v>103</v>
      </c>
      <c r="J106" s="87" t="s">
        <v>103</v>
      </c>
      <c r="K106" s="85" t="s">
        <v>104</v>
      </c>
      <c r="L106" s="85" t="s">
        <v>105</v>
      </c>
      <c r="M106" s="87" t="s">
        <v>106</v>
      </c>
      <c r="N106" s="87" t="s">
        <v>380</v>
      </c>
      <c r="O106" s="87" t="s">
        <v>127</v>
      </c>
      <c r="P106" s="87" t="s">
        <v>419</v>
      </c>
      <c r="Q106" s="87" t="s">
        <v>129</v>
      </c>
      <c r="R106" s="130">
        <v>4</v>
      </c>
      <c r="S106" s="88" t="s">
        <v>111</v>
      </c>
      <c r="T106" s="81">
        <v>1</v>
      </c>
      <c r="U106" s="81">
        <v>1</v>
      </c>
      <c r="V106" s="25">
        <f t="shared" si="61"/>
        <v>100</v>
      </c>
      <c r="W106" s="81">
        <v>1</v>
      </c>
      <c r="X106" s="81">
        <v>1</v>
      </c>
      <c r="Y106" s="25">
        <f t="shared" si="1"/>
        <v>100</v>
      </c>
      <c r="Z106" s="81">
        <v>1</v>
      </c>
      <c r="AA106" s="81"/>
      <c r="AB106" s="25">
        <f t="shared" si="2"/>
        <v>0</v>
      </c>
      <c r="AC106" s="81">
        <v>1</v>
      </c>
      <c r="AD106" s="81"/>
      <c r="AE106" s="25">
        <f t="shared" si="3"/>
        <v>0</v>
      </c>
      <c r="AF106" s="137">
        <f t="shared" si="87"/>
        <v>4</v>
      </c>
      <c r="AG106" s="137">
        <f t="shared" si="88"/>
        <v>2</v>
      </c>
      <c r="AH106" s="128">
        <f t="shared" si="5"/>
        <v>100</v>
      </c>
      <c r="AI106" s="90">
        <v>46113</v>
      </c>
      <c r="AJ106" s="90">
        <v>46477</v>
      </c>
      <c r="AK106" s="91" t="s">
        <v>112</v>
      </c>
      <c r="AL106" s="91" t="s">
        <v>113</v>
      </c>
      <c r="AM106" s="92" t="s">
        <v>114</v>
      </c>
      <c r="AN106" s="93"/>
      <c r="AO106" s="93"/>
      <c r="AP106" s="93"/>
      <c r="AQ106" s="94"/>
      <c r="AR106" s="91"/>
      <c r="AS106" s="91" t="s">
        <v>112</v>
      </c>
      <c r="AT106" s="150" t="s">
        <v>382</v>
      </c>
      <c r="AU106" s="165" t="s">
        <v>2264</v>
      </c>
      <c r="AV106" s="232" t="s">
        <v>2234</v>
      </c>
      <c r="AW106" s="126" t="s">
        <v>2241</v>
      </c>
      <c r="BA106" s="255"/>
      <c r="BB106" s="256"/>
      <c r="BC106" s="223" t="e">
        <f t="shared" si="63"/>
        <v>#DIV/0!</v>
      </c>
      <c r="BD106" s="255"/>
      <c r="BE106" s="256"/>
      <c r="BF106" s="223" t="e">
        <f t="shared" si="64"/>
        <v>#DIV/0!</v>
      </c>
      <c r="BG106" s="255"/>
      <c r="BH106" s="256"/>
      <c r="BI106" s="223" t="e">
        <f t="shared" si="65"/>
        <v>#DIV/0!</v>
      </c>
      <c r="BJ106" s="224">
        <f t="shared" si="66"/>
        <v>0</v>
      </c>
      <c r="BK106" s="225">
        <f t="shared" si="67"/>
        <v>0</v>
      </c>
      <c r="BL106" s="223" t="e">
        <f t="shared" si="68"/>
        <v>#DIV/0!</v>
      </c>
      <c r="BM106" s="255"/>
      <c r="BN106" s="256"/>
      <c r="BO106" s="223" t="e">
        <f t="shared" si="89"/>
        <v>#DIV/0!</v>
      </c>
      <c r="BP106" s="255"/>
      <c r="BQ106" s="256"/>
      <c r="BR106" s="223" t="e">
        <f t="shared" si="90"/>
        <v>#DIV/0!</v>
      </c>
      <c r="BS106" s="255"/>
      <c r="BT106" s="255"/>
      <c r="BU106" s="223" t="e">
        <f t="shared" si="91"/>
        <v>#DIV/0!</v>
      </c>
      <c r="BV106" s="224">
        <f t="shared" si="69"/>
        <v>0</v>
      </c>
      <c r="BW106" s="224">
        <f t="shared" si="70"/>
        <v>0</v>
      </c>
      <c r="BX106" s="223" t="e">
        <f t="shared" si="71"/>
        <v>#DIV/0!</v>
      </c>
      <c r="BY106" s="223">
        <f t="shared" si="72"/>
        <v>0</v>
      </c>
      <c r="BZ106" s="223">
        <f t="shared" si="73"/>
        <v>0</v>
      </c>
      <c r="CA106" s="226"/>
      <c r="CB106" s="175"/>
      <c r="CC106" s="191"/>
      <c r="CD106" s="192"/>
      <c r="CE106" s="193" t="e">
        <f t="shared" si="92"/>
        <v>#DIV/0!</v>
      </c>
      <c r="CF106" s="191"/>
      <c r="CG106" s="192"/>
      <c r="CH106" s="193" t="e">
        <f t="shared" si="93"/>
        <v>#DIV/0!</v>
      </c>
      <c r="CI106" s="197"/>
      <c r="CJ106" s="198"/>
      <c r="CK106" s="193" t="e">
        <f t="shared" si="94"/>
        <v>#DIV/0!</v>
      </c>
      <c r="CL106" s="195">
        <f t="shared" si="95"/>
        <v>0</v>
      </c>
      <c r="CM106" s="194">
        <f t="shared" si="96"/>
        <v>0</v>
      </c>
      <c r="CN106" s="193" t="e">
        <f t="shared" si="97"/>
        <v>#DIV/0!</v>
      </c>
      <c r="CO106" s="175"/>
      <c r="CP106" s="196">
        <f t="shared" si="98"/>
        <v>0</v>
      </c>
      <c r="CQ106" s="196">
        <f t="shared" si="99"/>
        <v>0</v>
      </c>
      <c r="CR106" s="199" t="e">
        <f t="shared" si="100"/>
        <v>#DIV/0!</v>
      </c>
      <c r="CS106" s="261">
        <f t="shared" si="74"/>
        <v>4</v>
      </c>
      <c r="CT106" s="175"/>
      <c r="CU106" s="196">
        <f t="shared" si="75"/>
        <v>1.2</v>
      </c>
      <c r="CV106" s="259"/>
      <c r="CW106" s="199">
        <f t="shared" si="76"/>
        <v>0</v>
      </c>
      <c r="CX106" s="196">
        <f t="shared" si="77"/>
        <v>1.2</v>
      </c>
      <c r="CY106" s="259"/>
      <c r="CZ106" s="199">
        <f t="shared" si="78"/>
        <v>0</v>
      </c>
      <c r="DA106" s="196">
        <f t="shared" si="79"/>
        <v>1.2</v>
      </c>
      <c r="DB106" s="259"/>
      <c r="DC106" s="199">
        <f t="shared" si="80"/>
        <v>0</v>
      </c>
      <c r="DD106" s="196">
        <f t="shared" si="81"/>
        <v>0.4</v>
      </c>
      <c r="DE106" s="259"/>
      <c r="DF106" s="199">
        <f t="shared" si="82"/>
        <v>0</v>
      </c>
      <c r="DG106" s="175"/>
      <c r="DH106" s="196">
        <f t="shared" si="83"/>
        <v>4</v>
      </c>
      <c r="DI106" s="196">
        <f t="shared" si="84"/>
        <v>0</v>
      </c>
      <c r="DJ106" s="199">
        <f t="shared" si="85"/>
        <v>0</v>
      </c>
      <c r="DK106" s="265">
        <f t="shared" si="86"/>
        <v>4</v>
      </c>
      <c r="DL106" s="244">
        <v>102</v>
      </c>
      <c r="DM106">
        <f t="shared" si="101"/>
        <v>0</v>
      </c>
    </row>
    <row r="107" spans="1:117" x14ac:dyDescent="0.3">
      <c r="A107" s="246">
        <v>103</v>
      </c>
      <c r="B107" s="91" t="s">
        <v>270</v>
      </c>
      <c r="C107" s="91" t="s">
        <v>118</v>
      </c>
      <c r="D107" s="91" t="s">
        <v>119</v>
      </c>
      <c r="E107" s="91" t="s">
        <v>155</v>
      </c>
      <c r="F107" s="91" t="s">
        <v>420</v>
      </c>
      <c r="G107" s="87" t="s">
        <v>405</v>
      </c>
      <c r="H107" s="87" t="s">
        <v>406</v>
      </c>
      <c r="I107" s="87" t="s">
        <v>383</v>
      </c>
      <c r="J107" s="87" t="s">
        <v>383</v>
      </c>
      <c r="K107" s="85" t="s">
        <v>104</v>
      </c>
      <c r="L107" s="85" t="s">
        <v>105</v>
      </c>
      <c r="M107" s="87" t="s">
        <v>106</v>
      </c>
      <c r="N107" s="87" t="s">
        <v>380</v>
      </c>
      <c r="O107" s="87" t="s">
        <v>127</v>
      </c>
      <c r="P107" s="87" t="s">
        <v>421</v>
      </c>
      <c r="Q107" s="87" t="s">
        <v>129</v>
      </c>
      <c r="R107" s="130">
        <v>4</v>
      </c>
      <c r="S107" s="88" t="s">
        <v>158</v>
      </c>
      <c r="T107" s="81">
        <v>1</v>
      </c>
      <c r="U107" s="81">
        <v>1</v>
      </c>
      <c r="V107" s="25">
        <f t="shared" si="61"/>
        <v>100</v>
      </c>
      <c r="W107" s="81">
        <v>1</v>
      </c>
      <c r="X107" s="81">
        <v>1</v>
      </c>
      <c r="Y107" s="25">
        <f t="shared" si="1"/>
        <v>100</v>
      </c>
      <c r="Z107" s="81">
        <v>1</v>
      </c>
      <c r="AA107" s="81"/>
      <c r="AB107" s="25">
        <f t="shared" si="2"/>
        <v>0</v>
      </c>
      <c r="AC107" s="81">
        <v>1</v>
      </c>
      <c r="AD107" s="81"/>
      <c r="AE107" s="25">
        <f t="shared" si="3"/>
        <v>0</v>
      </c>
      <c r="AF107" s="137">
        <f t="shared" si="87"/>
        <v>4</v>
      </c>
      <c r="AG107" s="137">
        <f t="shared" si="88"/>
        <v>2</v>
      </c>
      <c r="AH107" s="128">
        <f t="shared" si="5"/>
        <v>100</v>
      </c>
      <c r="AI107" s="90">
        <v>46113</v>
      </c>
      <c r="AJ107" s="90">
        <v>46477</v>
      </c>
      <c r="AK107" s="91" t="s">
        <v>112</v>
      </c>
      <c r="AL107" s="91" t="s">
        <v>113</v>
      </c>
      <c r="AM107" s="92" t="s">
        <v>114</v>
      </c>
      <c r="AN107" s="93"/>
      <c r="AO107" s="93"/>
      <c r="AP107" s="93"/>
      <c r="AQ107" s="94"/>
      <c r="AR107" s="91" t="s">
        <v>159</v>
      </c>
      <c r="AS107" s="91" t="s">
        <v>112</v>
      </c>
      <c r="AT107" s="150" t="s">
        <v>382</v>
      </c>
      <c r="AU107" s="165" t="s">
        <v>2264</v>
      </c>
      <c r="AV107" s="232" t="s">
        <v>2234</v>
      </c>
      <c r="AW107" s="126" t="s">
        <v>2241</v>
      </c>
      <c r="BA107" s="255"/>
      <c r="BB107" s="256"/>
      <c r="BC107" s="223" t="e">
        <f t="shared" si="63"/>
        <v>#DIV/0!</v>
      </c>
      <c r="BD107" s="255"/>
      <c r="BE107" s="256"/>
      <c r="BF107" s="223" t="e">
        <f t="shared" si="64"/>
        <v>#DIV/0!</v>
      </c>
      <c r="BG107" s="255"/>
      <c r="BH107" s="256"/>
      <c r="BI107" s="223" t="e">
        <f t="shared" si="65"/>
        <v>#DIV/0!</v>
      </c>
      <c r="BJ107" s="224">
        <f t="shared" si="66"/>
        <v>0</v>
      </c>
      <c r="BK107" s="225">
        <f t="shared" si="67"/>
        <v>0</v>
      </c>
      <c r="BL107" s="223" t="e">
        <f t="shared" si="68"/>
        <v>#DIV/0!</v>
      </c>
      <c r="BM107" s="255"/>
      <c r="BN107" s="256"/>
      <c r="BO107" s="223" t="e">
        <f t="shared" si="89"/>
        <v>#DIV/0!</v>
      </c>
      <c r="BP107" s="255"/>
      <c r="BQ107" s="256"/>
      <c r="BR107" s="223" t="e">
        <f t="shared" si="90"/>
        <v>#DIV/0!</v>
      </c>
      <c r="BS107" s="255"/>
      <c r="BT107" s="255"/>
      <c r="BU107" s="223" t="e">
        <f t="shared" si="91"/>
        <v>#DIV/0!</v>
      </c>
      <c r="BV107" s="224">
        <f t="shared" si="69"/>
        <v>0</v>
      </c>
      <c r="BW107" s="224">
        <f t="shared" si="70"/>
        <v>0</v>
      </c>
      <c r="BX107" s="223" t="e">
        <f t="shared" si="71"/>
        <v>#DIV/0!</v>
      </c>
      <c r="BY107" s="223">
        <f t="shared" si="72"/>
        <v>0</v>
      </c>
      <c r="BZ107" s="223">
        <f t="shared" si="73"/>
        <v>0</v>
      </c>
      <c r="CA107" s="226"/>
      <c r="CB107" s="175"/>
      <c r="CC107" s="191"/>
      <c r="CD107" s="192"/>
      <c r="CE107" s="193" t="e">
        <f t="shared" si="92"/>
        <v>#DIV/0!</v>
      </c>
      <c r="CF107" s="191"/>
      <c r="CG107" s="192"/>
      <c r="CH107" s="193" t="e">
        <f t="shared" si="93"/>
        <v>#DIV/0!</v>
      </c>
      <c r="CI107" s="197"/>
      <c r="CJ107" s="198"/>
      <c r="CK107" s="193" t="e">
        <f t="shared" si="94"/>
        <v>#DIV/0!</v>
      </c>
      <c r="CL107" s="195">
        <f t="shared" si="95"/>
        <v>0</v>
      </c>
      <c r="CM107" s="194">
        <f t="shared" si="96"/>
        <v>0</v>
      </c>
      <c r="CN107" s="193" t="e">
        <f t="shared" si="97"/>
        <v>#DIV/0!</v>
      </c>
      <c r="CO107" s="175"/>
      <c r="CP107" s="196">
        <f t="shared" si="98"/>
        <v>0</v>
      </c>
      <c r="CQ107" s="196">
        <f t="shared" si="99"/>
        <v>0</v>
      </c>
      <c r="CR107" s="199" t="e">
        <f t="shared" si="100"/>
        <v>#DIV/0!</v>
      </c>
      <c r="CS107" s="261">
        <f t="shared" si="74"/>
        <v>4</v>
      </c>
      <c r="CT107" s="175"/>
      <c r="CU107" s="196">
        <f t="shared" si="75"/>
        <v>1.2</v>
      </c>
      <c r="CV107" s="259"/>
      <c r="CW107" s="199">
        <f t="shared" si="76"/>
        <v>0</v>
      </c>
      <c r="CX107" s="196">
        <f t="shared" si="77"/>
        <v>1.2</v>
      </c>
      <c r="CY107" s="259"/>
      <c r="CZ107" s="199">
        <f t="shared" si="78"/>
        <v>0</v>
      </c>
      <c r="DA107" s="196">
        <f t="shared" si="79"/>
        <v>1.2</v>
      </c>
      <c r="DB107" s="259"/>
      <c r="DC107" s="199">
        <f t="shared" si="80"/>
        <v>0</v>
      </c>
      <c r="DD107" s="196">
        <f t="shared" si="81"/>
        <v>0.4</v>
      </c>
      <c r="DE107" s="259"/>
      <c r="DF107" s="199">
        <f t="shared" si="82"/>
        <v>0</v>
      </c>
      <c r="DG107" s="175"/>
      <c r="DH107" s="196">
        <f t="shared" si="83"/>
        <v>4</v>
      </c>
      <c r="DI107" s="196">
        <f t="shared" si="84"/>
        <v>0</v>
      </c>
      <c r="DJ107" s="199">
        <f t="shared" si="85"/>
        <v>0</v>
      </c>
      <c r="DK107" s="265">
        <f t="shared" si="86"/>
        <v>4</v>
      </c>
      <c r="DL107" s="244">
        <v>103</v>
      </c>
      <c r="DM107">
        <f t="shared" si="101"/>
        <v>0</v>
      </c>
    </row>
    <row r="108" spans="1:117" x14ac:dyDescent="0.3">
      <c r="A108" s="246">
        <v>104</v>
      </c>
      <c r="B108" s="91" t="s">
        <v>270</v>
      </c>
      <c r="C108" s="91" t="s">
        <v>97</v>
      </c>
      <c r="D108" s="91" t="s">
        <v>98</v>
      </c>
      <c r="E108" s="91" t="s">
        <v>120</v>
      </c>
      <c r="F108" s="91" t="s">
        <v>422</v>
      </c>
      <c r="G108" s="87" t="s">
        <v>422</v>
      </c>
      <c r="H108" s="87" t="s">
        <v>422</v>
      </c>
      <c r="I108" s="87" t="s">
        <v>423</v>
      </c>
      <c r="J108" s="87" t="s">
        <v>423</v>
      </c>
      <c r="K108" s="85" t="s">
        <v>183</v>
      </c>
      <c r="L108" s="85" t="s">
        <v>424</v>
      </c>
      <c r="M108" s="87" t="s">
        <v>106</v>
      </c>
      <c r="N108" s="87" t="s">
        <v>425</v>
      </c>
      <c r="O108" s="87" t="s">
        <v>108</v>
      </c>
      <c r="P108" s="87" t="s">
        <v>426</v>
      </c>
      <c r="Q108" s="87" t="s">
        <v>110</v>
      </c>
      <c r="R108" s="130">
        <v>29</v>
      </c>
      <c r="S108" s="88" t="s">
        <v>111</v>
      </c>
      <c r="T108" s="81">
        <v>0</v>
      </c>
      <c r="U108" s="81">
        <v>0</v>
      </c>
      <c r="V108" s="25" t="e">
        <f t="shared" si="61"/>
        <v>#DIV/0!</v>
      </c>
      <c r="W108" s="81">
        <v>10</v>
      </c>
      <c r="X108" s="81">
        <v>1</v>
      </c>
      <c r="Y108" s="25">
        <f t="shared" si="1"/>
        <v>10</v>
      </c>
      <c r="Z108" s="81">
        <v>10</v>
      </c>
      <c r="AA108" s="81"/>
      <c r="AB108" s="25">
        <f t="shared" si="2"/>
        <v>0</v>
      </c>
      <c r="AC108" s="81">
        <v>9</v>
      </c>
      <c r="AD108" s="81"/>
      <c r="AE108" s="25">
        <f t="shared" si="3"/>
        <v>0</v>
      </c>
      <c r="AF108" s="137">
        <f t="shared" si="87"/>
        <v>29</v>
      </c>
      <c r="AG108" s="137">
        <f t="shared" si="88"/>
        <v>1</v>
      </c>
      <c r="AH108" s="128">
        <f t="shared" si="5"/>
        <v>10</v>
      </c>
      <c r="AI108" s="90">
        <v>46054</v>
      </c>
      <c r="AJ108" s="90">
        <v>46477</v>
      </c>
      <c r="AK108" s="91" t="s">
        <v>112</v>
      </c>
      <c r="AL108" s="91" t="s">
        <v>113</v>
      </c>
      <c r="AM108" s="92" t="s">
        <v>114</v>
      </c>
      <c r="AN108" s="93">
        <v>100000000</v>
      </c>
      <c r="AO108" s="93">
        <v>100000000</v>
      </c>
      <c r="AP108" s="93">
        <v>100000000</v>
      </c>
      <c r="AQ108" s="94">
        <v>0</v>
      </c>
      <c r="AR108" s="91" t="s">
        <v>159</v>
      </c>
      <c r="AS108" s="91" t="s">
        <v>112</v>
      </c>
      <c r="AT108" s="150" t="s">
        <v>427</v>
      </c>
      <c r="AU108" s="165" t="s">
        <v>2264</v>
      </c>
      <c r="AV108" s="232" t="s">
        <v>2234</v>
      </c>
      <c r="AW108" s="126" t="s">
        <v>2269</v>
      </c>
      <c r="BA108" s="255">
        <v>0</v>
      </c>
      <c r="BB108" s="256">
        <v>0</v>
      </c>
      <c r="BC108" s="223" t="e">
        <f t="shared" si="63"/>
        <v>#DIV/0!</v>
      </c>
      <c r="BD108" s="255">
        <v>0</v>
      </c>
      <c r="BE108" s="256">
        <v>0</v>
      </c>
      <c r="BF108" s="223" t="e">
        <f t="shared" si="64"/>
        <v>#DIV/0!</v>
      </c>
      <c r="BG108" s="255">
        <v>0</v>
      </c>
      <c r="BH108" s="256">
        <v>0</v>
      </c>
      <c r="BI108" s="223" t="e">
        <f t="shared" si="65"/>
        <v>#DIV/0!</v>
      </c>
      <c r="BJ108" s="224">
        <f t="shared" si="66"/>
        <v>0</v>
      </c>
      <c r="BK108" s="225">
        <f t="shared" si="67"/>
        <v>0</v>
      </c>
      <c r="BL108" s="223" t="e">
        <f t="shared" si="68"/>
        <v>#DIV/0!</v>
      </c>
      <c r="BM108" s="255">
        <v>29</v>
      </c>
      <c r="BN108" s="256">
        <v>0</v>
      </c>
      <c r="BO108" s="223">
        <f t="shared" si="89"/>
        <v>0</v>
      </c>
      <c r="BP108" s="255">
        <v>29</v>
      </c>
      <c r="BQ108" s="256">
        <v>3</v>
      </c>
      <c r="BR108" s="223">
        <f t="shared" si="90"/>
        <v>0.10344827586206896</v>
      </c>
      <c r="BS108" s="255">
        <v>29</v>
      </c>
      <c r="BT108" s="255">
        <v>2</v>
      </c>
      <c r="BU108" s="223">
        <f t="shared" si="91"/>
        <v>6.8965517241379309E-2</v>
      </c>
      <c r="BV108" s="224">
        <f t="shared" si="69"/>
        <v>87</v>
      </c>
      <c r="BW108" s="224">
        <f t="shared" si="70"/>
        <v>5</v>
      </c>
      <c r="BX108" s="223">
        <f t="shared" si="71"/>
        <v>5.7471264367816091E-2</v>
      </c>
      <c r="BY108" s="223">
        <f t="shared" si="72"/>
        <v>0.17241379310344829</v>
      </c>
      <c r="BZ108" s="223">
        <f t="shared" si="73"/>
        <v>-0.17241379310344829</v>
      </c>
      <c r="CA108" s="226"/>
      <c r="CB108" s="175"/>
      <c r="CC108" s="191">
        <v>29</v>
      </c>
      <c r="CD108" s="192">
        <v>0</v>
      </c>
      <c r="CE108" s="193">
        <f t="shared" si="92"/>
        <v>0</v>
      </c>
      <c r="CF108" s="191">
        <v>29</v>
      </c>
      <c r="CG108" s="192">
        <v>0</v>
      </c>
      <c r="CH108" s="193">
        <f t="shared" si="93"/>
        <v>0</v>
      </c>
      <c r="CI108" s="197"/>
      <c r="CJ108" s="198"/>
      <c r="CK108" s="193" t="e">
        <f t="shared" si="94"/>
        <v>#DIV/0!</v>
      </c>
      <c r="CL108" s="195">
        <f t="shared" si="95"/>
        <v>58</v>
      </c>
      <c r="CM108" s="194">
        <f t="shared" si="96"/>
        <v>0</v>
      </c>
      <c r="CN108" s="193">
        <f t="shared" si="97"/>
        <v>0</v>
      </c>
      <c r="CO108" s="175"/>
      <c r="CP108" s="196">
        <f t="shared" si="98"/>
        <v>145</v>
      </c>
      <c r="CQ108" s="196">
        <f t="shared" si="99"/>
        <v>5</v>
      </c>
      <c r="CR108" s="199">
        <f t="shared" si="100"/>
        <v>3.4482758620689655E-2</v>
      </c>
      <c r="CS108" s="261">
        <f t="shared" si="74"/>
        <v>24</v>
      </c>
      <c r="CT108" s="175"/>
      <c r="CU108" s="196">
        <f t="shared" si="75"/>
        <v>7.1999999999999993</v>
      </c>
      <c r="CV108" s="259"/>
      <c r="CW108" s="199">
        <f t="shared" si="76"/>
        <v>0</v>
      </c>
      <c r="CX108" s="196">
        <f t="shared" si="77"/>
        <v>7.1999999999999993</v>
      </c>
      <c r="CY108" s="259"/>
      <c r="CZ108" s="199">
        <f t="shared" si="78"/>
        <v>0</v>
      </c>
      <c r="DA108" s="196">
        <f t="shared" si="79"/>
        <v>7.1999999999999993</v>
      </c>
      <c r="DB108" s="259"/>
      <c r="DC108" s="199">
        <f t="shared" si="80"/>
        <v>0</v>
      </c>
      <c r="DD108" s="196">
        <f t="shared" si="81"/>
        <v>2.4000000000000004</v>
      </c>
      <c r="DE108" s="259"/>
      <c r="DF108" s="199">
        <f t="shared" si="82"/>
        <v>0</v>
      </c>
      <c r="DG108" s="175"/>
      <c r="DH108" s="196">
        <f t="shared" si="83"/>
        <v>29</v>
      </c>
      <c r="DI108" s="196">
        <f t="shared" si="84"/>
        <v>5</v>
      </c>
      <c r="DJ108" s="199">
        <f t="shared" si="85"/>
        <v>0.17241379310344829</v>
      </c>
      <c r="DK108" s="265">
        <f t="shared" si="86"/>
        <v>24</v>
      </c>
      <c r="DL108" s="244">
        <v>104</v>
      </c>
      <c r="DM108">
        <f t="shared" si="101"/>
        <v>0</v>
      </c>
    </row>
    <row r="109" spans="1:117" x14ac:dyDescent="0.3">
      <c r="A109" s="246">
        <v>105</v>
      </c>
      <c r="B109" s="91" t="s">
        <v>270</v>
      </c>
      <c r="C109" s="91" t="s">
        <v>133</v>
      </c>
      <c r="D109" s="91" t="s">
        <v>119</v>
      </c>
      <c r="E109" s="91" t="s">
        <v>120</v>
      </c>
      <c r="F109" s="91" t="s">
        <v>428</v>
      </c>
      <c r="G109" s="87" t="s">
        <v>429</v>
      </c>
      <c r="H109" s="87" t="s">
        <v>430</v>
      </c>
      <c r="I109" s="87" t="s">
        <v>423</v>
      </c>
      <c r="J109" s="87" t="s">
        <v>423</v>
      </c>
      <c r="K109" s="85" t="s">
        <v>183</v>
      </c>
      <c r="L109" s="85" t="s">
        <v>431</v>
      </c>
      <c r="M109" s="87" t="s">
        <v>106</v>
      </c>
      <c r="N109" s="87" t="s">
        <v>425</v>
      </c>
      <c r="O109" s="87" t="s">
        <v>127</v>
      </c>
      <c r="P109" s="241" t="s">
        <v>432</v>
      </c>
      <c r="Q109" s="87" t="s">
        <v>129</v>
      </c>
      <c r="R109" s="130">
        <v>1</v>
      </c>
      <c r="S109" s="88" t="s">
        <v>111</v>
      </c>
      <c r="T109" s="81">
        <v>0</v>
      </c>
      <c r="U109" s="81">
        <v>0</v>
      </c>
      <c r="V109" s="25" t="e">
        <f t="shared" si="61"/>
        <v>#DIV/0!</v>
      </c>
      <c r="W109" s="81">
        <v>0</v>
      </c>
      <c r="X109" s="81">
        <v>0</v>
      </c>
      <c r="Y109" s="25" t="e">
        <f t="shared" si="1"/>
        <v>#DIV/0!</v>
      </c>
      <c r="Z109" s="81">
        <v>1</v>
      </c>
      <c r="AA109" s="81"/>
      <c r="AB109" s="25">
        <f t="shared" si="2"/>
        <v>0</v>
      </c>
      <c r="AC109" s="81">
        <v>0</v>
      </c>
      <c r="AD109" s="81"/>
      <c r="AE109" s="25" t="e">
        <f t="shared" si="3"/>
        <v>#DIV/0!</v>
      </c>
      <c r="AF109" s="137">
        <f t="shared" si="87"/>
        <v>1</v>
      </c>
      <c r="AG109" s="137">
        <f t="shared" si="88"/>
        <v>0</v>
      </c>
      <c r="AH109" s="128" t="e">
        <f t="shared" si="5"/>
        <v>#DIV/0!</v>
      </c>
      <c r="AI109" s="90">
        <v>46054</v>
      </c>
      <c r="AJ109" s="90">
        <v>46477</v>
      </c>
      <c r="AK109" s="91" t="s">
        <v>112</v>
      </c>
      <c r="AL109" s="91" t="s">
        <v>113</v>
      </c>
      <c r="AM109" s="92" t="s">
        <v>114</v>
      </c>
      <c r="AN109" s="93">
        <v>30000000</v>
      </c>
      <c r="AO109" s="93">
        <v>30000000</v>
      </c>
      <c r="AP109" s="93">
        <v>30000000</v>
      </c>
      <c r="AQ109" s="94">
        <v>0</v>
      </c>
      <c r="AR109" s="91" t="s">
        <v>159</v>
      </c>
      <c r="AS109" s="91" t="s">
        <v>112</v>
      </c>
      <c r="AT109" s="150" t="s">
        <v>427</v>
      </c>
      <c r="AU109" s="165" t="s">
        <v>2264</v>
      </c>
      <c r="AV109" s="232" t="s">
        <v>2234</v>
      </c>
      <c r="AW109" s="126" t="s">
        <v>2269</v>
      </c>
      <c r="BA109" s="255">
        <v>0</v>
      </c>
      <c r="BB109" s="256">
        <v>0</v>
      </c>
      <c r="BC109" s="223" t="e">
        <f t="shared" si="63"/>
        <v>#DIV/0!</v>
      </c>
      <c r="BD109" s="255">
        <v>0</v>
      </c>
      <c r="BE109" s="256">
        <v>0</v>
      </c>
      <c r="BF109" s="223" t="e">
        <f t="shared" si="64"/>
        <v>#DIV/0!</v>
      </c>
      <c r="BG109" s="255">
        <v>0</v>
      </c>
      <c r="BH109" s="256">
        <v>0</v>
      </c>
      <c r="BI109" s="223" t="e">
        <f t="shared" si="65"/>
        <v>#DIV/0!</v>
      </c>
      <c r="BJ109" s="224">
        <f t="shared" si="66"/>
        <v>0</v>
      </c>
      <c r="BK109" s="225">
        <f t="shared" si="67"/>
        <v>0</v>
      </c>
      <c r="BL109" s="223" t="e">
        <f t="shared" si="68"/>
        <v>#DIV/0!</v>
      </c>
      <c r="BM109" s="255"/>
      <c r="BN109" s="256"/>
      <c r="BO109" s="223" t="e">
        <f t="shared" si="89"/>
        <v>#DIV/0!</v>
      </c>
      <c r="BP109" s="255"/>
      <c r="BQ109" s="256"/>
      <c r="BR109" s="223" t="e">
        <f t="shared" si="90"/>
        <v>#DIV/0!</v>
      </c>
      <c r="BS109" s="255"/>
      <c r="BT109" s="255"/>
      <c r="BU109" s="223" t="e">
        <f t="shared" si="91"/>
        <v>#DIV/0!</v>
      </c>
      <c r="BV109" s="224">
        <f t="shared" si="69"/>
        <v>0</v>
      </c>
      <c r="BW109" s="224">
        <f t="shared" si="70"/>
        <v>0</v>
      </c>
      <c r="BX109" s="223" t="e">
        <f t="shared" si="71"/>
        <v>#DIV/0!</v>
      </c>
      <c r="BY109" s="223">
        <f t="shared" si="72"/>
        <v>0</v>
      </c>
      <c r="BZ109" s="223">
        <f t="shared" si="73"/>
        <v>0</v>
      </c>
      <c r="CA109" s="226"/>
      <c r="CB109" s="175"/>
      <c r="CC109" s="191">
        <v>0</v>
      </c>
      <c r="CD109" s="192">
        <v>0</v>
      </c>
      <c r="CE109" s="193" t="e">
        <f t="shared" si="92"/>
        <v>#DIV/0!</v>
      </c>
      <c r="CF109" s="191">
        <v>0</v>
      </c>
      <c r="CG109" s="192">
        <v>0</v>
      </c>
      <c r="CH109" s="193" t="e">
        <f t="shared" si="93"/>
        <v>#DIV/0!</v>
      </c>
      <c r="CI109" s="197"/>
      <c r="CJ109" s="198"/>
      <c r="CK109" s="193" t="e">
        <f t="shared" si="94"/>
        <v>#DIV/0!</v>
      </c>
      <c r="CL109" s="195">
        <f t="shared" si="95"/>
        <v>0</v>
      </c>
      <c r="CM109" s="194">
        <f t="shared" si="96"/>
        <v>0</v>
      </c>
      <c r="CN109" s="193" t="e">
        <f t="shared" si="97"/>
        <v>#DIV/0!</v>
      </c>
      <c r="CO109" s="175"/>
      <c r="CP109" s="196">
        <f t="shared" si="98"/>
        <v>0</v>
      </c>
      <c r="CQ109" s="196">
        <f t="shared" si="99"/>
        <v>0</v>
      </c>
      <c r="CR109" s="199" t="e">
        <f t="shared" si="100"/>
        <v>#DIV/0!</v>
      </c>
      <c r="CS109" s="261">
        <f t="shared" si="74"/>
        <v>1</v>
      </c>
      <c r="CT109" s="175"/>
      <c r="CU109" s="196">
        <f t="shared" si="75"/>
        <v>0.3</v>
      </c>
      <c r="CV109" s="259"/>
      <c r="CW109" s="199">
        <f t="shared" si="76"/>
        <v>0</v>
      </c>
      <c r="CX109" s="196">
        <f t="shared" si="77"/>
        <v>0.3</v>
      </c>
      <c r="CY109" s="259"/>
      <c r="CZ109" s="199">
        <f t="shared" si="78"/>
        <v>0</v>
      </c>
      <c r="DA109" s="196">
        <f t="shared" si="79"/>
        <v>0.3</v>
      </c>
      <c r="DB109" s="259"/>
      <c r="DC109" s="199">
        <f t="shared" si="80"/>
        <v>0</v>
      </c>
      <c r="DD109" s="196">
        <f t="shared" si="81"/>
        <v>0.1</v>
      </c>
      <c r="DE109" s="259"/>
      <c r="DF109" s="199">
        <f t="shared" si="82"/>
        <v>0</v>
      </c>
      <c r="DG109" s="175"/>
      <c r="DH109" s="196">
        <f t="shared" si="83"/>
        <v>1</v>
      </c>
      <c r="DI109" s="196">
        <f t="shared" si="84"/>
        <v>0</v>
      </c>
      <c r="DJ109" s="199">
        <f t="shared" si="85"/>
        <v>0</v>
      </c>
      <c r="DK109" s="265">
        <f t="shared" si="86"/>
        <v>1</v>
      </c>
      <c r="DL109" s="244">
        <v>105</v>
      </c>
      <c r="DM109">
        <f t="shared" si="101"/>
        <v>0</v>
      </c>
    </row>
    <row r="110" spans="1:117" x14ac:dyDescent="0.3">
      <c r="A110" s="246">
        <v>106</v>
      </c>
      <c r="B110" s="91" t="s">
        <v>270</v>
      </c>
      <c r="C110" s="91" t="s">
        <v>97</v>
      </c>
      <c r="D110" s="91" t="s">
        <v>98</v>
      </c>
      <c r="E110" s="91" t="s">
        <v>205</v>
      </c>
      <c r="F110" s="91" t="s">
        <v>422</v>
      </c>
      <c r="G110" s="87" t="s">
        <v>433</v>
      </c>
      <c r="H110" s="87" t="s">
        <v>430</v>
      </c>
      <c r="I110" s="87" t="s">
        <v>423</v>
      </c>
      <c r="J110" s="87" t="s">
        <v>423</v>
      </c>
      <c r="K110" s="85" t="s">
        <v>104</v>
      </c>
      <c r="L110" s="85" t="s">
        <v>105</v>
      </c>
      <c r="M110" s="87" t="s">
        <v>106</v>
      </c>
      <c r="N110" s="87" t="s">
        <v>425</v>
      </c>
      <c r="O110" s="87" t="s">
        <v>434</v>
      </c>
      <c r="P110" s="87" t="s">
        <v>435</v>
      </c>
      <c r="Q110" s="87" t="s">
        <v>110</v>
      </c>
      <c r="R110" s="130">
        <v>29</v>
      </c>
      <c r="S110" s="88" t="s">
        <v>111</v>
      </c>
      <c r="T110" s="81">
        <v>0</v>
      </c>
      <c r="U110" s="81">
        <v>0</v>
      </c>
      <c r="V110" s="25" t="e">
        <f t="shared" si="61"/>
        <v>#DIV/0!</v>
      </c>
      <c r="W110" s="81">
        <v>11</v>
      </c>
      <c r="X110" s="81">
        <v>0</v>
      </c>
      <c r="Y110" s="25">
        <f t="shared" si="1"/>
        <v>0</v>
      </c>
      <c r="Z110" s="81">
        <v>10</v>
      </c>
      <c r="AA110" s="81"/>
      <c r="AB110" s="25">
        <f t="shared" si="2"/>
        <v>0</v>
      </c>
      <c r="AC110" s="81">
        <v>8</v>
      </c>
      <c r="AD110" s="81"/>
      <c r="AE110" s="25">
        <f t="shared" si="3"/>
        <v>0</v>
      </c>
      <c r="AF110" s="137">
        <f t="shared" si="87"/>
        <v>29</v>
      </c>
      <c r="AG110" s="137">
        <f t="shared" si="88"/>
        <v>0</v>
      </c>
      <c r="AH110" s="128">
        <f t="shared" si="5"/>
        <v>0</v>
      </c>
      <c r="AI110" s="90">
        <v>46054</v>
      </c>
      <c r="AJ110" s="90">
        <v>46477</v>
      </c>
      <c r="AK110" s="91" t="s">
        <v>112</v>
      </c>
      <c r="AL110" s="91" t="s">
        <v>113</v>
      </c>
      <c r="AM110" s="92" t="s">
        <v>114</v>
      </c>
      <c r="AN110" s="93">
        <v>100000000</v>
      </c>
      <c r="AO110" s="93">
        <v>100000000</v>
      </c>
      <c r="AP110" s="93">
        <v>100000000</v>
      </c>
      <c r="AQ110" s="94">
        <v>0</v>
      </c>
      <c r="AR110" s="91" t="s">
        <v>159</v>
      </c>
      <c r="AS110" s="91" t="s">
        <v>112</v>
      </c>
      <c r="AT110" s="150" t="s">
        <v>427</v>
      </c>
      <c r="AU110" s="165" t="s">
        <v>2264</v>
      </c>
      <c r="AV110" s="232" t="s">
        <v>2234</v>
      </c>
      <c r="AW110" s="126" t="s">
        <v>2269</v>
      </c>
      <c r="BA110" s="255">
        <v>0</v>
      </c>
      <c r="BB110" s="256">
        <v>0</v>
      </c>
      <c r="BC110" s="223" t="e">
        <f t="shared" si="63"/>
        <v>#DIV/0!</v>
      </c>
      <c r="BD110" s="255">
        <v>0</v>
      </c>
      <c r="BE110" s="256">
        <v>0</v>
      </c>
      <c r="BF110" s="223" t="e">
        <f t="shared" si="64"/>
        <v>#DIV/0!</v>
      </c>
      <c r="BG110" s="255">
        <v>0</v>
      </c>
      <c r="BH110" s="256">
        <v>0</v>
      </c>
      <c r="BI110" s="223" t="e">
        <f t="shared" si="65"/>
        <v>#DIV/0!</v>
      </c>
      <c r="BJ110" s="224">
        <f t="shared" si="66"/>
        <v>0</v>
      </c>
      <c r="BK110" s="225">
        <f t="shared" si="67"/>
        <v>0</v>
      </c>
      <c r="BL110" s="223" t="e">
        <f t="shared" si="68"/>
        <v>#DIV/0!</v>
      </c>
      <c r="BM110" s="255">
        <v>29</v>
      </c>
      <c r="BN110" s="256">
        <v>0</v>
      </c>
      <c r="BO110" s="223">
        <f t="shared" si="89"/>
        <v>0</v>
      </c>
      <c r="BP110" s="255">
        <v>29</v>
      </c>
      <c r="BQ110" s="256">
        <v>2</v>
      </c>
      <c r="BR110" s="223">
        <f t="shared" si="90"/>
        <v>6.8965517241379309E-2</v>
      </c>
      <c r="BS110" s="255">
        <v>29</v>
      </c>
      <c r="BT110" s="255">
        <v>1</v>
      </c>
      <c r="BU110" s="223">
        <f t="shared" si="91"/>
        <v>3.4482758620689655E-2</v>
      </c>
      <c r="BV110" s="224">
        <f t="shared" si="69"/>
        <v>87</v>
      </c>
      <c r="BW110" s="224">
        <f t="shared" si="70"/>
        <v>3</v>
      </c>
      <c r="BX110" s="223">
        <f t="shared" si="71"/>
        <v>3.4482758620689655E-2</v>
      </c>
      <c r="BY110" s="223">
        <f t="shared" si="72"/>
        <v>0.10344827586206896</v>
      </c>
      <c r="BZ110" s="223">
        <f t="shared" si="73"/>
        <v>-0.10344827586206896</v>
      </c>
      <c r="CA110" s="226"/>
      <c r="CB110" s="175"/>
      <c r="CC110" s="191">
        <v>29</v>
      </c>
      <c r="CD110" s="192">
        <v>1</v>
      </c>
      <c r="CE110" s="193">
        <f t="shared" si="92"/>
        <v>3.4482758620689655E-2</v>
      </c>
      <c r="CF110" s="191">
        <v>29</v>
      </c>
      <c r="CG110" s="192">
        <v>0</v>
      </c>
      <c r="CH110" s="193">
        <f t="shared" si="93"/>
        <v>0</v>
      </c>
      <c r="CI110" s="197"/>
      <c r="CJ110" s="198"/>
      <c r="CK110" s="193" t="e">
        <f t="shared" si="94"/>
        <v>#DIV/0!</v>
      </c>
      <c r="CL110" s="195">
        <f t="shared" si="95"/>
        <v>58</v>
      </c>
      <c r="CM110" s="194">
        <f t="shared" si="96"/>
        <v>1</v>
      </c>
      <c r="CN110" s="193">
        <f t="shared" si="97"/>
        <v>1.7241379310344827E-2</v>
      </c>
      <c r="CO110" s="175"/>
      <c r="CP110" s="196">
        <f t="shared" si="98"/>
        <v>145</v>
      </c>
      <c r="CQ110" s="196">
        <f t="shared" si="99"/>
        <v>4</v>
      </c>
      <c r="CR110" s="199">
        <f t="shared" si="100"/>
        <v>2.7586206896551724E-2</v>
      </c>
      <c r="CS110" s="261">
        <f t="shared" si="74"/>
        <v>25</v>
      </c>
      <c r="CT110" s="175"/>
      <c r="CU110" s="196">
        <f t="shared" si="75"/>
        <v>7.5</v>
      </c>
      <c r="CV110" s="259"/>
      <c r="CW110" s="199">
        <f t="shared" si="76"/>
        <v>0</v>
      </c>
      <c r="CX110" s="196">
        <f t="shared" si="77"/>
        <v>7.5</v>
      </c>
      <c r="CY110" s="259"/>
      <c r="CZ110" s="199">
        <f t="shared" si="78"/>
        <v>0</v>
      </c>
      <c r="DA110" s="196">
        <f t="shared" si="79"/>
        <v>7.5</v>
      </c>
      <c r="DB110" s="259"/>
      <c r="DC110" s="199">
        <f t="shared" si="80"/>
        <v>0</v>
      </c>
      <c r="DD110" s="196">
        <f t="shared" si="81"/>
        <v>2.5</v>
      </c>
      <c r="DE110" s="259"/>
      <c r="DF110" s="199">
        <f t="shared" si="82"/>
        <v>0</v>
      </c>
      <c r="DG110" s="175"/>
      <c r="DH110" s="196">
        <f t="shared" si="83"/>
        <v>29</v>
      </c>
      <c r="DI110" s="196">
        <f t="shared" si="84"/>
        <v>4</v>
      </c>
      <c r="DJ110" s="199">
        <f t="shared" si="85"/>
        <v>0.13793103448275862</v>
      </c>
      <c r="DK110" s="265">
        <f t="shared" si="86"/>
        <v>25</v>
      </c>
      <c r="DL110" s="244">
        <v>106</v>
      </c>
      <c r="DM110">
        <f t="shared" si="101"/>
        <v>0</v>
      </c>
    </row>
    <row r="111" spans="1:117" x14ac:dyDescent="0.3">
      <c r="A111" s="246">
        <v>107</v>
      </c>
      <c r="B111" s="91" t="s">
        <v>270</v>
      </c>
      <c r="C111" s="91" t="s">
        <v>436</v>
      </c>
      <c r="D111" s="91" t="s">
        <v>437</v>
      </c>
      <c r="E111" s="91" t="s">
        <v>120</v>
      </c>
      <c r="F111" s="91" t="s">
        <v>438</v>
      </c>
      <c r="G111" s="87" t="s">
        <v>186</v>
      </c>
      <c r="H111" s="87" t="s">
        <v>187</v>
      </c>
      <c r="I111" s="87" t="s">
        <v>439</v>
      </c>
      <c r="J111" s="87" t="s">
        <v>439</v>
      </c>
      <c r="K111" s="85" t="s">
        <v>183</v>
      </c>
      <c r="L111" s="85" t="s">
        <v>424</v>
      </c>
      <c r="M111" s="87" t="s">
        <v>106</v>
      </c>
      <c r="N111" s="87" t="s">
        <v>425</v>
      </c>
      <c r="O111" s="87" t="s">
        <v>127</v>
      </c>
      <c r="P111" s="87" t="s">
        <v>440</v>
      </c>
      <c r="Q111" s="87" t="s">
        <v>129</v>
      </c>
      <c r="R111" s="130">
        <v>29</v>
      </c>
      <c r="S111" s="88" t="s">
        <v>111</v>
      </c>
      <c r="T111" s="81">
        <v>0</v>
      </c>
      <c r="U111" s="81">
        <v>0</v>
      </c>
      <c r="V111" s="25" t="e">
        <f t="shared" si="61"/>
        <v>#DIV/0!</v>
      </c>
      <c r="W111" s="81">
        <v>10</v>
      </c>
      <c r="X111" s="81">
        <v>10</v>
      </c>
      <c r="Y111" s="25">
        <f t="shared" si="1"/>
        <v>100</v>
      </c>
      <c r="Z111" s="81">
        <v>10</v>
      </c>
      <c r="AA111" s="81"/>
      <c r="AB111" s="25">
        <f t="shared" si="2"/>
        <v>0</v>
      </c>
      <c r="AC111" s="81">
        <v>9</v>
      </c>
      <c r="AD111" s="81"/>
      <c r="AE111" s="25">
        <f t="shared" si="3"/>
        <v>0</v>
      </c>
      <c r="AF111" s="137">
        <f t="shared" si="87"/>
        <v>29</v>
      </c>
      <c r="AG111" s="137">
        <f t="shared" si="88"/>
        <v>10</v>
      </c>
      <c r="AH111" s="128">
        <f t="shared" si="5"/>
        <v>100</v>
      </c>
      <c r="AI111" s="90">
        <v>46026</v>
      </c>
      <c r="AJ111" s="90">
        <v>46477</v>
      </c>
      <c r="AK111" s="91" t="s">
        <v>112</v>
      </c>
      <c r="AL111" s="91" t="s">
        <v>113</v>
      </c>
      <c r="AM111" s="92" t="s">
        <v>114</v>
      </c>
      <c r="AN111" s="93">
        <v>126000000</v>
      </c>
      <c r="AO111" s="93">
        <v>126000000</v>
      </c>
      <c r="AP111" s="93">
        <v>126000000</v>
      </c>
      <c r="AQ111" s="94">
        <v>0</v>
      </c>
      <c r="AR111" s="91" t="s">
        <v>159</v>
      </c>
      <c r="AS111" s="91" t="s">
        <v>112</v>
      </c>
      <c r="AT111" s="150" t="s">
        <v>427</v>
      </c>
      <c r="AU111" s="165" t="s">
        <v>2264</v>
      </c>
      <c r="AV111" s="232" t="s">
        <v>2234</v>
      </c>
      <c r="AW111" s="126" t="s">
        <v>2269</v>
      </c>
      <c r="BA111" s="255">
        <v>0</v>
      </c>
      <c r="BB111" s="256">
        <v>0</v>
      </c>
      <c r="BC111" s="223" t="e">
        <f t="shared" si="63"/>
        <v>#DIV/0!</v>
      </c>
      <c r="BD111" s="255">
        <v>0</v>
      </c>
      <c r="BE111" s="256">
        <v>0</v>
      </c>
      <c r="BF111" s="223" t="e">
        <f t="shared" si="64"/>
        <v>#DIV/0!</v>
      </c>
      <c r="BG111" s="255">
        <v>0</v>
      </c>
      <c r="BH111" s="256">
        <v>0</v>
      </c>
      <c r="BI111" s="223" t="e">
        <f t="shared" si="65"/>
        <v>#DIV/0!</v>
      </c>
      <c r="BJ111" s="224">
        <f t="shared" si="66"/>
        <v>0</v>
      </c>
      <c r="BK111" s="225">
        <f t="shared" si="67"/>
        <v>0</v>
      </c>
      <c r="BL111" s="223" t="e">
        <f t="shared" si="68"/>
        <v>#DIV/0!</v>
      </c>
      <c r="BM111" s="255">
        <v>0</v>
      </c>
      <c r="BN111" s="256">
        <v>0</v>
      </c>
      <c r="BO111" s="223" t="e">
        <f t="shared" si="89"/>
        <v>#DIV/0!</v>
      </c>
      <c r="BP111" s="255">
        <v>6</v>
      </c>
      <c r="BQ111" s="256">
        <v>6</v>
      </c>
      <c r="BR111" s="223">
        <f t="shared" si="90"/>
        <v>1</v>
      </c>
      <c r="BS111" s="255">
        <v>4</v>
      </c>
      <c r="BT111" s="255">
        <v>4</v>
      </c>
      <c r="BU111" s="223">
        <f t="shared" si="91"/>
        <v>1</v>
      </c>
      <c r="BV111" s="224">
        <f t="shared" si="69"/>
        <v>10</v>
      </c>
      <c r="BW111" s="224">
        <f t="shared" si="70"/>
        <v>10</v>
      </c>
      <c r="BX111" s="223">
        <f t="shared" si="71"/>
        <v>1</v>
      </c>
      <c r="BY111" s="223">
        <f t="shared" si="72"/>
        <v>0.34482758620689657</v>
      </c>
      <c r="BZ111" s="223">
        <f t="shared" si="73"/>
        <v>-0.34482758620689657</v>
      </c>
      <c r="CA111" s="226"/>
      <c r="CB111" s="175"/>
      <c r="CC111" s="191">
        <v>0</v>
      </c>
      <c r="CD111" s="192">
        <v>0</v>
      </c>
      <c r="CE111" s="193" t="e">
        <f t="shared" si="92"/>
        <v>#DIV/0!</v>
      </c>
      <c r="CF111" s="191">
        <v>0</v>
      </c>
      <c r="CG111" s="192">
        <v>0</v>
      </c>
      <c r="CH111" s="193" t="e">
        <f t="shared" si="93"/>
        <v>#DIV/0!</v>
      </c>
      <c r="CI111" s="197"/>
      <c r="CJ111" s="198"/>
      <c r="CK111" s="193" t="e">
        <f t="shared" si="94"/>
        <v>#DIV/0!</v>
      </c>
      <c r="CL111" s="195">
        <f t="shared" si="95"/>
        <v>0</v>
      </c>
      <c r="CM111" s="194">
        <f t="shared" si="96"/>
        <v>0</v>
      </c>
      <c r="CN111" s="193" t="e">
        <f t="shared" si="97"/>
        <v>#DIV/0!</v>
      </c>
      <c r="CO111" s="175"/>
      <c r="CP111" s="196">
        <f t="shared" si="98"/>
        <v>10</v>
      </c>
      <c r="CQ111" s="196">
        <f t="shared" si="99"/>
        <v>10</v>
      </c>
      <c r="CR111" s="199">
        <f t="shared" si="100"/>
        <v>1</v>
      </c>
      <c r="CS111" s="261">
        <f t="shared" si="74"/>
        <v>19</v>
      </c>
      <c r="CT111" s="175"/>
      <c r="CU111" s="196">
        <f t="shared" si="75"/>
        <v>5.7</v>
      </c>
      <c r="CV111" s="259"/>
      <c r="CW111" s="199">
        <f t="shared" si="76"/>
        <v>0</v>
      </c>
      <c r="CX111" s="196">
        <f t="shared" si="77"/>
        <v>5.7</v>
      </c>
      <c r="CY111" s="259"/>
      <c r="CZ111" s="199">
        <f t="shared" si="78"/>
        <v>0</v>
      </c>
      <c r="DA111" s="196">
        <f t="shared" si="79"/>
        <v>5.7</v>
      </c>
      <c r="DB111" s="259"/>
      <c r="DC111" s="199">
        <f t="shared" si="80"/>
        <v>0</v>
      </c>
      <c r="DD111" s="196">
        <f t="shared" si="81"/>
        <v>1.9000000000000001</v>
      </c>
      <c r="DE111" s="259"/>
      <c r="DF111" s="199">
        <f t="shared" si="82"/>
        <v>0</v>
      </c>
      <c r="DG111" s="175"/>
      <c r="DH111" s="196">
        <f t="shared" si="83"/>
        <v>29</v>
      </c>
      <c r="DI111" s="196">
        <f t="shared" si="84"/>
        <v>10</v>
      </c>
      <c r="DJ111" s="199">
        <f t="shared" si="85"/>
        <v>0.34482758620689657</v>
      </c>
      <c r="DK111" s="265">
        <f t="shared" si="86"/>
        <v>19</v>
      </c>
      <c r="DL111" s="244">
        <v>107</v>
      </c>
      <c r="DM111">
        <f t="shared" si="101"/>
        <v>0</v>
      </c>
    </row>
    <row r="112" spans="1:117" ht="26.4" x14ac:dyDescent="0.3">
      <c r="A112" s="246">
        <v>108</v>
      </c>
      <c r="B112" s="91" t="s">
        <v>270</v>
      </c>
      <c r="C112" s="91" t="s">
        <v>133</v>
      </c>
      <c r="D112" s="91" t="s">
        <v>119</v>
      </c>
      <c r="E112" s="91" t="s">
        <v>134</v>
      </c>
      <c r="F112" s="91" t="s">
        <v>438</v>
      </c>
      <c r="G112" s="87" t="s">
        <v>429</v>
      </c>
      <c r="H112" s="87" t="s">
        <v>430</v>
      </c>
      <c r="I112" s="87" t="s">
        <v>423</v>
      </c>
      <c r="J112" s="87" t="s">
        <v>423</v>
      </c>
      <c r="K112" s="85" t="s">
        <v>183</v>
      </c>
      <c r="L112" s="85" t="s">
        <v>424</v>
      </c>
      <c r="M112" s="87" t="s">
        <v>106</v>
      </c>
      <c r="N112" s="87" t="s">
        <v>425</v>
      </c>
      <c r="O112" s="87" t="s">
        <v>127</v>
      </c>
      <c r="P112" s="242" t="s">
        <v>441</v>
      </c>
      <c r="Q112" s="87" t="s">
        <v>129</v>
      </c>
      <c r="R112" s="130">
        <v>1</v>
      </c>
      <c r="S112" s="88" t="s">
        <v>111</v>
      </c>
      <c r="T112" s="81">
        <v>0</v>
      </c>
      <c r="U112" s="81">
        <v>0</v>
      </c>
      <c r="V112" s="25" t="e">
        <f t="shared" si="61"/>
        <v>#DIV/0!</v>
      </c>
      <c r="W112" s="81">
        <v>0</v>
      </c>
      <c r="X112" s="81">
        <v>0</v>
      </c>
      <c r="Y112" s="25" t="e">
        <f t="shared" si="1"/>
        <v>#DIV/0!</v>
      </c>
      <c r="Z112" s="81">
        <v>1</v>
      </c>
      <c r="AA112" s="81"/>
      <c r="AB112" s="25">
        <f t="shared" si="2"/>
        <v>0</v>
      </c>
      <c r="AC112" s="81">
        <v>0</v>
      </c>
      <c r="AD112" s="81"/>
      <c r="AE112" s="25" t="e">
        <f t="shared" si="3"/>
        <v>#DIV/0!</v>
      </c>
      <c r="AF112" s="137">
        <f t="shared" si="87"/>
        <v>1</v>
      </c>
      <c r="AG112" s="137">
        <f t="shared" si="88"/>
        <v>0</v>
      </c>
      <c r="AH112" s="128" t="e">
        <f t="shared" si="5"/>
        <v>#DIV/0!</v>
      </c>
      <c r="AI112" s="90">
        <v>46113</v>
      </c>
      <c r="AJ112" s="90">
        <v>46477</v>
      </c>
      <c r="AK112" s="91" t="s">
        <v>112</v>
      </c>
      <c r="AL112" s="91" t="s">
        <v>113</v>
      </c>
      <c r="AM112" s="92" t="s">
        <v>114</v>
      </c>
      <c r="AN112" s="93">
        <v>18000000</v>
      </c>
      <c r="AO112" s="93">
        <v>18000000</v>
      </c>
      <c r="AP112" s="93">
        <v>18000000</v>
      </c>
      <c r="AQ112" s="94">
        <v>0</v>
      </c>
      <c r="AR112" s="91" t="s">
        <v>115</v>
      </c>
      <c r="AS112" s="91" t="s">
        <v>112</v>
      </c>
      <c r="AT112" s="150" t="s">
        <v>427</v>
      </c>
      <c r="AU112" s="165" t="s">
        <v>2264</v>
      </c>
      <c r="AV112" s="232" t="s">
        <v>2234</v>
      </c>
      <c r="AW112" s="126" t="s">
        <v>2269</v>
      </c>
      <c r="BA112" s="255">
        <v>0</v>
      </c>
      <c r="BB112" s="256">
        <v>0</v>
      </c>
      <c r="BC112" s="223" t="e">
        <f t="shared" si="63"/>
        <v>#DIV/0!</v>
      </c>
      <c r="BD112" s="255">
        <v>0</v>
      </c>
      <c r="BE112" s="256">
        <v>0</v>
      </c>
      <c r="BF112" s="223" t="e">
        <f t="shared" si="64"/>
        <v>#DIV/0!</v>
      </c>
      <c r="BG112" s="255">
        <v>0</v>
      </c>
      <c r="BH112" s="256">
        <v>0</v>
      </c>
      <c r="BI112" s="223" t="e">
        <f t="shared" si="65"/>
        <v>#DIV/0!</v>
      </c>
      <c r="BJ112" s="224">
        <f t="shared" si="66"/>
        <v>0</v>
      </c>
      <c r="BK112" s="225">
        <f t="shared" si="67"/>
        <v>0</v>
      </c>
      <c r="BL112" s="223" t="e">
        <f t="shared" si="68"/>
        <v>#DIV/0!</v>
      </c>
      <c r="BM112" s="255"/>
      <c r="BN112" s="256"/>
      <c r="BO112" s="223" t="e">
        <f t="shared" si="89"/>
        <v>#DIV/0!</v>
      </c>
      <c r="BP112" s="255"/>
      <c r="BQ112" s="256"/>
      <c r="BR112" s="223" t="e">
        <f t="shared" si="90"/>
        <v>#DIV/0!</v>
      </c>
      <c r="BS112" s="255"/>
      <c r="BT112" s="255"/>
      <c r="BU112" s="223" t="e">
        <f t="shared" si="91"/>
        <v>#DIV/0!</v>
      </c>
      <c r="BV112" s="224">
        <f t="shared" si="69"/>
        <v>0</v>
      </c>
      <c r="BW112" s="224">
        <f t="shared" si="70"/>
        <v>0</v>
      </c>
      <c r="BX112" s="223" t="e">
        <f t="shared" si="71"/>
        <v>#DIV/0!</v>
      </c>
      <c r="BY112" s="223">
        <f t="shared" si="72"/>
        <v>0</v>
      </c>
      <c r="BZ112" s="223">
        <f t="shared" si="73"/>
        <v>0</v>
      </c>
      <c r="CA112" s="226"/>
      <c r="CB112" s="175"/>
      <c r="CC112" s="191">
        <v>0</v>
      </c>
      <c r="CD112" s="192">
        <v>0</v>
      </c>
      <c r="CE112" s="193" t="e">
        <f t="shared" si="92"/>
        <v>#DIV/0!</v>
      </c>
      <c r="CF112" s="191">
        <v>0</v>
      </c>
      <c r="CG112" s="192">
        <v>0</v>
      </c>
      <c r="CH112" s="193" t="e">
        <f t="shared" si="93"/>
        <v>#DIV/0!</v>
      </c>
      <c r="CI112" s="197"/>
      <c r="CJ112" s="198"/>
      <c r="CK112" s="193" t="e">
        <f t="shared" si="94"/>
        <v>#DIV/0!</v>
      </c>
      <c r="CL112" s="195">
        <f t="shared" si="95"/>
        <v>0</v>
      </c>
      <c r="CM112" s="194">
        <f t="shared" si="96"/>
        <v>0</v>
      </c>
      <c r="CN112" s="193" t="e">
        <f t="shared" si="97"/>
        <v>#DIV/0!</v>
      </c>
      <c r="CO112" s="175"/>
      <c r="CP112" s="196">
        <f t="shared" si="98"/>
        <v>0</v>
      </c>
      <c r="CQ112" s="196">
        <f t="shared" si="99"/>
        <v>0</v>
      </c>
      <c r="CR112" s="199" t="e">
        <f t="shared" si="100"/>
        <v>#DIV/0!</v>
      </c>
      <c r="CS112" s="261">
        <f t="shared" si="74"/>
        <v>1</v>
      </c>
      <c r="CT112" s="175"/>
      <c r="CU112" s="196">
        <f t="shared" si="75"/>
        <v>0.3</v>
      </c>
      <c r="CV112" s="259"/>
      <c r="CW112" s="199">
        <f t="shared" si="76"/>
        <v>0</v>
      </c>
      <c r="CX112" s="196">
        <f t="shared" si="77"/>
        <v>0.3</v>
      </c>
      <c r="CY112" s="259"/>
      <c r="CZ112" s="199">
        <f t="shared" si="78"/>
        <v>0</v>
      </c>
      <c r="DA112" s="196">
        <f t="shared" si="79"/>
        <v>0.3</v>
      </c>
      <c r="DB112" s="259"/>
      <c r="DC112" s="199">
        <f t="shared" si="80"/>
        <v>0</v>
      </c>
      <c r="DD112" s="196">
        <f t="shared" si="81"/>
        <v>0.1</v>
      </c>
      <c r="DE112" s="259"/>
      <c r="DF112" s="199">
        <f t="shared" si="82"/>
        <v>0</v>
      </c>
      <c r="DG112" s="175"/>
      <c r="DH112" s="196">
        <f t="shared" si="83"/>
        <v>1</v>
      </c>
      <c r="DI112" s="196">
        <f t="shared" si="84"/>
        <v>0</v>
      </c>
      <c r="DJ112" s="199">
        <f t="shared" si="85"/>
        <v>0</v>
      </c>
      <c r="DK112" s="265">
        <f t="shared" si="86"/>
        <v>1</v>
      </c>
      <c r="DL112" s="244">
        <v>108</v>
      </c>
      <c r="DM112">
        <f t="shared" si="101"/>
        <v>0</v>
      </c>
    </row>
    <row r="113" spans="1:117" x14ac:dyDescent="0.3">
      <c r="A113" s="246">
        <v>109</v>
      </c>
      <c r="B113" s="91" t="s">
        <v>270</v>
      </c>
      <c r="C113" s="91" t="s">
        <v>118</v>
      </c>
      <c r="D113" s="91" t="s">
        <v>119</v>
      </c>
      <c r="E113" s="91" t="s">
        <v>289</v>
      </c>
      <c r="F113" s="91" t="s">
        <v>442</v>
      </c>
      <c r="G113" s="87" t="s">
        <v>433</v>
      </c>
      <c r="H113" s="87" t="s">
        <v>443</v>
      </c>
      <c r="I113" s="87" t="s">
        <v>439</v>
      </c>
      <c r="J113" s="87" t="s">
        <v>439</v>
      </c>
      <c r="K113" s="85" t="s">
        <v>104</v>
      </c>
      <c r="L113" s="85" t="s">
        <v>105</v>
      </c>
      <c r="M113" s="87" t="s">
        <v>106</v>
      </c>
      <c r="N113" s="87" t="s">
        <v>433</v>
      </c>
      <c r="O113" s="87" t="s">
        <v>127</v>
      </c>
      <c r="P113" s="241" t="s">
        <v>444</v>
      </c>
      <c r="Q113" s="87" t="s">
        <v>129</v>
      </c>
      <c r="R113" s="130">
        <v>1</v>
      </c>
      <c r="S113" s="88" t="s">
        <v>111</v>
      </c>
      <c r="T113" s="81">
        <v>0</v>
      </c>
      <c r="U113" s="81">
        <v>0</v>
      </c>
      <c r="V113" s="25" t="e">
        <f t="shared" si="61"/>
        <v>#DIV/0!</v>
      </c>
      <c r="W113" s="81">
        <v>0</v>
      </c>
      <c r="X113" s="81">
        <v>0</v>
      </c>
      <c r="Y113" s="25" t="e">
        <f t="shared" si="1"/>
        <v>#DIV/0!</v>
      </c>
      <c r="Z113" s="81">
        <v>1</v>
      </c>
      <c r="AA113" s="81"/>
      <c r="AB113" s="25">
        <f t="shared" si="2"/>
        <v>0</v>
      </c>
      <c r="AC113" s="81">
        <v>0</v>
      </c>
      <c r="AD113" s="81"/>
      <c r="AE113" s="25" t="e">
        <f t="shared" si="3"/>
        <v>#DIV/0!</v>
      </c>
      <c r="AF113" s="137">
        <f t="shared" si="87"/>
        <v>1</v>
      </c>
      <c r="AG113" s="137">
        <f t="shared" si="88"/>
        <v>0</v>
      </c>
      <c r="AH113" s="128" t="e">
        <f t="shared" si="5"/>
        <v>#DIV/0!</v>
      </c>
      <c r="AI113" s="90">
        <v>46113</v>
      </c>
      <c r="AJ113" s="90">
        <v>46477</v>
      </c>
      <c r="AK113" s="91" t="s">
        <v>112</v>
      </c>
      <c r="AL113" s="91" t="s">
        <v>113</v>
      </c>
      <c r="AM113" s="92" t="s">
        <v>114</v>
      </c>
      <c r="AN113" s="93">
        <v>18000000</v>
      </c>
      <c r="AO113" s="93">
        <v>18000000</v>
      </c>
      <c r="AP113" s="93">
        <v>18000000</v>
      </c>
      <c r="AQ113" s="94">
        <v>0</v>
      </c>
      <c r="AR113" s="91" t="s">
        <v>159</v>
      </c>
      <c r="AS113" s="91" t="s">
        <v>112</v>
      </c>
      <c r="AT113" s="150" t="s">
        <v>427</v>
      </c>
      <c r="AU113" s="165" t="s">
        <v>2264</v>
      </c>
      <c r="AV113" s="232" t="s">
        <v>2234</v>
      </c>
      <c r="AW113" s="126" t="s">
        <v>2269</v>
      </c>
      <c r="BA113" s="255"/>
      <c r="BB113" s="256"/>
      <c r="BC113" s="223" t="e">
        <f t="shared" si="63"/>
        <v>#DIV/0!</v>
      </c>
      <c r="BD113" s="255"/>
      <c r="BE113" s="256"/>
      <c r="BF113" s="223" t="e">
        <f t="shared" si="64"/>
        <v>#DIV/0!</v>
      </c>
      <c r="BG113" s="255"/>
      <c r="BH113" s="256"/>
      <c r="BI113" s="223" t="e">
        <f t="shared" si="65"/>
        <v>#DIV/0!</v>
      </c>
      <c r="BJ113" s="224">
        <f t="shared" si="66"/>
        <v>0</v>
      </c>
      <c r="BK113" s="225">
        <f t="shared" si="67"/>
        <v>0</v>
      </c>
      <c r="BL113" s="223" t="e">
        <f t="shared" si="68"/>
        <v>#DIV/0!</v>
      </c>
      <c r="BM113" s="255"/>
      <c r="BN113" s="256"/>
      <c r="BO113" s="223" t="e">
        <f t="shared" si="89"/>
        <v>#DIV/0!</v>
      </c>
      <c r="BP113" s="255"/>
      <c r="BQ113" s="256"/>
      <c r="BR113" s="223" t="e">
        <f t="shared" si="90"/>
        <v>#DIV/0!</v>
      </c>
      <c r="BS113" s="255"/>
      <c r="BT113" s="255"/>
      <c r="BU113" s="223" t="e">
        <f t="shared" si="91"/>
        <v>#DIV/0!</v>
      </c>
      <c r="BV113" s="224">
        <f t="shared" si="69"/>
        <v>0</v>
      </c>
      <c r="BW113" s="224">
        <f t="shared" si="70"/>
        <v>0</v>
      </c>
      <c r="BX113" s="223" t="e">
        <f t="shared" si="71"/>
        <v>#DIV/0!</v>
      </c>
      <c r="BY113" s="223">
        <f t="shared" si="72"/>
        <v>0</v>
      </c>
      <c r="BZ113" s="223">
        <f t="shared" si="73"/>
        <v>0</v>
      </c>
      <c r="CA113" s="226"/>
      <c r="CB113" s="175"/>
      <c r="CC113" s="191"/>
      <c r="CD113" s="192"/>
      <c r="CE113" s="193" t="e">
        <f t="shared" si="92"/>
        <v>#DIV/0!</v>
      </c>
      <c r="CF113" s="191"/>
      <c r="CG113" s="192"/>
      <c r="CH113" s="193" t="e">
        <f t="shared" si="93"/>
        <v>#DIV/0!</v>
      </c>
      <c r="CI113" s="197"/>
      <c r="CJ113" s="198"/>
      <c r="CK113" s="193" t="e">
        <f t="shared" si="94"/>
        <v>#DIV/0!</v>
      </c>
      <c r="CL113" s="195">
        <f t="shared" si="95"/>
        <v>0</v>
      </c>
      <c r="CM113" s="194">
        <f t="shared" si="96"/>
        <v>0</v>
      </c>
      <c r="CN113" s="193" t="e">
        <f t="shared" si="97"/>
        <v>#DIV/0!</v>
      </c>
      <c r="CO113" s="175"/>
      <c r="CP113" s="196">
        <f t="shared" si="98"/>
        <v>0</v>
      </c>
      <c r="CQ113" s="196">
        <f t="shared" si="99"/>
        <v>0</v>
      </c>
      <c r="CR113" s="199" t="e">
        <f t="shared" si="100"/>
        <v>#DIV/0!</v>
      </c>
      <c r="CS113" s="261">
        <f t="shared" si="74"/>
        <v>1</v>
      </c>
      <c r="CT113" s="175"/>
      <c r="CU113" s="196">
        <f t="shared" si="75"/>
        <v>0.3</v>
      </c>
      <c r="CV113" s="259"/>
      <c r="CW113" s="199">
        <f t="shared" si="76"/>
        <v>0</v>
      </c>
      <c r="CX113" s="196">
        <f t="shared" si="77"/>
        <v>0.3</v>
      </c>
      <c r="CY113" s="259"/>
      <c r="CZ113" s="199">
        <f t="shared" si="78"/>
        <v>0</v>
      </c>
      <c r="DA113" s="196">
        <f t="shared" si="79"/>
        <v>0.3</v>
      </c>
      <c r="DB113" s="259"/>
      <c r="DC113" s="199">
        <f t="shared" si="80"/>
        <v>0</v>
      </c>
      <c r="DD113" s="196">
        <f t="shared" si="81"/>
        <v>0.1</v>
      </c>
      <c r="DE113" s="259"/>
      <c r="DF113" s="199">
        <f t="shared" si="82"/>
        <v>0</v>
      </c>
      <c r="DG113" s="175"/>
      <c r="DH113" s="196">
        <f t="shared" si="83"/>
        <v>1</v>
      </c>
      <c r="DI113" s="196">
        <f t="shared" si="84"/>
        <v>0</v>
      </c>
      <c r="DJ113" s="199">
        <f t="shared" si="85"/>
        <v>0</v>
      </c>
      <c r="DK113" s="265">
        <f t="shared" si="86"/>
        <v>1</v>
      </c>
      <c r="DL113" s="244">
        <v>109</v>
      </c>
      <c r="DM113">
        <f t="shared" si="101"/>
        <v>0</v>
      </c>
    </row>
    <row r="114" spans="1:117" ht="26.4" x14ac:dyDescent="0.3">
      <c r="A114" s="246">
        <v>110</v>
      </c>
      <c r="B114" s="91" t="s">
        <v>270</v>
      </c>
      <c r="C114" s="91" t="s">
        <v>133</v>
      </c>
      <c r="D114" s="91" t="s">
        <v>119</v>
      </c>
      <c r="E114" s="91" t="s">
        <v>134</v>
      </c>
      <c r="F114" s="91" t="s">
        <v>438</v>
      </c>
      <c r="G114" s="87" t="s">
        <v>429</v>
      </c>
      <c r="H114" s="87" t="s">
        <v>430</v>
      </c>
      <c r="I114" s="87" t="s">
        <v>423</v>
      </c>
      <c r="J114" s="87" t="s">
        <v>423</v>
      </c>
      <c r="K114" s="85" t="s">
        <v>183</v>
      </c>
      <c r="L114" s="85" t="s">
        <v>424</v>
      </c>
      <c r="M114" s="87" t="s">
        <v>106</v>
      </c>
      <c r="N114" s="87" t="s">
        <v>425</v>
      </c>
      <c r="O114" s="87" t="s">
        <v>127</v>
      </c>
      <c r="P114" s="242" t="s">
        <v>441</v>
      </c>
      <c r="Q114" s="87" t="s">
        <v>129</v>
      </c>
      <c r="R114" s="130">
        <v>1</v>
      </c>
      <c r="S114" s="88" t="s">
        <v>111</v>
      </c>
      <c r="T114" s="81">
        <v>0</v>
      </c>
      <c r="U114" s="81">
        <v>0</v>
      </c>
      <c r="V114" s="25" t="e">
        <f t="shared" si="61"/>
        <v>#DIV/0!</v>
      </c>
      <c r="W114" s="81">
        <v>0</v>
      </c>
      <c r="X114" s="81"/>
      <c r="Y114" s="25" t="e">
        <f t="shared" si="1"/>
        <v>#DIV/0!</v>
      </c>
      <c r="Z114" s="81">
        <v>1</v>
      </c>
      <c r="AA114" s="81"/>
      <c r="AB114" s="25">
        <f t="shared" si="2"/>
        <v>0</v>
      </c>
      <c r="AC114" s="81">
        <v>0</v>
      </c>
      <c r="AD114" s="81"/>
      <c r="AE114" s="25" t="e">
        <f t="shared" si="3"/>
        <v>#DIV/0!</v>
      </c>
      <c r="AF114" s="137">
        <f t="shared" si="87"/>
        <v>1</v>
      </c>
      <c r="AG114" s="137">
        <f t="shared" si="88"/>
        <v>0</v>
      </c>
      <c r="AH114" s="128" t="e">
        <f t="shared" si="5"/>
        <v>#DIV/0!</v>
      </c>
      <c r="AI114" s="90">
        <v>46113</v>
      </c>
      <c r="AJ114" s="90">
        <v>46477</v>
      </c>
      <c r="AK114" s="91" t="s">
        <v>112</v>
      </c>
      <c r="AL114" s="91" t="s">
        <v>113</v>
      </c>
      <c r="AM114" s="92" t="s">
        <v>114</v>
      </c>
      <c r="AN114" s="93">
        <v>20000000</v>
      </c>
      <c r="AO114" s="93">
        <v>20000000</v>
      </c>
      <c r="AP114" s="93">
        <v>20000000</v>
      </c>
      <c r="AQ114" s="94">
        <v>0</v>
      </c>
      <c r="AR114" s="91" t="s">
        <v>115</v>
      </c>
      <c r="AS114" s="91" t="s">
        <v>112</v>
      </c>
      <c r="AT114" s="150" t="s">
        <v>427</v>
      </c>
      <c r="AU114" s="165" t="s">
        <v>2264</v>
      </c>
      <c r="AV114" s="232" t="s">
        <v>2234</v>
      </c>
      <c r="AW114" s="126" t="s">
        <v>2269</v>
      </c>
      <c r="BA114" s="255">
        <v>0</v>
      </c>
      <c r="BB114" s="256">
        <v>0</v>
      </c>
      <c r="BC114" s="223" t="e">
        <f t="shared" si="63"/>
        <v>#DIV/0!</v>
      </c>
      <c r="BD114" s="255">
        <v>0</v>
      </c>
      <c r="BE114" s="256">
        <v>0</v>
      </c>
      <c r="BF114" s="223" t="e">
        <f t="shared" si="64"/>
        <v>#DIV/0!</v>
      </c>
      <c r="BG114" s="255">
        <v>0</v>
      </c>
      <c r="BH114" s="256">
        <v>0</v>
      </c>
      <c r="BI114" s="223" t="e">
        <f t="shared" si="65"/>
        <v>#DIV/0!</v>
      </c>
      <c r="BJ114" s="224">
        <f t="shared" si="66"/>
        <v>0</v>
      </c>
      <c r="BK114" s="225">
        <f t="shared" si="67"/>
        <v>0</v>
      </c>
      <c r="BL114" s="223" t="e">
        <f t="shared" si="68"/>
        <v>#DIV/0!</v>
      </c>
      <c r="BM114" s="255"/>
      <c r="BN114" s="256"/>
      <c r="BO114" s="223" t="e">
        <f t="shared" si="89"/>
        <v>#DIV/0!</v>
      </c>
      <c r="BP114" s="255"/>
      <c r="BQ114" s="256"/>
      <c r="BR114" s="223" t="e">
        <f t="shared" si="90"/>
        <v>#DIV/0!</v>
      </c>
      <c r="BS114" s="255"/>
      <c r="BT114" s="255"/>
      <c r="BU114" s="223" t="e">
        <f t="shared" si="91"/>
        <v>#DIV/0!</v>
      </c>
      <c r="BV114" s="224">
        <f t="shared" si="69"/>
        <v>0</v>
      </c>
      <c r="BW114" s="224">
        <f t="shared" si="70"/>
        <v>0</v>
      </c>
      <c r="BX114" s="223" t="e">
        <f t="shared" si="71"/>
        <v>#DIV/0!</v>
      </c>
      <c r="BY114" s="223">
        <f t="shared" si="72"/>
        <v>0</v>
      </c>
      <c r="BZ114" s="223">
        <f t="shared" si="73"/>
        <v>0</v>
      </c>
      <c r="CA114" s="226"/>
      <c r="CB114" s="175"/>
      <c r="CC114" s="191">
        <v>0</v>
      </c>
      <c r="CD114" s="192">
        <v>0</v>
      </c>
      <c r="CE114" s="193" t="e">
        <f t="shared" si="92"/>
        <v>#DIV/0!</v>
      </c>
      <c r="CF114" s="191">
        <v>0</v>
      </c>
      <c r="CG114" s="192">
        <v>0</v>
      </c>
      <c r="CH114" s="193" t="e">
        <f t="shared" si="93"/>
        <v>#DIV/0!</v>
      </c>
      <c r="CI114" s="197"/>
      <c r="CJ114" s="198"/>
      <c r="CK114" s="193" t="e">
        <f t="shared" si="94"/>
        <v>#DIV/0!</v>
      </c>
      <c r="CL114" s="195">
        <f t="shared" si="95"/>
        <v>0</v>
      </c>
      <c r="CM114" s="194">
        <f t="shared" si="96"/>
        <v>0</v>
      </c>
      <c r="CN114" s="193" t="e">
        <f t="shared" si="97"/>
        <v>#DIV/0!</v>
      </c>
      <c r="CO114" s="175"/>
      <c r="CP114" s="196">
        <f t="shared" si="98"/>
        <v>0</v>
      </c>
      <c r="CQ114" s="196">
        <f t="shared" si="99"/>
        <v>0</v>
      </c>
      <c r="CR114" s="199" t="e">
        <f t="shared" si="100"/>
        <v>#DIV/0!</v>
      </c>
      <c r="CS114" s="261">
        <f t="shared" si="74"/>
        <v>1</v>
      </c>
      <c r="CT114" s="175"/>
      <c r="CU114" s="196">
        <f t="shared" si="75"/>
        <v>0.3</v>
      </c>
      <c r="CV114" s="259"/>
      <c r="CW114" s="199">
        <f t="shared" si="76"/>
        <v>0</v>
      </c>
      <c r="CX114" s="196">
        <f t="shared" si="77"/>
        <v>0.3</v>
      </c>
      <c r="CY114" s="259"/>
      <c r="CZ114" s="199">
        <f t="shared" si="78"/>
        <v>0</v>
      </c>
      <c r="DA114" s="196">
        <f t="shared" si="79"/>
        <v>0.3</v>
      </c>
      <c r="DB114" s="259"/>
      <c r="DC114" s="199">
        <f t="shared" si="80"/>
        <v>0</v>
      </c>
      <c r="DD114" s="196">
        <f t="shared" si="81"/>
        <v>0.1</v>
      </c>
      <c r="DE114" s="259"/>
      <c r="DF114" s="199">
        <f t="shared" si="82"/>
        <v>0</v>
      </c>
      <c r="DG114" s="175"/>
      <c r="DH114" s="196">
        <f t="shared" si="83"/>
        <v>1</v>
      </c>
      <c r="DI114" s="196">
        <f t="shared" si="84"/>
        <v>0</v>
      </c>
      <c r="DJ114" s="199">
        <f t="shared" si="85"/>
        <v>0</v>
      </c>
      <c r="DK114" s="265">
        <f t="shared" si="86"/>
        <v>1</v>
      </c>
      <c r="DL114" s="244">
        <v>110</v>
      </c>
      <c r="DM114">
        <f t="shared" si="101"/>
        <v>0</v>
      </c>
    </row>
    <row r="115" spans="1:117" x14ac:dyDescent="0.3">
      <c r="A115" s="246">
        <v>111</v>
      </c>
      <c r="B115" s="91" t="s">
        <v>270</v>
      </c>
      <c r="C115" s="91" t="s">
        <v>97</v>
      </c>
      <c r="D115" s="91" t="s">
        <v>98</v>
      </c>
      <c r="E115" s="91" t="s">
        <v>120</v>
      </c>
      <c r="F115" s="91" t="s">
        <v>422</v>
      </c>
      <c r="G115" s="87" t="s">
        <v>429</v>
      </c>
      <c r="H115" s="87" t="s">
        <v>430</v>
      </c>
      <c r="I115" s="87" t="s">
        <v>423</v>
      </c>
      <c r="J115" s="87" t="s">
        <v>423</v>
      </c>
      <c r="K115" s="85" t="s">
        <v>183</v>
      </c>
      <c r="L115" s="85" t="s">
        <v>424</v>
      </c>
      <c r="M115" s="87" t="s">
        <v>106</v>
      </c>
      <c r="N115" s="87" t="s">
        <v>425</v>
      </c>
      <c r="O115" s="87" t="s">
        <v>108</v>
      </c>
      <c r="P115" s="87" t="s">
        <v>445</v>
      </c>
      <c r="Q115" s="87" t="s">
        <v>110</v>
      </c>
      <c r="R115" s="130">
        <v>29</v>
      </c>
      <c r="S115" s="88" t="s">
        <v>111</v>
      </c>
      <c r="T115" s="81">
        <v>0</v>
      </c>
      <c r="U115" s="81">
        <v>0</v>
      </c>
      <c r="V115" s="25" t="e">
        <f t="shared" si="61"/>
        <v>#DIV/0!</v>
      </c>
      <c r="W115" s="81">
        <v>10</v>
      </c>
      <c r="X115" s="81">
        <v>0</v>
      </c>
      <c r="Y115" s="25">
        <f t="shared" si="1"/>
        <v>0</v>
      </c>
      <c r="Z115" s="81">
        <v>10</v>
      </c>
      <c r="AA115" s="81"/>
      <c r="AB115" s="25">
        <f t="shared" si="2"/>
        <v>0</v>
      </c>
      <c r="AC115" s="81">
        <v>9</v>
      </c>
      <c r="AD115" s="81"/>
      <c r="AE115" s="25">
        <f t="shared" si="3"/>
        <v>0</v>
      </c>
      <c r="AF115" s="137">
        <f t="shared" si="87"/>
        <v>29</v>
      </c>
      <c r="AG115" s="137">
        <f t="shared" si="88"/>
        <v>0</v>
      </c>
      <c r="AH115" s="128">
        <f t="shared" si="5"/>
        <v>0</v>
      </c>
      <c r="AI115" s="90">
        <v>46054</v>
      </c>
      <c r="AJ115" s="90">
        <v>46477</v>
      </c>
      <c r="AK115" s="91" t="s">
        <v>112</v>
      </c>
      <c r="AL115" s="91" t="s">
        <v>113</v>
      </c>
      <c r="AM115" s="92" t="s">
        <v>114</v>
      </c>
      <c r="AN115" s="93">
        <v>100000000</v>
      </c>
      <c r="AO115" s="93">
        <v>100000000</v>
      </c>
      <c r="AP115" s="93">
        <v>100000000</v>
      </c>
      <c r="AQ115" s="94">
        <v>0</v>
      </c>
      <c r="AR115" s="91" t="s">
        <v>159</v>
      </c>
      <c r="AS115" s="91" t="s">
        <v>112</v>
      </c>
      <c r="AT115" s="150" t="s">
        <v>427</v>
      </c>
      <c r="AU115" s="165" t="s">
        <v>2264</v>
      </c>
      <c r="AV115" s="232" t="s">
        <v>2234</v>
      </c>
      <c r="AW115" s="126" t="s">
        <v>2269</v>
      </c>
      <c r="BA115" s="255">
        <v>0</v>
      </c>
      <c r="BB115" s="256">
        <v>0</v>
      </c>
      <c r="BC115" s="223" t="e">
        <f t="shared" si="63"/>
        <v>#DIV/0!</v>
      </c>
      <c r="BD115" s="255">
        <v>0</v>
      </c>
      <c r="BE115" s="256">
        <v>0</v>
      </c>
      <c r="BF115" s="223" t="e">
        <f t="shared" si="64"/>
        <v>#DIV/0!</v>
      </c>
      <c r="BG115" s="255">
        <v>0</v>
      </c>
      <c r="BH115" s="256">
        <v>0</v>
      </c>
      <c r="BI115" s="223" t="e">
        <f t="shared" si="65"/>
        <v>#DIV/0!</v>
      </c>
      <c r="BJ115" s="224">
        <f t="shared" si="66"/>
        <v>0</v>
      </c>
      <c r="BK115" s="225">
        <f t="shared" si="67"/>
        <v>0</v>
      </c>
      <c r="BL115" s="223" t="e">
        <f t="shared" si="68"/>
        <v>#DIV/0!</v>
      </c>
      <c r="BM115" s="255">
        <v>29</v>
      </c>
      <c r="BN115" s="256">
        <v>0</v>
      </c>
      <c r="BO115" s="223">
        <f t="shared" si="89"/>
        <v>0</v>
      </c>
      <c r="BP115" s="255">
        <v>29</v>
      </c>
      <c r="BQ115" s="256">
        <v>2</v>
      </c>
      <c r="BR115" s="223">
        <f t="shared" si="90"/>
        <v>6.8965517241379309E-2</v>
      </c>
      <c r="BS115" s="255">
        <v>29</v>
      </c>
      <c r="BT115" s="255">
        <v>2</v>
      </c>
      <c r="BU115" s="223">
        <f t="shared" si="91"/>
        <v>6.8965517241379309E-2</v>
      </c>
      <c r="BV115" s="224">
        <f t="shared" si="69"/>
        <v>87</v>
      </c>
      <c r="BW115" s="224">
        <f t="shared" si="70"/>
        <v>4</v>
      </c>
      <c r="BX115" s="223">
        <f t="shared" si="71"/>
        <v>4.5977011494252873E-2</v>
      </c>
      <c r="BY115" s="223">
        <f t="shared" si="72"/>
        <v>0.13793103448275862</v>
      </c>
      <c r="BZ115" s="223">
        <f t="shared" si="73"/>
        <v>-0.13793103448275862</v>
      </c>
      <c r="CA115" s="226"/>
      <c r="CB115" s="175"/>
      <c r="CC115" s="191">
        <v>29</v>
      </c>
      <c r="CD115" s="192">
        <v>1</v>
      </c>
      <c r="CE115" s="193">
        <f t="shared" si="92"/>
        <v>3.4482758620689655E-2</v>
      </c>
      <c r="CF115" s="191">
        <v>29</v>
      </c>
      <c r="CG115" s="192">
        <v>0</v>
      </c>
      <c r="CH115" s="193">
        <f t="shared" si="93"/>
        <v>0</v>
      </c>
      <c r="CI115" s="197"/>
      <c r="CJ115" s="198"/>
      <c r="CK115" s="193" t="e">
        <f t="shared" si="94"/>
        <v>#DIV/0!</v>
      </c>
      <c r="CL115" s="195">
        <f t="shared" si="95"/>
        <v>58</v>
      </c>
      <c r="CM115" s="194">
        <f t="shared" si="96"/>
        <v>1</v>
      </c>
      <c r="CN115" s="193">
        <f t="shared" si="97"/>
        <v>1.7241379310344827E-2</v>
      </c>
      <c r="CO115" s="175"/>
      <c r="CP115" s="196">
        <f t="shared" si="98"/>
        <v>145</v>
      </c>
      <c r="CQ115" s="196">
        <f t="shared" si="99"/>
        <v>5</v>
      </c>
      <c r="CR115" s="199">
        <f t="shared" si="100"/>
        <v>3.4482758620689655E-2</v>
      </c>
      <c r="CS115" s="261">
        <f t="shared" si="74"/>
        <v>24</v>
      </c>
      <c r="CT115" s="175"/>
      <c r="CU115" s="196">
        <f t="shared" si="75"/>
        <v>7.1999999999999993</v>
      </c>
      <c r="CV115" s="259"/>
      <c r="CW115" s="199">
        <f t="shared" si="76"/>
        <v>0</v>
      </c>
      <c r="CX115" s="196">
        <f t="shared" si="77"/>
        <v>7.1999999999999993</v>
      </c>
      <c r="CY115" s="259"/>
      <c r="CZ115" s="199">
        <f t="shared" si="78"/>
        <v>0</v>
      </c>
      <c r="DA115" s="196">
        <f t="shared" si="79"/>
        <v>7.1999999999999993</v>
      </c>
      <c r="DB115" s="259"/>
      <c r="DC115" s="199">
        <f t="shared" si="80"/>
        <v>0</v>
      </c>
      <c r="DD115" s="196">
        <f t="shared" si="81"/>
        <v>2.4000000000000004</v>
      </c>
      <c r="DE115" s="259"/>
      <c r="DF115" s="199">
        <f t="shared" si="82"/>
        <v>0</v>
      </c>
      <c r="DG115" s="175"/>
      <c r="DH115" s="196">
        <f t="shared" si="83"/>
        <v>29</v>
      </c>
      <c r="DI115" s="196">
        <f t="shared" si="84"/>
        <v>5</v>
      </c>
      <c r="DJ115" s="199">
        <f t="shared" si="85"/>
        <v>0.17241379310344829</v>
      </c>
      <c r="DK115" s="265">
        <f t="shared" si="86"/>
        <v>24</v>
      </c>
      <c r="DL115" s="244">
        <v>111</v>
      </c>
      <c r="DM115">
        <f t="shared" si="101"/>
        <v>0</v>
      </c>
    </row>
    <row r="116" spans="1:117" x14ac:dyDescent="0.3">
      <c r="A116" s="246">
        <v>112</v>
      </c>
      <c r="B116" s="91" t="s">
        <v>270</v>
      </c>
      <c r="C116" s="91" t="s">
        <v>97</v>
      </c>
      <c r="D116" s="91" t="s">
        <v>98</v>
      </c>
      <c r="E116" s="91" t="s">
        <v>99</v>
      </c>
      <c r="F116" s="91" t="s">
        <v>378</v>
      </c>
      <c r="G116" s="87" t="s">
        <v>272</v>
      </c>
      <c r="H116" s="87" t="s">
        <v>446</v>
      </c>
      <c r="I116" s="87" t="s">
        <v>173</v>
      </c>
      <c r="J116" s="87" t="s">
        <v>173</v>
      </c>
      <c r="K116" s="85" t="s">
        <v>104</v>
      </c>
      <c r="L116" s="85" t="s">
        <v>424</v>
      </c>
      <c r="M116" s="87" t="s">
        <v>106</v>
      </c>
      <c r="N116" s="87" t="s">
        <v>447</v>
      </c>
      <c r="O116" s="87" t="s">
        <v>108</v>
      </c>
      <c r="P116" s="87" t="s">
        <v>448</v>
      </c>
      <c r="Q116" s="87" t="s">
        <v>110</v>
      </c>
      <c r="R116" s="130">
        <v>29</v>
      </c>
      <c r="S116" s="88" t="s">
        <v>111</v>
      </c>
      <c r="T116" s="81">
        <v>0</v>
      </c>
      <c r="U116" s="81">
        <v>0</v>
      </c>
      <c r="V116" s="25" t="e">
        <f t="shared" si="61"/>
        <v>#DIV/0!</v>
      </c>
      <c r="W116" s="81">
        <v>9</v>
      </c>
      <c r="X116" s="81"/>
      <c r="Y116" s="25">
        <f t="shared" si="1"/>
        <v>0</v>
      </c>
      <c r="Z116" s="81">
        <v>10</v>
      </c>
      <c r="AA116" s="81"/>
      <c r="AB116" s="25">
        <f t="shared" si="2"/>
        <v>0</v>
      </c>
      <c r="AC116" s="81">
        <v>10</v>
      </c>
      <c r="AD116" s="81"/>
      <c r="AE116" s="25">
        <f t="shared" si="3"/>
        <v>0</v>
      </c>
      <c r="AF116" s="137">
        <f t="shared" si="87"/>
        <v>29</v>
      </c>
      <c r="AG116" s="137">
        <f t="shared" si="88"/>
        <v>0</v>
      </c>
      <c r="AH116" s="128" t="e">
        <f t="shared" si="5"/>
        <v>#DIV/0!</v>
      </c>
      <c r="AI116" s="90">
        <v>46113</v>
      </c>
      <c r="AJ116" s="90">
        <v>46477</v>
      </c>
      <c r="AK116" s="91" t="s">
        <v>112</v>
      </c>
      <c r="AL116" s="91" t="s">
        <v>113</v>
      </c>
      <c r="AM116" s="92" t="s">
        <v>114</v>
      </c>
      <c r="AN116" s="93">
        <v>200000000</v>
      </c>
      <c r="AO116" s="93">
        <v>200000000</v>
      </c>
      <c r="AP116" s="93">
        <v>200000000</v>
      </c>
      <c r="AQ116" s="94">
        <v>0</v>
      </c>
      <c r="AR116" s="91" t="s">
        <v>159</v>
      </c>
      <c r="AS116" s="91" t="s">
        <v>112</v>
      </c>
      <c r="AT116" s="150" t="s">
        <v>449</v>
      </c>
      <c r="AU116" s="165" t="s">
        <v>2264</v>
      </c>
      <c r="AV116" s="232" t="s">
        <v>2234</v>
      </c>
      <c r="AW116" s="126" t="s">
        <v>2265</v>
      </c>
      <c r="BA116" s="255"/>
      <c r="BB116" s="256"/>
      <c r="BC116" s="223" t="e">
        <f t="shared" si="63"/>
        <v>#DIV/0!</v>
      </c>
      <c r="BD116" s="255"/>
      <c r="BE116" s="256"/>
      <c r="BF116" s="223" t="e">
        <f t="shared" si="64"/>
        <v>#DIV/0!</v>
      </c>
      <c r="BG116" s="255"/>
      <c r="BH116" s="256"/>
      <c r="BI116" s="223" t="e">
        <f t="shared" si="65"/>
        <v>#DIV/0!</v>
      </c>
      <c r="BJ116" s="224">
        <f t="shared" si="66"/>
        <v>0</v>
      </c>
      <c r="BK116" s="225">
        <f t="shared" si="67"/>
        <v>0</v>
      </c>
      <c r="BL116" s="223" t="e">
        <f t="shared" si="68"/>
        <v>#DIV/0!</v>
      </c>
      <c r="BM116" s="255"/>
      <c r="BN116" s="256"/>
      <c r="BO116" s="223" t="e">
        <f t="shared" si="89"/>
        <v>#DIV/0!</v>
      </c>
      <c r="BP116" s="255"/>
      <c r="BQ116" s="256"/>
      <c r="BR116" s="223" t="e">
        <f t="shared" si="90"/>
        <v>#DIV/0!</v>
      </c>
      <c r="BS116" s="255"/>
      <c r="BT116" s="255"/>
      <c r="BU116" s="223" t="e">
        <f t="shared" si="91"/>
        <v>#DIV/0!</v>
      </c>
      <c r="BV116" s="224">
        <f t="shared" si="69"/>
        <v>0</v>
      </c>
      <c r="BW116" s="224">
        <f t="shared" si="70"/>
        <v>0</v>
      </c>
      <c r="BX116" s="223" t="e">
        <f t="shared" si="71"/>
        <v>#DIV/0!</v>
      </c>
      <c r="BY116" s="223">
        <f t="shared" si="72"/>
        <v>0</v>
      </c>
      <c r="BZ116" s="223">
        <f t="shared" si="73"/>
        <v>0</v>
      </c>
      <c r="CA116" s="226"/>
      <c r="CB116" s="175"/>
      <c r="CC116" s="191"/>
      <c r="CD116" s="192"/>
      <c r="CE116" s="193" t="e">
        <f t="shared" si="92"/>
        <v>#DIV/0!</v>
      </c>
      <c r="CF116" s="191"/>
      <c r="CG116" s="192"/>
      <c r="CH116" s="193" t="e">
        <f t="shared" si="93"/>
        <v>#DIV/0!</v>
      </c>
      <c r="CI116" s="197"/>
      <c r="CJ116" s="198"/>
      <c r="CK116" s="193" t="e">
        <f t="shared" si="94"/>
        <v>#DIV/0!</v>
      </c>
      <c r="CL116" s="195">
        <f t="shared" si="95"/>
        <v>0</v>
      </c>
      <c r="CM116" s="194">
        <f t="shared" si="96"/>
        <v>0</v>
      </c>
      <c r="CN116" s="193" t="e">
        <f t="shared" si="97"/>
        <v>#DIV/0!</v>
      </c>
      <c r="CO116" s="175"/>
      <c r="CP116" s="196">
        <f t="shared" si="98"/>
        <v>0</v>
      </c>
      <c r="CQ116" s="196">
        <f t="shared" si="99"/>
        <v>0</v>
      </c>
      <c r="CR116" s="199" t="e">
        <f t="shared" si="100"/>
        <v>#DIV/0!</v>
      </c>
      <c r="CS116" s="261">
        <f t="shared" si="74"/>
        <v>29</v>
      </c>
      <c r="CT116" s="175"/>
      <c r="CU116" s="196">
        <f t="shared" si="75"/>
        <v>8.6999999999999993</v>
      </c>
      <c r="CV116" s="259"/>
      <c r="CW116" s="199">
        <f t="shared" si="76"/>
        <v>0</v>
      </c>
      <c r="CX116" s="196">
        <f t="shared" si="77"/>
        <v>8.6999999999999993</v>
      </c>
      <c r="CY116" s="259"/>
      <c r="CZ116" s="199">
        <f t="shared" si="78"/>
        <v>0</v>
      </c>
      <c r="DA116" s="196">
        <f t="shared" si="79"/>
        <v>8.6999999999999993</v>
      </c>
      <c r="DB116" s="259"/>
      <c r="DC116" s="199">
        <f t="shared" si="80"/>
        <v>0</v>
      </c>
      <c r="DD116" s="196">
        <f t="shared" si="81"/>
        <v>2.9000000000000004</v>
      </c>
      <c r="DE116" s="259"/>
      <c r="DF116" s="199">
        <f t="shared" si="82"/>
        <v>0</v>
      </c>
      <c r="DG116" s="175"/>
      <c r="DH116" s="196">
        <f t="shared" si="83"/>
        <v>29</v>
      </c>
      <c r="DI116" s="196">
        <f t="shared" si="84"/>
        <v>0</v>
      </c>
      <c r="DJ116" s="199">
        <f t="shared" si="85"/>
        <v>0</v>
      </c>
      <c r="DK116" s="265">
        <f t="shared" si="86"/>
        <v>29</v>
      </c>
      <c r="DL116" s="244">
        <v>112</v>
      </c>
      <c r="DM116">
        <f t="shared" si="101"/>
        <v>0</v>
      </c>
    </row>
    <row r="117" spans="1:117" x14ac:dyDescent="0.3">
      <c r="A117" s="246">
        <v>113</v>
      </c>
      <c r="B117" s="91" t="s">
        <v>270</v>
      </c>
      <c r="C117" s="91" t="s">
        <v>97</v>
      </c>
      <c r="D117" s="91" t="s">
        <v>98</v>
      </c>
      <c r="E117" s="91" t="s">
        <v>99</v>
      </c>
      <c r="F117" s="91" t="s">
        <v>240</v>
      </c>
      <c r="G117" s="87" t="s">
        <v>450</v>
      </c>
      <c r="H117" s="87" t="s">
        <v>376</v>
      </c>
      <c r="I117" s="87" t="s">
        <v>451</v>
      </c>
      <c r="J117" s="87" t="s">
        <v>451</v>
      </c>
      <c r="K117" s="85" t="s">
        <v>104</v>
      </c>
      <c r="L117" s="85" t="s">
        <v>424</v>
      </c>
      <c r="M117" s="87" t="s">
        <v>106</v>
      </c>
      <c r="N117" s="87" t="s">
        <v>380</v>
      </c>
      <c r="O117" s="87" t="s">
        <v>108</v>
      </c>
      <c r="P117" s="87" t="s">
        <v>452</v>
      </c>
      <c r="Q117" s="87" t="s">
        <v>110</v>
      </c>
      <c r="R117" s="130">
        <v>58</v>
      </c>
      <c r="S117" s="88" t="s">
        <v>111</v>
      </c>
      <c r="T117" s="81">
        <v>0</v>
      </c>
      <c r="U117" s="81">
        <v>0</v>
      </c>
      <c r="V117" s="25" t="e">
        <f t="shared" si="61"/>
        <v>#DIV/0!</v>
      </c>
      <c r="W117" s="81">
        <v>29</v>
      </c>
      <c r="X117" s="81">
        <v>0</v>
      </c>
      <c r="Y117" s="25">
        <f t="shared" si="1"/>
        <v>0</v>
      </c>
      <c r="Z117" s="81">
        <v>29</v>
      </c>
      <c r="AA117" s="81"/>
      <c r="AB117" s="25">
        <f t="shared" si="2"/>
        <v>0</v>
      </c>
      <c r="AC117" s="81">
        <v>29</v>
      </c>
      <c r="AD117" s="81"/>
      <c r="AE117" s="25">
        <f t="shared" si="3"/>
        <v>0</v>
      </c>
      <c r="AF117" s="137">
        <f t="shared" si="87"/>
        <v>58</v>
      </c>
      <c r="AG117" s="137">
        <f t="shared" si="88"/>
        <v>0</v>
      </c>
      <c r="AH117" s="128">
        <f t="shared" si="5"/>
        <v>0</v>
      </c>
      <c r="AI117" s="90">
        <v>46113</v>
      </c>
      <c r="AJ117" s="90">
        <v>46477</v>
      </c>
      <c r="AK117" s="91" t="s">
        <v>112</v>
      </c>
      <c r="AL117" s="91" t="s">
        <v>113</v>
      </c>
      <c r="AM117" s="92" t="s">
        <v>114</v>
      </c>
      <c r="AN117" s="93">
        <v>100000000</v>
      </c>
      <c r="AO117" s="93">
        <v>100000000</v>
      </c>
      <c r="AP117" s="93">
        <v>100000000</v>
      </c>
      <c r="AQ117" s="94">
        <v>0</v>
      </c>
      <c r="AR117" s="91" t="s">
        <v>159</v>
      </c>
      <c r="AS117" s="91" t="s">
        <v>112</v>
      </c>
      <c r="AT117" s="150" t="s">
        <v>449</v>
      </c>
      <c r="AU117" s="165" t="s">
        <v>2264</v>
      </c>
      <c r="AV117" s="232" t="s">
        <v>2234</v>
      </c>
      <c r="AW117" s="126" t="s">
        <v>2265</v>
      </c>
      <c r="BA117" s="255"/>
      <c r="BB117" s="256"/>
      <c r="BC117" s="223" t="e">
        <f t="shared" si="63"/>
        <v>#DIV/0!</v>
      </c>
      <c r="BD117" s="255"/>
      <c r="BE117" s="256"/>
      <c r="BF117" s="223" t="e">
        <f t="shared" si="64"/>
        <v>#DIV/0!</v>
      </c>
      <c r="BG117" s="255"/>
      <c r="BH117" s="256"/>
      <c r="BI117" s="223" t="e">
        <f t="shared" si="65"/>
        <v>#DIV/0!</v>
      </c>
      <c r="BJ117" s="224">
        <f t="shared" si="66"/>
        <v>0</v>
      </c>
      <c r="BK117" s="225">
        <f t="shared" si="67"/>
        <v>0</v>
      </c>
      <c r="BL117" s="223" t="e">
        <f t="shared" si="68"/>
        <v>#DIV/0!</v>
      </c>
      <c r="BM117" s="255"/>
      <c r="BN117" s="256"/>
      <c r="BO117" s="223" t="e">
        <f t="shared" si="89"/>
        <v>#DIV/0!</v>
      </c>
      <c r="BP117" s="255"/>
      <c r="BQ117" s="256"/>
      <c r="BR117" s="223" t="e">
        <f t="shared" si="90"/>
        <v>#DIV/0!</v>
      </c>
      <c r="BS117" s="255"/>
      <c r="BT117" s="255"/>
      <c r="BU117" s="223" t="e">
        <f t="shared" si="91"/>
        <v>#DIV/0!</v>
      </c>
      <c r="BV117" s="224">
        <f t="shared" si="69"/>
        <v>0</v>
      </c>
      <c r="BW117" s="224">
        <f t="shared" si="70"/>
        <v>0</v>
      </c>
      <c r="BX117" s="223" t="e">
        <f t="shared" si="71"/>
        <v>#DIV/0!</v>
      </c>
      <c r="BY117" s="223">
        <f t="shared" si="72"/>
        <v>0</v>
      </c>
      <c r="BZ117" s="223">
        <f t="shared" si="73"/>
        <v>0</v>
      </c>
      <c r="CA117" s="226"/>
      <c r="CB117" s="175"/>
      <c r="CC117" s="191"/>
      <c r="CD117" s="192"/>
      <c r="CE117" s="193" t="e">
        <f t="shared" si="92"/>
        <v>#DIV/0!</v>
      </c>
      <c r="CF117" s="191"/>
      <c r="CG117" s="192"/>
      <c r="CH117" s="193" t="e">
        <f t="shared" si="93"/>
        <v>#DIV/0!</v>
      </c>
      <c r="CI117" s="197"/>
      <c r="CJ117" s="198"/>
      <c r="CK117" s="193" t="e">
        <f t="shared" si="94"/>
        <v>#DIV/0!</v>
      </c>
      <c r="CL117" s="195">
        <f t="shared" si="95"/>
        <v>0</v>
      </c>
      <c r="CM117" s="194">
        <f t="shared" si="96"/>
        <v>0</v>
      </c>
      <c r="CN117" s="193" t="e">
        <f t="shared" si="97"/>
        <v>#DIV/0!</v>
      </c>
      <c r="CO117" s="175"/>
      <c r="CP117" s="196">
        <f t="shared" si="98"/>
        <v>0</v>
      </c>
      <c r="CQ117" s="196">
        <f t="shared" si="99"/>
        <v>0</v>
      </c>
      <c r="CR117" s="199" t="e">
        <f t="shared" si="100"/>
        <v>#DIV/0!</v>
      </c>
      <c r="CS117" s="261">
        <f t="shared" si="74"/>
        <v>58</v>
      </c>
      <c r="CT117" s="175"/>
      <c r="CU117" s="196">
        <f t="shared" si="75"/>
        <v>17.399999999999999</v>
      </c>
      <c r="CV117" s="259"/>
      <c r="CW117" s="199">
        <f t="shared" si="76"/>
        <v>0</v>
      </c>
      <c r="CX117" s="196">
        <f t="shared" si="77"/>
        <v>17.399999999999999</v>
      </c>
      <c r="CY117" s="259"/>
      <c r="CZ117" s="199">
        <f t="shared" si="78"/>
        <v>0</v>
      </c>
      <c r="DA117" s="196">
        <f t="shared" si="79"/>
        <v>17.399999999999999</v>
      </c>
      <c r="DB117" s="259"/>
      <c r="DC117" s="199">
        <f t="shared" si="80"/>
        <v>0</v>
      </c>
      <c r="DD117" s="196">
        <f t="shared" si="81"/>
        <v>5.8000000000000007</v>
      </c>
      <c r="DE117" s="259"/>
      <c r="DF117" s="199">
        <f t="shared" si="82"/>
        <v>0</v>
      </c>
      <c r="DG117" s="175"/>
      <c r="DH117" s="196">
        <f t="shared" si="83"/>
        <v>58</v>
      </c>
      <c r="DI117" s="196">
        <f t="shared" si="84"/>
        <v>0</v>
      </c>
      <c r="DJ117" s="199">
        <f t="shared" si="85"/>
        <v>0</v>
      </c>
      <c r="DK117" s="265">
        <f t="shared" si="86"/>
        <v>58</v>
      </c>
      <c r="DL117" s="244">
        <v>113</v>
      </c>
      <c r="DM117">
        <f t="shared" si="101"/>
        <v>0</v>
      </c>
    </row>
    <row r="118" spans="1:117" x14ac:dyDescent="0.3">
      <c r="A118" s="246">
        <v>114</v>
      </c>
      <c r="B118" s="91" t="s">
        <v>270</v>
      </c>
      <c r="C118" s="91" t="s">
        <v>195</v>
      </c>
      <c r="D118" s="91" t="s">
        <v>196</v>
      </c>
      <c r="E118" s="91" t="s">
        <v>99</v>
      </c>
      <c r="F118" s="91" t="s">
        <v>453</v>
      </c>
      <c r="G118" s="87" t="s">
        <v>450</v>
      </c>
      <c r="H118" s="87" t="s">
        <v>376</v>
      </c>
      <c r="I118" s="87" t="s">
        <v>451</v>
      </c>
      <c r="J118" s="87" t="s">
        <v>451</v>
      </c>
      <c r="K118" s="85" t="s">
        <v>104</v>
      </c>
      <c r="L118" s="85" t="s">
        <v>105</v>
      </c>
      <c r="M118" s="87" t="s">
        <v>106</v>
      </c>
      <c r="N118" s="87" t="s">
        <v>380</v>
      </c>
      <c r="O118" s="87" t="s">
        <v>108</v>
      </c>
      <c r="P118" s="87" t="s">
        <v>454</v>
      </c>
      <c r="Q118" s="87" t="s">
        <v>110</v>
      </c>
      <c r="R118" s="130">
        <v>4</v>
      </c>
      <c r="S118" s="88" t="s">
        <v>111</v>
      </c>
      <c r="T118" s="81">
        <v>0</v>
      </c>
      <c r="U118" s="81">
        <v>0</v>
      </c>
      <c r="V118" s="25">
        <v>0</v>
      </c>
      <c r="W118" s="81"/>
      <c r="X118" s="81"/>
      <c r="Y118" s="25" t="e">
        <f t="shared" si="1"/>
        <v>#DIV/0!</v>
      </c>
      <c r="Z118" s="81">
        <v>1</v>
      </c>
      <c r="AA118" s="81"/>
      <c r="AB118" s="25">
        <f t="shared" si="2"/>
        <v>0</v>
      </c>
      <c r="AC118" s="81"/>
      <c r="AD118" s="81"/>
      <c r="AE118" s="25" t="e">
        <f t="shared" si="3"/>
        <v>#DIV/0!</v>
      </c>
      <c r="AF118" s="137">
        <f t="shared" si="87"/>
        <v>4</v>
      </c>
      <c r="AG118" s="137">
        <f t="shared" si="88"/>
        <v>0</v>
      </c>
      <c r="AH118" s="128" t="e">
        <f t="shared" si="5"/>
        <v>#DIV/0!</v>
      </c>
      <c r="AI118" s="90">
        <v>46113</v>
      </c>
      <c r="AJ118" s="90">
        <v>46477</v>
      </c>
      <c r="AK118" s="91" t="s">
        <v>112</v>
      </c>
      <c r="AL118" s="91" t="s">
        <v>113</v>
      </c>
      <c r="AM118" s="92" t="s">
        <v>114</v>
      </c>
      <c r="AN118" s="93">
        <v>80000000</v>
      </c>
      <c r="AO118" s="93">
        <v>80000000</v>
      </c>
      <c r="AP118" s="93">
        <v>80000000</v>
      </c>
      <c r="AQ118" s="94">
        <v>0</v>
      </c>
      <c r="AR118" s="91" t="s">
        <v>159</v>
      </c>
      <c r="AS118" s="91" t="s">
        <v>112</v>
      </c>
      <c r="AT118" s="150" t="s">
        <v>449</v>
      </c>
      <c r="AU118" s="165" t="s">
        <v>2264</v>
      </c>
      <c r="AV118" s="232" t="s">
        <v>2234</v>
      </c>
      <c r="AW118" s="126" t="s">
        <v>2265</v>
      </c>
      <c r="BA118" s="255"/>
      <c r="BB118" s="256"/>
      <c r="BC118" s="223" t="e">
        <f t="shared" si="63"/>
        <v>#DIV/0!</v>
      </c>
      <c r="BD118" s="255"/>
      <c r="BE118" s="256"/>
      <c r="BF118" s="223" t="e">
        <f t="shared" si="64"/>
        <v>#DIV/0!</v>
      </c>
      <c r="BG118" s="255"/>
      <c r="BH118" s="256"/>
      <c r="BI118" s="223" t="e">
        <f t="shared" si="65"/>
        <v>#DIV/0!</v>
      </c>
      <c r="BJ118" s="224">
        <f t="shared" si="66"/>
        <v>0</v>
      </c>
      <c r="BK118" s="225">
        <f t="shared" si="67"/>
        <v>0</v>
      </c>
      <c r="BL118" s="223" t="e">
        <f t="shared" si="68"/>
        <v>#DIV/0!</v>
      </c>
      <c r="BM118" s="255"/>
      <c r="BN118" s="256"/>
      <c r="BO118" s="223" t="e">
        <f t="shared" si="89"/>
        <v>#DIV/0!</v>
      </c>
      <c r="BP118" s="255"/>
      <c r="BQ118" s="256"/>
      <c r="BR118" s="223" t="e">
        <f t="shared" si="90"/>
        <v>#DIV/0!</v>
      </c>
      <c r="BS118" s="255"/>
      <c r="BT118" s="255"/>
      <c r="BU118" s="223" t="e">
        <f t="shared" si="91"/>
        <v>#DIV/0!</v>
      </c>
      <c r="BV118" s="224">
        <f t="shared" si="69"/>
        <v>0</v>
      </c>
      <c r="BW118" s="224">
        <f t="shared" si="70"/>
        <v>0</v>
      </c>
      <c r="BX118" s="223" t="e">
        <f t="shared" si="71"/>
        <v>#DIV/0!</v>
      </c>
      <c r="BY118" s="223">
        <f t="shared" si="72"/>
        <v>0</v>
      </c>
      <c r="BZ118" s="223">
        <f t="shared" si="73"/>
        <v>0</v>
      </c>
      <c r="CA118" s="226"/>
      <c r="CB118" s="175"/>
      <c r="CC118" s="191"/>
      <c r="CD118" s="192"/>
      <c r="CE118" s="193" t="e">
        <f t="shared" si="92"/>
        <v>#DIV/0!</v>
      </c>
      <c r="CF118" s="191"/>
      <c r="CG118" s="192"/>
      <c r="CH118" s="193" t="e">
        <f t="shared" si="93"/>
        <v>#DIV/0!</v>
      </c>
      <c r="CI118" s="197"/>
      <c r="CJ118" s="198"/>
      <c r="CK118" s="193" t="e">
        <f t="shared" si="94"/>
        <v>#DIV/0!</v>
      </c>
      <c r="CL118" s="195">
        <f t="shared" si="95"/>
        <v>0</v>
      </c>
      <c r="CM118" s="194">
        <f t="shared" si="96"/>
        <v>0</v>
      </c>
      <c r="CN118" s="193" t="e">
        <f t="shared" si="97"/>
        <v>#DIV/0!</v>
      </c>
      <c r="CO118" s="175"/>
      <c r="CP118" s="196">
        <f t="shared" si="98"/>
        <v>0</v>
      </c>
      <c r="CQ118" s="196">
        <f t="shared" si="99"/>
        <v>0</v>
      </c>
      <c r="CR118" s="199" t="e">
        <f t="shared" si="100"/>
        <v>#DIV/0!</v>
      </c>
      <c r="CS118" s="261">
        <f t="shared" si="74"/>
        <v>4</v>
      </c>
      <c r="CT118" s="175"/>
      <c r="CU118" s="196">
        <f t="shared" si="75"/>
        <v>1.2</v>
      </c>
      <c r="CV118" s="259"/>
      <c r="CW118" s="199">
        <f t="shared" si="76"/>
        <v>0</v>
      </c>
      <c r="CX118" s="196">
        <f t="shared" si="77"/>
        <v>1.2</v>
      </c>
      <c r="CY118" s="259"/>
      <c r="CZ118" s="199">
        <f t="shared" si="78"/>
        <v>0</v>
      </c>
      <c r="DA118" s="196">
        <f t="shared" si="79"/>
        <v>1.2</v>
      </c>
      <c r="DB118" s="259"/>
      <c r="DC118" s="199">
        <f t="shared" si="80"/>
        <v>0</v>
      </c>
      <c r="DD118" s="196">
        <f t="shared" si="81"/>
        <v>0.4</v>
      </c>
      <c r="DE118" s="259"/>
      <c r="DF118" s="199">
        <f t="shared" si="82"/>
        <v>0</v>
      </c>
      <c r="DG118" s="175"/>
      <c r="DH118" s="196">
        <f t="shared" si="83"/>
        <v>4</v>
      </c>
      <c r="DI118" s="196">
        <f t="shared" si="84"/>
        <v>0</v>
      </c>
      <c r="DJ118" s="199">
        <f t="shared" si="85"/>
        <v>0</v>
      </c>
      <c r="DK118" s="265">
        <f t="shared" si="86"/>
        <v>4</v>
      </c>
      <c r="DL118" s="244">
        <v>114</v>
      </c>
      <c r="DM118">
        <f t="shared" si="101"/>
        <v>0</v>
      </c>
    </row>
    <row r="119" spans="1:117" x14ac:dyDescent="0.3">
      <c r="A119" s="246">
        <v>115</v>
      </c>
      <c r="B119" s="91" t="s">
        <v>270</v>
      </c>
      <c r="C119" s="91" t="s">
        <v>133</v>
      </c>
      <c r="D119" s="91" t="s">
        <v>119</v>
      </c>
      <c r="E119" s="91" t="s">
        <v>134</v>
      </c>
      <c r="F119" s="91" t="s">
        <v>455</v>
      </c>
      <c r="G119" s="87" t="s">
        <v>456</v>
      </c>
      <c r="H119" s="87" t="s">
        <v>376</v>
      </c>
      <c r="I119" s="87" t="s">
        <v>281</v>
      </c>
      <c r="J119" s="87" t="s">
        <v>281</v>
      </c>
      <c r="K119" s="85" t="s">
        <v>104</v>
      </c>
      <c r="L119" s="85" t="s">
        <v>105</v>
      </c>
      <c r="M119" s="87" t="s">
        <v>106</v>
      </c>
      <c r="N119" s="87" t="s">
        <v>380</v>
      </c>
      <c r="O119" s="87" t="s">
        <v>127</v>
      </c>
      <c r="P119" s="241" t="s">
        <v>457</v>
      </c>
      <c r="Q119" s="87" t="s">
        <v>129</v>
      </c>
      <c r="R119" s="130">
        <v>1</v>
      </c>
      <c r="S119" s="88" t="s">
        <v>111</v>
      </c>
      <c r="T119" s="81">
        <v>0</v>
      </c>
      <c r="U119" s="81">
        <v>0</v>
      </c>
      <c r="V119" s="25" t="e">
        <f t="shared" ref="V119:V132" si="102">U119/T119*100</f>
        <v>#DIV/0!</v>
      </c>
      <c r="W119" s="81">
        <v>0</v>
      </c>
      <c r="X119" s="81"/>
      <c r="Y119" s="25" t="e">
        <f t="shared" si="1"/>
        <v>#DIV/0!</v>
      </c>
      <c r="Z119" s="81">
        <v>1</v>
      </c>
      <c r="AA119" s="81"/>
      <c r="AB119" s="25">
        <f t="shared" si="2"/>
        <v>0</v>
      </c>
      <c r="AC119" s="81">
        <v>0</v>
      </c>
      <c r="AD119" s="81"/>
      <c r="AE119" s="25" t="e">
        <f t="shared" si="3"/>
        <v>#DIV/0!</v>
      </c>
      <c r="AF119" s="137">
        <f t="shared" si="87"/>
        <v>1</v>
      </c>
      <c r="AG119" s="137">
        <f t="shared" si="88"/>
        <v>0</v>
      </c>
      <c r="AH119" s="128" t="e">
        <f t="shared" si="5"/>
        <v>#DIV/0!</v>
      </c>
      <c r="AI119" s="90">
        <v>46113</v>
      </c>
      <c r="AJ119" s="90">
        <v>46477</v>
      </c>
      <c r="AK119" s="91" t="s">
        <v>112</v>
      </c>
      <c r="AL119" s="91" t="s">
        <v>113</v>
      </c>
      <c r="AM119" s="92" t="s">
        <v>114</v>
      </c>
      <c r="AN119" s="93">
        <v>20000000</v>
      </c>
      <c r="AO119" s="93">
        <v>20000000</v>
      </c>
      <c r="AP119" s="93">
        <v>20000000</v>
      </c>
      <c r="AQ119" s="94">
        <v>0</v>
      </c>
      <c r="AR119" s="91" t="s">
        <v>458</v>
      </c>
      <c r="AS119" s="91" t="s">
        <v>112</v>
      </c>
      <c r="AT119" s="150" t="s">
        <v>449</v>
      </c>
      <c r="AU119" s="165" t="s">
        <v>2264</v>
      </c>
      <c r="AV119" s="232" t="s">
        <v>2234</v>
      </c>
      <c r="AW119" s="126" t="s">
        <v>2265</v>
      </c>
      <c r="BA119" s="255"/>
      <c r="BB119" s="256"/>
      <c r="BC119" s="223" t="e">
        <f t="shared" si="63"/>
        <v>#DIV/0!</v>
      </c>
      <c r="BD119" s="255"/>
      <c r="BE119" s="256"/>
      <c r="BF119" s="223" t="e">
        <f t="shared" si="64"/>
        <v>#DIV/0!</v>
      </c>
      <c r="BG119" s="255"/>
      <c r="BH119" s="256"/>
      <c r="BI119" s="223" t="e">
        <f t="shared" si="65"/>
        <v>#DIV/0!</v>
      </c>
      <c r="BJ119" s="224">
        <f t="shared" si="66"/>
        <v>0</v>
      </c>
      <c r="BK119" s="225">
        <f t="shared" si="67"/>
        <v>0</v>
      </c>
      <c r="BL119" s="223" t="e">
        <f t="shared" si="68"/>
        <v>#DIV/0!</v>
      </c>
      <c r="BM119" s="255"/>
      <c r="BN119" s="256"/>
      <c r="BO119" s="223" t="e">
        <f t="shared" si="89"/>
        <v>#DIV/0!</v>
      </c>
      <c r="BP119" s="255"/>
      <c r="BQ119" s="256"/>
      <c r="BR119" s="223" t="e">
        <f t="shared" si="90"/>
        <v>#DIV/0!</v>
      </c>
      <c r="BS119" s="255"/>
      <c r="BT119" s="255"/>
      <c r="BU119" s="223" t="e">
        <f t="shared" si="91"/>
        <v>#DIV/0!</v>
      </c>
      <c r="BV119" s="224">
        <f t="shared" si="69"/>
        <v>0</v>
      </c>
      <c r="BW119" s="224">
        <f t="shared" si="70"/>
        <v>0</v>
      </c>
      <c r="BX119" s="223" t="e">
        <f t="shared" si="71"/>
        <v>#DIV/0!</v>
      </c>
      <c r="BY119" s="223">
        <f t="shared" si="72"/>
        <v>0</v>
      </c>
      <c r="BZ119" s="223">
        <f t="shared" si="73"/>
        <v>0</v>
      </c>
      <c r="CA119" s="226"/>
      <c r="CB119" s="175"/>
      <c r="CC119" s="191"/>
      <c r="CD119" s="192"/>
      <c r="CE119" s="193" t="e">
        <f t="shared" si="92"/>
        <v>#DIV/0!</v>
      </c>
      <c r="CF119" s="191"/>
      <c r="CG119" s="192"/>
      <c r="CH119" s="193" t="e">
        <f t="shared" si="93"/>
        <v>#DIV/0!</v>
      </c>
      <c r="CI119" s="197"/>
      <c r="CJ119" s="198"/>
      <c r="CK119" s="193" t="e">
        <f t="shared" si="94"/>
        <v>#DIV/0!</v>
      </c>
      <c r="CL119" s="195">
        <f t="shared" si="95"/>
        <v>0</v>
      </c>
      <c r="CM119" s="194">
        <f t="shared" si="96"/>
        <v>0</v>
      </c>
      <c r="CN119" s="193" t="e">
        <f t="shared" si="97"/>
        <v>#DIV/0!</v>
      </c>
      <c r="CO119" s="175"/>
      <c r="CP119" s="196">
        <f t="shared" si="98"/>
        <v>0</v>
      </c>
      <c r="CQ119" s="196">
        <f t="shared" si="99"/>
        <v>0</v>
      </c>
      <c r="CR119" s="199" t="e">
        <f t="shared" si="100"/>
        <v>#DIV/0!</v>
      </c>
      <c r="CS119" s="261">
        <f t="shared" si="74"/>
        <v>1</v>
      </c>
      <c r="CT119" s="175"/>
      <c r="CU119" s="196">
        <f t="shared" si="75"/>
        <v>0.3</v>
      </c>
      <c r="CV119" s="259"/>
      <c r="CW119" s="199">
        <f t="shared" si="76"/>
        <v>0</v>
      </c>
      <c r="CX119" s="196">
        <f t="shared" si="77"/>
        <v>0.3</v>
      </c>
      <c r="CY119" s="259"/>
      <c r="CZ119" s="199">
        <f t="shared" si="78"/>
        <v>0</v>
      </c>
      <c r="DA119" s="196">
        <f t="shared" si="79"/>
        <v>0.3</v>
      </c>
      <c r="DB119" s="259"/>
      <c r="DC119" s="199">
        <f t="shared" si="80"/>
        <v>0</v>
      </c>
      <c r="DD119" s="196">
        <f t="shared" si="81"/>
        <v>0.1</v>
      </c>
      <c r="DE119" s="259"/>
      <c r="DF119" s="199">
        <f t="shared" si="82"/>
        <v>0</v>
      </c>
      <c r="DG119" s="175"/>
      <c r="DH119" s="196">
        <f t="shared" si="83"/>
        <v>1</v>
      </c>
      <c r="DI119" s="196">
        <f t="shared" si="84"/>
        <v>0</v>
      </c>
      <c r="DJ119" s="199">
        <f t="shared" si="85"/>
        <v>0</v>
      </c>
      <c r="DK119" s="265">
        <f t="shared" si="86"/>
        <v>1</v>
      </c>
      <c r="DL119" s="244">
        <v>115</v>
      </c>
      <c r="DM119">
        <f t="shared" si="101"/>
        <v>0</v>
      </c>
    </row>
    <row r="120" spans="1:117" x14ac:dyDescent="0.3">
      <c r="A120" s="246">
        <v>116</v>
      </c>
      <c r="B120" s="91" t="s">
        <v>270</v>
      </c>
      <c r="C120" s="91" t="s">
        <v>133</v>
      </c>
      <c r="D120" s="91" t="s">
        <v>119</v>
      </c>
      <c r="E120" s="91" t="s">
        <v>134</v>
      </c>
      <c r="F120" s="91" t="s">
        <v>459</v>
      </c>
      <c r="G120" s="87" t="s">
        <v>456</v>
      </c>
      <c r="H120" s="87" t="s">
        <v>376</v>
      </c>
      <c r="I120" s="87" t="s">
        <v>337</v>
      </c>
      <c r="J120" s="87" t="s">
        <v>337</v>
      </c>
      <c r="K120" s="85" t="s">
        <v>104</v>
      </c>
      <c r="L120" s="85" t="s">
        <v>105</v>
      </c>
      <c r="M120" s="87" t="s">
        <v>106</v>
      </c>
      <c r="N120" s="87" t="s">
        <v>380</v>
      </c>
      <c r="O120" s="87" t="s">
        <v>127</v>
      </c>
      <c r="P120" s="241" t="s">
        <v>460</v>
      </c>
      <c r="Q120" s="87" t="s">
        <v>129</v>
      </c>
      <c r="R120" s="130">
        <v>1</v>
      </c>
      <c r="S120" s="88" t="s">
        <v>111</v>
      </c>
      <c r="T120" s="81"/>
      <c r="U120" s="81"/>
      <c r="V120" s="25" t="e">
        <f t="shared" si="102"/>
        <v>#DIV/0!</v>
      </c>
      <c r="W120" s="81">
        <v>0</v>
      </c>
      <c r="X120" s="81"/>
      <c r="Y120" s="25" t="e">
        <f t="shared" si="1"/>
        <v>#DIV/0!</v>
      </c>
      <c r="Z120" s="81">
        <v>1</v>
      </c>
      <c r="AA120" s="81"/>
      <c r="AB120" s="25">
        <f t="shared" si="2"/>
        <v>0</v>
      </c>
      <c r="AC120" s="81">
        <v>0</v>
      </c>
      <c r="AD120" s="81"/>
      <c r="AE120" s="25" t="e">
        <f t="shared" si="3"/>
        <v>#DIV/0!</v>
      </c>
      <c r="AF120" s="137">
        <f t="shared" si="87"/>
        <v>1</v>
      </c>
      <c r="AG120" s="137">
        <f t="shared" si="88"/>
        <v>0</v>
      </c>
      <c r="AH120" s="128">
        <f t="shared" si="5"/>
        <v>0</v>
      </c>
      <c r="AI120" s="90">
        <v>46113</v>
      </c>
      <c r="AJ120" s="90">
        <v>46477</v>
      </c>
      <c r="AK120" s="91" t="s">
        <v>112</v>
      </c>
      <c r="AL120" s="91" t="s">
        <v>113</v>
      </c>
      <c r="AM120" s="92" t="s">
        <v>114</v>
      </c>
      <c r="AN120" s="93">
        <v>50000000</v>
      </c>
      <c r="AO120" s="93">
        <v>50000000</v>
      </c>
      <c r="AP120" s="93">
        <v>50000000</v>
      </c>
      <c r="AQ120" s="94">
        <v>0</v>
      </c>
      <c r="AR120" s="91" t="s">
        <v>461</v>
      </c>
      <c r="AS120" s="91" t="s">
        <v>112</v>
      </c>
      <c r="AT120" s="150" t="s">
        <v>449</v>
      </c>
      <c r="AU120" s="165" t="s">
        <v>2264</v>
      </c>
      <c r="AV120" s="232" t="s">
        <v>2234</v>
      </c>
      <c r="AW120" s="126" t="s">
        <v>2265</v>
      </c>
      <c r="BA120" s="255"/>
      <c r="BB120" s="256"/>
      <c r="BC120" s="223" t="e">
        <f t="shared" si="63"/>
        <v>#DIV/0!</v>
      </c>
      <c r="BD120" s="255"/>
      <c r="BE120" s="256"/>
      <c r="BF120" s="223" t="e">
        <f t="shared" si="64"/>
        <v>#DIV/0!</v>
      </c>
      <c r="BG120" s="255"/>
      <c r="BH120" s="256"/>
      <c r="BI120" s="223" t="e">
        <f t="shared" si="65"/>
        <v>#DIV/0!</v>
      </c>
      <c r="BJ120" s="224">
        <f t="shared" si="66"/>
        <v>0</v>
      </c>
      <c r="BK120" s="225">
        <f t="shared" si="67"/>
        <v>0</v>
      </c>
      <c r="BL120" s="223" t="e">
        <f t="shared" si="68"/>
        <v>#DIV/0!</v>
      </c>
      <c r="BM120" s="255"/>
      <c r="BN120" s="256"/>
      <c r="BO120" s="223" t="e">
        <f t="shared" si="89"/>
        <v>#DIV/0!</v>
      </c>
      <c r="BP120" s="255"/>
      <c r="BQ120" s="256"/>
      <c r="BR120" s="223" t="e">
        <f t="shared" si="90"/>
        <v>#DIV/0!</v>
      </c>
      <c r="BS120" s="255"/>
      <c r="BT120" s="255"/>
      <c r="BU120" s="223" t="e">
        <f t="shared" si="91"/>
        <v>#DIV/0!</v>
      </c>
      <c r="BV120" s="224">
        <f t="shared" si="69"/>
        <v>0</v>
      </c>
      <c r="BW120" s="224">
        <f t="shared" si="70"/>
        <v>0</v>
      </c>
      <c r="BX120" s="223" t="e">
        <f t="shared" si="71"/>
        <v>#DIV/0!</v>
      </c>
      <c r="BY120" s="223">
        <f t="shared" si="72"/>
        <v>0</v>
      </c>
      <c r="BZ120" s="223">
        <f t="shared" si="73"/>
        <v>0</v>
      </c>
      <c r="CA120" s="226"/>
      <c r="CB120" s="175"/>
      <c r="CC120" s="191"/>
      <c r="CD120" s="192"/>
      <c r="CE120" s="193" t="e">
        <f t="shared" si="92"/>
        <v>#DIV/0!</v>
      </c>
      <c r="CF120" s="191"/>
      <c r="CG120" s="192"/>
      <c r="CH120" s="193" t="e">
        <f t="shared" si="93"/>
        <v>#DIV/0!</v>
      </c>
      <c r="CI120" s="197"/>
      <c r="CJ120" s="198"/>
      <c r="CK120" s="193" t="e">
        <f t="shared" si="94"/>
        <v>#DIV/0!</v>
      </c>
      <c r="CL120" s="195">
        <f t="shared" si="95"/>
        <v>0</v>
      </c>
      <c r="CM120" s="194">
        <f t="shared" si="96"/>
        <v>0</v>
      </c>
      <c r="CN120" s="193" t="e">
        <f t="shared" si="97"/>
        <v>#DIV/0!</v>
      </c>
      <c r="CO120" s="175"/>
      <c r="CP120" s="196">
        <f t="shared" si="98"/>
        <v>0</v>
      </c>
      <c r="CQ120" s="196">
        <f t="shared" si="99"/>
        <v>0</v>
      </c>
      <c r="CR120" s="199" t="e">
        <f t="shared" si="100"/>
        <v>#DIV/0!</v>
      </c>
      <c r="CS120" s="261">
        <f t="shared" si="74"/>
        <v>1</v>
      </c>
      <c r="CT120" s="175"/>
      <c r="CU120" s="196">
        <f t="shared" si="75"/>
        <v>0.3</v>
      </c>
      <c r="CV120" s="259"/>
      <c r="CW120" s="199">
        <f t="shared" si="76"/>
        <v>0</v>
      </c>
      <c r="CX120" s="196">
        <f t="shared" si="77"/>
        <v>0.3</v>
      </c>
      <c r="CY120" s="259"/>
      <c r="CZ120" s="199">
        <f t="shared" si="78"/>
        <v>0</v>
      </c>
      <c r="DA120" s="196">
        <f t="shared" si="79"/>
        <v>0.3</v>
      </c>
      <c r="DB120" s="259"/>
      <c r="DC120" s="199">
        <f t="shared" si="80"/>
        <v>0</v>
      </c>
      <c r="DD120" s="196">
        <f t="shared" si="81"/>
        <v>0.1</v>
      </c>
      <c r="DE120" s="259"/>
      <c r="DF120" s="199">
        <f t="shared" si="82"/>
        <v>0</v>
      </c>
      <c r="DG120" s="175"/>
      <c r="DH120" s="196">
        <f t="shared" si="83"/>
        <v>1</v>
      </c>
      <c r="DI120" s="196">
        <f t="shared" si="84"/>
        <v>0</v>
      </c>
      <c r="DJ120" s="199">
        <f t="shared" si="85"/>
        <v>0</v>
      </c>
      <c r="DK120" s="265">
        <f t="shared" si="86"/>
        <v>1</v>
      </c>
      <c r="DL120" s="244">
        <v>116</v>
      </c>
      <c r="DM120">
        <f t="shared" si="101"/>
        <v>0</v>
      </c>
    </row>
    <row r="121" spans="1:117" x14ac:dyDescent="0.3">
      <c r="A121" s="246">
        <v>117</v>
      </c>
      <c r="B121" s="91" t="s">
        <v>270</v>
      </c>
      <c r="C121" s="91" t="s">
        <v>118</v>
      </c>
      <c r="D121" s="91" t="s">
        <v>119</v>
      </c>
      <c r="E121" s="91" t="s">
        <v>120</v>
      </c>
      <c r="F121" s="91" t="s">
        <v>462</v>
      </c>
      <c r="G121" s="87" t="s">
        <v>456</v>
      </c>
      <c r="H121" s="87" t="s">
        <v>376</v>
      </c>
      <c r="I121" s="87" t="s">
        <v>451</v>
      </c>
      <c r="J121" s="87" t="s">
        <v>451</v>
      </c>
      <c r="K121" s="85" t="s">
        <v>104</v>
      </c>
      <c r="L121" s="85" t="s">
        <v>105</v>
      </c>
      <c r="M121" s="87" t="s">
        <v>106</v>
      </c>
      <c r="N121" s="87" t="s">
        <v>380</v>
      </c>
      <c r="O121" s="87" t="s">
        <v>127</v>
      </c>
      <c r="P121" s="87" t="s">
        <v>463</v>
      </c>
      <c r="Q121" s="87" t="s">
        <v>129</v>
      </c>
      <c r="R121" s="130">
        <v>4</v>
      </c>
      <c r="S121" s="88" t="s">
        <v>111</v>
      </c>
      <c r="T121" s="81">
        <v>0</v>
      </c>
      <c r="U121" s="81">
        <v>0</v>
      </c>
      <c r="V121" s="25" t="e">
        <f t="shared" si="102"/>
        <v>#DIV/0!</v>
      </c>
      <c r="W121" s="81">
        <v>1</v>
      </c>
      <c r="X121" s="81"/>
      <c r="Y121" s="25">
        <f t="shared" si="1"/>
        <v>0</v>
      </c>
      <c r="Z121" s="81">
        <v>1</v>
      </c>
      <c r="AA121" s="81"/>
      <c r="AB121" s="25">
        <f t="shared" si="2"/>
        <v>0</v>
      </c>
      <c r="AC121" s="81">
        <v>2</v>
      </c>
      <c r="AD121" s="81"/>
      <c r="AE121" s="25">
        <f t="shared" si="3"/>
        <v>0</v>
      </c>
      <c r="AF121" s="137">
        <f t="shared" si="87"/>
        <v>4</v>
      </c>
      <c r="AG121" s="137">
        <f t="shared" si="88"/>
        <v>0</v>
      </c>
      <c r="AH121" s="128" t="e">
        <f t="shared" si="5"/>
        <v>#DIV/0!</v>
      </c>
      <c r="AI121" s="90">
        <v>46113</v>
      </c>
      <c r="AJ121" s="90">
        <v>46477</v>
      </c>
      <c r="AK121" s="91" t="s">
        <v>112</v>
      </c>
      <c r="AL121" s="91" t="s">
        <v>113</v>
      </c>
      <c r="AM121" s="92" t="s">
        <v>114</v>
      </c>
      <c r="AN121" s="93"/>
      <c r="AO121" s="93"/>
      <c r="AP121" s="93"/>
      <c r="AQ121" s="94"/>
      <c r="AR121" s="91" t="s">
        <v>464</v>
      </c>
      <c r="AS121" s="91" t="s">
        <v>112</v>
      </c>
      <c r="AT121" s="150" t="s">
        <v>449</v>
      </c>
      <c r="AU121" s="165" t="s">
        <v>2264</v>
      </c>
      <c r="AV121" s="232" t="s">
        <v>2234</v>
      </c>
      <c r="AW121" s="126" t="s">
        <v>2265</v>
      </c>
      <c r="BA121" s="255"/>
      <c r="BB121" s="256"/>
      <c r="BC121" s="223" t="e">
        <f t="shared" si="63"/>
        <v>#DIV/0!</v>
      </c>
      <c r="BD121" s="255"/>
      <c r="BE121" s="256"/>
      <c r="BF121" s="223" t="e">
        <f t="shared" si="64"/>
        <v>#DIV/0!</v>
      </c>
      <c r="BG121" s="255"/>
      <c r="BH121" s="256"/>
      <c r="BI121" s="223" t="e">
        <f t="shared" si="65"/>
        <v>#DIV/0!</v>
      </c>
      <c r="BJ121" s="224">
        <f t="shared" si="66"/>
        <v>0</v>
      </c>
      <c r="BK121" s="225">
        <f t="shared" si="67"/>
        <v>0</v>
      </c>
      <c r="BL121" s="223" t="e">
        <f t="shared" si="68"/>
        <v>#DIV/0!</v>
      </c>
      <c r="BM121" s="255"/>
      <c r="BN121" s="256"/>
      <c r="BO121" s="223" t="e">
        <f t="shared" si="89"/>
        <v>#DIV/0!</v>
      </c>
      <c r="BP121" s="255"/>
      <c r="BQ121" s="256"/>
      <c r="BR121" s="223" t="e">
        <f t="shared" si="90"/>
        <v>#DIV/0!</v>
      </c>
      <c r="BS121" s="255"/>
      <c r="BT121" s="255"/>
      <c r="BU121" s="223" t="e">
        <f t="shared" si="91"/>
        <v>#DIV/0!</v>
      </c>
      <c r="BV121" s="224">
        <f t="shared" si="69"/>
        <v>0</v>
      </c>
      <c r="BW121" s="224">
        <f t="shared" si="70"/>
        <v>0</v>
      </c>
      <c r="BX121" s="223" t="e">
        <f t="shared" si="71"/>
        <v>#DIV/0!</v>
      </c>
      <c r="BY121" s="223">
        <f t="shared" si="72"/>
        <v>0</v>
      </c>
      <c r="BZ121" s="223">
        <f t="shared" si="73"/>
        <v>0</v>
      </c>
      <c r="CA121" s="226"/>
      <c r="CB121" s="175"/>
      <c r="CC121" s="191"/>
      <c r="CD121" s="192"/>
      <c r="CE121" s="193" t="e">
        <f t="shared" si="92"/>
        <v>#DIV/0!</v>
      </c>
      <c r="CF121" s="191"/>
      <c r="CG121" s="192"/>
      <c r="CH121" s="193" t="e">
        <f t="shared" si="93"/>
        <v>#DIV/0!</v>
      </c>
      <c r="CI121" s="197"/>
      <c r="CJ121" s="198"/>
      <c r="CK121" s="193" t="e">
        <f t="shared" si="94"/>
        <v>#DIV/0!</v>
      </c>
      <c r="CL121" s="195">
        <f t="shared" si="95"/>
        <v>0</v>
      </c>
      <c r="CM121" s="194">
        <f t="shared" si="96"/>
        <v>0</v>
      </c>
      <c r="CN121" s="193" t="e">
        <f t="shared" si="97"/>
        <v>#DIV/0!</v>
      </c>
      <c r="CO121" s="175"/>
      <c r="CP121" s="196">
        <f t="shared" si="98"/>
        <v>0</v>
      </c>
      <c r="CQ121" s="196">
        <f t="shared" si="99"/>
        <v>0</v>
      </c>
      <c r="CR121" s="199" t="e">
        <f t="shared" si="100"/>
        <v>#DIV/0!</v>
      </c>
      <c r="CS121" s="261">
        <f t="shared" si="74"/>
        <v>4</v>
      </c>
      <c r="CT121" s="175"/>
      <c r="CU121" s="196">
        <f t="shared" si="75"/>
        <v>1.2</v>
      </c>
      <c r="CV121" s="259"/>
      <c r="CW121" s="199">
        <f t="shared" si="76"/>
        <v>0</v>
      </c>
      <c r="CX121" s="196">
        <f t="shared" si="77"/>
        <v>1.2</v>
      </c>
      <c r="CY121" s="259"/>
      <c r="CZ121" s="199">
        <f t="shared" si="78"/>
        <v>0</v>
      </c>
      <c r="DA121" s="196">
        <f t="shared" si="79"/>
        <v>1.2</v>
      </c>
      <c r="DB121" s="259"/>
      <c r="DC121" s="199">
        <f t="shared" si="80"/>
        <v>0</v>
      </c>
      <c r="DD121" s="196">
        <f t="shared" si="81"/>
        <v>0.4</v>
      </c>
      <c r="DE121" s="259"/>
      <c r="DF121" s="199">
        <f t="shared" si="82"/>
        <v>0</v>
      </c>
      <c r="DG121" s="175"/>
      <c r="DH121" s="196">
        <f t="shared" si="83"/>
        <v>4</v>
      </c>
      <c r="DI121" s="196">
        <f t="shared" si="84"/>
        <v>0</v>
      </c>
      <c r="DJ121" s="199">
        <f t="shared" si="85"/>
        <v>0</v>
      </c>
      <c r="DK121" s="265">
        <f t="shared" si="86"/>
        <v>4</v>
      </c>
      <c r="DL121" s="244">
        <v>117</v>
      </c>
      <c r="DM121">
        <f t="shared" si="101"/>
        <v>0</v>
      </c>
    </row>
    <row r="122" spans="1:117" x14ac:dyDescent="0.3">
      <c r="A122" s="246">
        <v>118</v>
      </c>
      <c r="B122" s="91" t="s">
        <v>270</v>
      </c>
      <c r="C122" s="91" t="s">
        <v>133</v>
      </c>
      <c r="D122" s="91" t="s">
        <v>119</v>
      </c>
      <c r="E122" s="91" t="s">
        <v>465</v>
      </c>
      <c r="F122" s="91" t="s">
        <v>466</v>
      </c>
      <c r="G122" s="87" t="s">
        <v>456</v>
      </c>
      <c r="H122" s="87" t="s">
        <v>376</v>
      </c>
      <c r="I122" s="87" t="s">
        <v>467</v>
      </c>
      <c r="J122" s="87" t="s">
        <v>467</v>
      </c>
      <c r="K122" s="85" t="s">
        <v>104</v>
      </c>
      <c r="L122" s="85" t="s">
        <v>105</v>
      </c>
      <c r="M122" s="87" t="s">
        <v>106</v>
      </c>
      <c r="N122" s="87" t="s">
        <v>468</v>
      </c>
      <c r="O122" s="87" t="s">
        <v>469</v>
      </c>
      <c r="P122" s="241" t="s">
        <v>470</v>
      </c>
      <c r="Q122" s="87" t="s">
        <v>129</v>
      </c>
      <c r="R122" s="130">
        <v>1</v>
      </c>
      <c r="S122" s="88" t="s">
        <v>111</v>
      </c>
      <c r="T122" s="81">
        <v>0</v>
      </c>
      <c r="U122" s="81">
        <v>0</v>
      </c>
      <c r="V122" s="25" t="e">
        <f t="shared" si="102"/>
        <v>#DIV/0!</v>
      </c>
      <c r="W122" s="81">
        <v>0</v>
      </c>
      <c r="X122" s="81"/>
      <c r="Y122" s="25" t="e">
        <f t="shared" si="1"/>
        <v>#DIV/0!</v>
      </c>
      <c r="Z122" s="81">
        <v>1</v>
      </c>
      <c r="AA122" s="81"/>
      <c r="AB122" s="25">
        <f t="shared" si="2"/>
        <v>0</v>
      </c>
      <c r="AC122" s="81">
        <v>0</v>
      </c>
      <c r="AD122" s="81"/>
      <c r="AE122" s="25" t="e">
        <f t="shared" si="3"/>
        <v>#DIV/0!</v>
      </c>
      <c r="AF122" s="137">
        <f t="shared" si="87"/>
        <v>1</v>
      </c>
      <c r="AG122" s="137">
        <f t="shared" si="88"/>
        <v>0</v>
      </c>
      <c r="AH122" s="128" t="e">
        <f t="shared" si="5"/>
        <v>#DIV/0!</v>
      </c>
      <c r="AI122" s="90">
        <v>46113</v>
      </c>
      <c r="AJ122" s="90">
        <v>46477</v>
      </c>
      <c r="AK122" s="91" t="s">
        <v>112</v>
      </c>
      <c r="AL122" s="91" t="s">
        <v>113</v>
      </c>
      <c r="AM122" s="92" t="s">
        <v>114</v>
      </c>
      <c r="AN122" s="93">
        <v>20000000</v>
      </c>
      <c r="AO122" s="93">
        <v>20000000</v>
      </c>
      <c r="AP122" s="93">
        <v>20000000</v>
      </c>
      <c r="AQ122" s="94">
        <v>0</v>
      </c>
      <c r="AR122" s="91" t="s">
        <v>207</v>
      </c>
      <c r="AS122" s="91" t="s">
        <v>112</v>
      </c>
      <c r="AT122" s="150" t="s">
        <v>471</v>
      </c>
      <c r="AU122" s="166" t="s">
        <v>2264</v>
      </c>
      <c r="AV122" s="232" t="s">
        <v>2234</v>
      </c>
      <c r="BA122" s="255"/>
      <c r="BB122" s="256"/>
      <c r="BC122" s="223" t="e">
        <f t="shared" si="63"/>
        <v>#DIV/0!</v>
      </c>
      <c r="BD122" s="255"/>
      <c r="BE122" s="256"/>
      <c r="BF122" s="223" t="e">
        <f t="shared" si="64"/>
        <v>#DIV/0!</v>
      </c>
      <c r="BG122" s="255"/>
      <c r="BH122" s="256"/>
      <c r="BI122" s="223" t="e">
        <f t="shared" si="65"/>
        <v>#DIV/0!</v>
      </c>
      <c r="BJ122" s="224">
        <f t="shared" si="66"/>
        <v>0</v>
      </c>
      <c r="BK122" s="225">
        <f t="shared" si="67"/>
        <v>0</v>
      </c>
      <c r="BL122" s="223" t="e">
        <f t="shared" si="68"/>
        <v>#DIV/0!</v>
      </c>
      <c r="BM122" s="255"/>
      <c r="BN122" s="256"/>
      <c r="BO122" s="223" t="e">
        <f t="shared" si="89"/>
        <v>#DIV/0!</v>
      </c>
      <c r="BP122" s="255"/>
      <c r="BQ122" s="256"/>
      <c r="BR122" s="223" t="e">
        <f t="shared" si="90"/>
        <v>#DIV/0!</v>
      </c>
      <c r="BS122" s="255"/>
      <c r="BT122" s="255"/>
      <c r="BU122" s="223" t="e">
        <f t="shared" si="91"/>
        <v>#DIV/0!</v>
      </c>
      <c r="BV122" s="224">
        <f t="shared" si="69"/>
        <v>0</v>
      </c>
      <c r="BW122" s="224">
        <f t="shared" si="70"/>
        <v>0</v>
      </c>
      <c r="BX122" s="223" t="e">
        <f t="shared" si="71"/>
        <v>#DIV/0!</v>
      </c>
      <c r="BY122" s="223">
        <f t="shared" si="72"/>
        <v>0</v>
      </c>
      <c r="BZ122" s="223">
        <f t="shared" si="73"/>
        <v>0</v>
      </c>
      <c r="CA122" s="226"/>
      <c r="CB122" s="175"/>
      <c r="CC122" s="191"/>
      <c r="CD122" s="192"/>
      <c r="CE122" s="193" t="e">
        <f t="shared" si="92"/>
        <v>#DIV/0!</v>
      </c>
      <c r="CF122" s="191"/>
      <c r="CG122" s="192"/>
      <c r="CH122" s="193" t="e">
        <f t="shared" si="93"/>
        <v>#DIV/0!</v>
      </c>
      <c r="CI122" s="197"/>
      <c r="CJ122" s="198"/>
      <c r="CK122" s="193" t="e">
        <f t="shared" si="94"/>
        <v>#DIV/0!</v>
      </c>
      <c r="CL122" s="195">
        <f t="shared" si="95"/>
        <v>0</v>
      </c>
      <c r="CM122" s="194">
        <f t="shared" si="96"/>
        <v>0</v>
      </c>
      <c r="CN122" s="193" t="e">
        <f t="shared" si="97"/>
        <v>#DIV/0!</v>
      </c>
      <c r="CO122" s="175"/>
      <c r="CP122" s="196">
        <f t="shared" si="98"/>
        <v>0</v>
      </c>
      <c r="CQ122" s="196">
        <f t="shared" si="99"/>
        <v>0</v>
      </c>
      <c r="CR122" s="199" t="e">
        <f t="shared" si="100"/>
        <v>#DIV/0!</v>
      </c>
      <c r="CS122" s="261">
        <f t="shared" si="74"/>
        <v>1</v>
      </c>
      <c r="CT122" s="175"/>
      <c r="CU122" s="196">
        <f t="shared" si="75"/>
        <v>0.3</v>
      </c>
      <c r="CV122" s="259"/>
      <c r="CW122" s="199">
        <f t="shared" si="76"/>
        <v>0</v>
      </c>
      <c r="CX122" s="196">
        <f t="shared" si="77"/>
        <v>0.3</v>
      </c>
      <c r="CY122" s="259"/>
      <c r="CZ122" s="199">
        <f t="shared" si="78"/>
        <v>0</v>
      </c>
      <c r="DA122" s="196">
        <f t="shared" si="79"/>
        <v>0.3</v>
      </c>
      <c r="DB122" s="259"/>
      <c r="DC122" s="199">
        <f t="shared" si="80"/>
        <v>0</v>
      </c>
      <c r="DD122" s="196">
        <f t="shared" si="81"/>
        <v>0.1</v>
      </c>
      <c r="DE122" s="259"/>
      <c r="DF122" s="199">
        <f t="shared" si="82"/>
        <v>0</v>
      </c>
      <c r="DG122" s="175"/>
      <c r="DH122" s="196">
        <f t="shared" si="83"/>
        <v>1</v>
      </c>
      <c r="DI122" s="196">
        <f t="shared" si="84"/>
        <v>0</v>
      </c>
      <c r="DJ122" s="199">
        <f t="shared" si="85"/>
        <v>0</v>
      </c>
      <c r="DK122" s="265">
        <f t="shared" si="86"/>
        <v>1</v>
      </c>
      <c r="DL122" s="244">
        <v>118</v>
      </c>
      <c r="DM122">
        <f t="shared" si="101"/>
        <v>0</v>
      </c>
    </row>
    <row r="123" spans="1:117" x14ac:dyDescent="0.3">
      <c r="A123" s="246">
        <v>119</v>
      </c>
      <c r="B123" s="91" t="s">
        <v>270</v>
      </c>
      <c r="C123" s="91" t="s">
        <v>97</v>
      </c>
      <c r="D123" s="91" t="s">
        <v>98</v>
      </c>
      <c r="E123" s="91" t="s">
        <v>99</v>
      </c>
      <c r="F123" s="91" t="s">
        <v>240</v>
      </c>
      <c r="G123" s="87" t="s">
        <v>450</v>
      </c>
      <c r="H123" s="87" t="s">
        <v>376</v>
      </c>
      <c r="I123" s="87" t="s">
        <v>413</v>
      </c>
      <c r="J123" s="87" t="s">
        <v>472</v>
      </c>
      <c r="K123" s="85" t="s">
        <v>104</v>
      </c>
      <c r="L123" s="85" t="s">
        <v>424</v>
      </c>
      <c r="M123" s="87" t="s">
        <v>106</v>
      </c>
      <c r="N123" s="87" t="s">
        <v>380</v>
      </c>
      <c r="O123" s="87" t="s">
        <v>108</v>
      </c>
      <c r="P123" s="87" t="s">
        <v>473</v>
      </c>
      <c r="Q123" s="87" t="s">
        <v>110</v>
      </c>
      <c r="R123" s="130">
        <v>29</v>
      </c>
      <c r="S123" s="88" t="s">
        <v>111</v>
      </c>
      <c r="T123" s="81">
        <v>0</v>
      </c>
      <c r="U123" s="81">
        <v>0</v>
      </c>
      <c r="V123" s="25" t="e">
        <f t="shared" si="102"/>
        <v>#DIV/0!</v>
      </c>
      <c r="W123" s="81">
        <v>10</v>
      </c>
      <c r="X123" s="81"/>
      <c r="Y123" s="25">
        <f t="shared" si="1"/>
        <v>0</v>
      </c>
      <c r="Z123" s="81">
        <v>10</v>
      </c>
      <c r="AA123" s="81"/>
      <c r="AB123" s="25">
        <f t="shared" si="2"/>
        <v>0</v>
      </c>
      <c r="AC123" s="81">
        <v>9</v>
      </c>
      <c r="AD123" s="81"/>
      <c r="AE123" s="25">
        <f t="shared" si="3"/>
        <v>0</v>
      </c>
      <c r="AF123" s="137">
        <f t="shared" si="87"/>
        <v>29</v>
      </c>
      <c r="AG123" s="137">
        <f t="shared" si="88"/>
        <v>0</v>
      </c>
      <c r="AH123" s="128" t="e">
        <f t="shared" si="5"/>
        <v>#DIV/0!</v>
      </c>
      <c r="AI123" s="90">
        <v>46113</v>
      </c>
      <c r="AJ123" s="90">
        <v>46477</v>
      </c>
      <c r="AK123" s="91" t="s">
        <v>112</v>
      </c>
      <c r="AL123" s="91" t="s">
        <v>113</v>
      </c>
      <c r="AM123" s="92" t="s">
        <v>114</v>
      </c>
      <c r="AN123" s="93">
        <v>50000000</v>
      </c>
      <c r="AO123" s="93">
        <v>50000000</v>
      </c>
      <c r="AP123" s="93">
        <v>50000000</v>
      </c>
      <c r="AQ123" s="94">
        <v>0</v>
      </c>
      <c r="AR123" s="91" t="s">
        <v>159</v>
      </c>
      <c r="AS123" s="91" t="s">
        <v>112</v>
      </c>
      <c r="AT123" s="150" t="s">
        <v>449</v>
      </c>
      <c r="AU123" s="165" t="s">
        <v>2264</v>
      </c>
      <c r="AV123" s="232" t="s">
        <v>2234</v>
      </c>
      <c r="AW123" s="126" t="s">
        <v>2265</v>
      </c>
      <c r="BA123" s="255"/>
      <c r="BB123" s="256"/>
      <c r="BC123" s="223" t="e">
        <f t="shared" si="63"/>
        <v>#DIV/0!</v>
      </c>
      <c r="BD123" s="255"/>
      <c r="BE123" s="256"/>
      <c r="BF123" s="223" t="e">
        <f t="shared" si="64"/>
        <v>#DIV/0!</v>
      </c>
      <c r="BG123" s="255"/>
      <c r="BH123" s="256"/>
      <c r="BI123" s="223" t="e">
        <f t="shared" si="65"/>
        <v>#DIV/0!</v>
      </c>
      <c r="BJ123" s="224">
        <f t="shared" si="66"/>
        <v>0</v>
      </c>
      <c r="BK123" s="225">
        <f t="shared" si="67"/>
        <v>0</v>
      </c>
      <c r="BL123" s="223" t="e">
        <f t="shared" si="68"/>
        <v>#DIV/0!</v>
      </c>
      <c r="BM123" s="255"/>
      <c r="BN123" s="256"/>
      <c r="BO123" s="223" t="e">
        <f t="shared" si="89"/>
        <v>#DIV/0!</v>
      </c>
      <c r="BP123" s="255"/>
      <c r="BQ123" s="256"/>
      <c r="BR123" s="223" t="e">
        <f t="shared" si="90"/>
        <v>#DIV/0!</v>
      </c>
      <c r="BS123" s="255"/>
      <c r="BT123" s="255"/>
      <c r="BU123" s="223" t="e">
        <f t="shared" si="91"/>
        <v>#DIV/0!</v>
      </c>
      <c r="BV123" s="224">
        <f t="shared" si="69"/>
        <v>0</v>
      </c>
      <c r="BW123" s="224">
        <f t="shared" si="70"/>
        <v>0</v>
      </c>
      <c r="BX123" s="223" t="e">
        <f t="shared" si="71"/>
        <v>#DIV/0!</v>
      </c>
      <c r="BY123" s="223">
        <f t="shared" si="72"/>
        <v>0</v>
      </c>
      <c r="BZ123" s="223">
        <f t="shared" si="73"/>
        <v>0</v>
      </c>
      <c r="CA123" s="226"/>
      <c r="CB123" s="175"/>
      <c r="CC123" s="191"/>
      <c r="CD123" s="192"/>
      <c r="CE123" s="193" t="e">
        <f t="shared" si="92"/>
        <v>#DIV/0!</v>
      </c>
      <c r="CF123" s="191"/>
      <c r="CG123" s="192"/>
      <c r="CH123" s="193" t="e">
        <f t="shared" si="93"/>
        <v>#DIV/0!</v>
      </c>
      <c r="CI123" s="197"/>
      <c r="CJ123" s="198"/>
      <c r="CK123" s="193" t="e">
        <f t="shared" si="94"/>
        <v>#DIV/0!</v>
      </c>
      <c r="CL123" s="195">
        <f t="shared" si="95"/>
        <v>0</v>
      </c>
      <c r="CM123" s="194">
        <f t="shared" si="96"/>
        <v>0</v>
      </c>
      <c r="CN123" s="193" t="e">
        <f t="shared" si="97"/>
        <v>#DIV/0!</v>
      </c>
      <c r="CO123" s="175"/>
      <c r="CP123" s="196">
        <f t="shared" si="98"/>
        <v>0</v>
      </c>
      <c r="CQ123" s="196">
        <f t="shared" si="99"/>
        <v>0</v>
      </c>
      <c r="CR123" s="199" t="e">
        <f t="shared" si="100"/>
        <v>#DIV/0!</v>
      </c>
      <c r="CS123" s="261">
        <f t="shared" si="74"/>
        <v>29</v>
      </c>
      <c r="CT123" s="175"/>
      <c r="CU123" s="196">
        <f t="shared" si="75"/>
        <v>8.6999999999999993</v>
      </c>
      <c r="CV123" s="259"/>
      <c r="CW123" s="199">
        <f t="shared" si="76"/>
        <v>0</v>
      </c>
      <c r="CX123" s="196">
        <f t="shared" si="77"/>
        <v>8.6999999999999993</v>
      </c>
      <c r="CY123" s="259"/>
      <c r="CZ123" s="199">
        <f t="shared" si="78"/>
        <v>0</v>
      </c>
      <c r="DA123" s="196">
        <f t="shared" si="79"/>
        <v>8.6999999999999993</v>
      </c>
      <c r="DB123" s="259"/>
      <c r="DC123" s="199">
        <f t="shared" si="80"/>
        <v>0</v>
      </c>
      <c r="DD123" s="196">
        <f t="shared" si="81"/>
        <v>2.9000000000000004</v>
      </c>
      <c r="DE123" s="259"/>
      <c r="DF123" s="199">
        <f t="shared" si="82"/>
        <v>0</v>
      </c>
      <c r="DG123" s="175"/>
      <c r="DH123" s="196">
        <f t="shared" si="83"/>
        <v>29</v>
      </c>
      <c r="DI123" s="196">
        <f t="shared" si="84"/>
        <v>0</v>
      </c>
      <c r="DJ123" s="199">
        <f t="shared" si="85"/>
        <v>0</v>
      </c>
      <c r="DK123" s="265">
        <f t="shared" si="86"/>
        <v>29</v>
      </c>
      <c r="DL123" s="244">
        <v>119</v>
      </c>
      <c r="DM123">
        <f t="shared" si="101"/>
        <v>0</v>
      </c>
    </row>
    <row r="124" spans="1:117" x14ac:dyDescent="0.3">
      <c r="A124" s="246">
        <v>120</v>
      </c>
      <c r="B124" s="91" t="s">
        <v>270</v>
      </c>
      <c r="C124" s="91" t="s">
        <v>97</v>
      </c>
      <c r="D124" s="91" t="s">
        <v>98</v>
      </c>
      <c r="E124" s="91" t="s">
        <v>99</v>
      </c>
      <c r="F124" s="91" t="s">
        <v>422</v>
      </c>
      <c r="G124" s="87" t="s">
        <v>429</v>
      </c>
      <c r="H124" s="87" t="s">
        <v>430</v>
      </c>
      <c r="I124" s="87" t="s">
        <v>474</v>
      </c>
      <c r="J124" s="87" t="s">
        <v>474</v>
      </c>
      <c r="K124" s="85" t="s">
        <v>183</v>
      </c>
      <c r="L124" s="85" t="s">
        <v>424</v>
      </c>
      <c r="M124" s="87" t="s">
        <v>106</v>
      </c>
      <c r="N124" s="87" t="s">
        <v>107</v>
      </c>
      <c r="O124" s="87" t="s">
        <v>108</v>
      </c>
      <c r="P124" s="87" t="s">
        <v>475</v>
      </c>
      <c r="Q124" s="87" t="s">
        <v>110</v>
      </c>
      <c r="R124" s="130">
        <v>29</v>
      </c>
      <c r="S124" s="88" t="s">
        <v>111</v>
      </c>
      <c r="T124" s="81">
        <v>0</v>
      </c>
      <c r="U124" s="81">
        <v>0</v>
      </c>
      <c r="V124" s="25" t="e">
        <f t="shared" si="102"/>
        <v>#DIV/0!</v>
      </c>
      <c r="W124" s="81">
        <v>10</v>
      </c>
      <c r="X124" s="81"/>
      <c r="Y124" s="25">
        <f t="shared" si="1"/>
        <v>0</v>
      </c>
      <c r="Z124" s="81">
        <v>10</v>
      </c>
      <c r="AA124" s="81"/>
      <c r="AB124" s="25">
        <f t="shared" si="2"/>
        <v>0</v>
      </c>
      <c r="AC124" s="81">
        <v>9</v>
      </c>
      <c r="AD124" s="81"/>
      <c r="AE124" s="25">
        <f t="shared" si="3"/>
        <v>0</v>
      </c>
      <c r="AF124" s="137">
        <f t="shared" si="87"/>
        <v>29</v>
      </c>
      <c r="AG124" s="137">
        <f t="shared" si="88"/>
        <v>0</v>
      </c>
      <c r="AH124" s="128" t="e">
        <f t="shared" si="5"/>
        <v>#DIV/0!</v>
      </c>
      <c r="AI124" s="90">
        <v>46113</v>
      </c>
      <c r="AJ124" s="90">
        <v>46477</v>
      </c>
      <c r="AK124" s="91" t="s">
        <v>112</v>
      </c>
      <c r="AL124" s="91" t="s">
        <v>113</v>
      </c>
      <c r="AM124" s="92" t="s">
        <v>114</v>
      </c>
      <c r="AN124" s="93">
        <v>120000000</v>
      </c>
      <c r="AO124" s="93">
        <v>120000000</v>
      </c>
      <c r="AP124" s="93">
        <v>120000000</v>
      </c>
      <c r="AQ124" s="94">
        <v>0</v>
      </c>
      <c r="AR124" s="91" t="s">
        <v>159</v>
      </c>
      <c r="AS124" s="91" t="s">
        <v>112</v>
      </c>
      <c r="AT124" s="150" t="s">
        <v>449</v>
      </c>
      <c r="AU124" s="165" t="s">
        <v>2264</v>
      </c>
      <c r="AV124" s="232" t="s">
        <v>2234</v>
      </c>
      <c r="AW124" s="126" t="s">
        <v>2265</v>
      </c>
      <c r="BA124" s="255">
        <v>0</v>
      </c>
      <c r="BB124" s="256">
        <v>0</v>
      </c>
      <c r="BC124" s="223" t="e">
        <f t="shared" si="63"/>
        <v>#DIV/0!</v>
      </c>
      <c r="BD124" s="255">
        <v>0</v>
      </c>
      <c r="BE124" s="256">
        <v>0</v>
      </c>
      <c r="BF124" s="223" t="e">
        <f t="shared" si="64"/>
        <v>#DIV/0!</v>
      </c>
      <c r="BG124" s="255">
        <v>29</v>
      </c>
      <c r="BH124" s="256">
        <v>1</v>
      </c>
      <c r="BI124" s="223">
        <f t="shared" si="65"/>
        <v>3.4482758620689655E-2</v>
      </c>
      <c r="BJ124" s="224">
        <f t="shared" si="66"/>
        <v>29</v>
      </c>
      <c r="BK124" s="225">
        <f t="shared" si="67"/>
        <v>1</v>
      </c>
      <c r="BL124" s="223">
        <f t="shared" si="68"/>
        <v>3.4482758620689655E-2</v>
      </c>
      <c r="BM124" s="255"/>
      <c r="BN124" s="256"/>
      <c r="BO124" s="223" t="e">
        <f t="shared" si="89"/>
        <v>#DIV/0!</v>
      </c>
      <c r="BP124" s="255">
        <v>29</v>
      </c>
      <c r="BQ124" s="256">
        <v>2</v>
      </c>
      <c r="BR124" s="223">
        <f t="shared" si="90"/>
        <v>6.8965517241379309E-2</v>
      </c>
      <c r="BS124" s="255"/>
      <c r="BT124" s="255"/>
      <c r="BU124" s="223" t="e">
        <f t="shared" si="91"/>
        <v>#DIV/0!</v>
      </c>
      <c r="BV124" s="224">
        <f t="shared" si="69"/>
        <v>29</v>
      </c>
      <c r="BW124" s="224">
        <f t="shared" si="70"/>
        <v>2</v>
      </c>
      <c r="BX124" s="223">
        <f t="shared" si="71"/>
        <v>6.8965517241379309E-2</v>
      </c>
      <c r="BY124" s="223">
        <f t="shared" si="72"/>
        <v>0.10344827586206896</v>
      </c>
      <c r="BZ124" s="223">
        <f t="shared" si="73"/>
        <v>-0.10344827586206896</v>
      </c>
      <c r="CA124" s="226"/>
      <c r="CB124" s="175"/>
      <c r="CC124" s="191">
        <v>0</v>
      </c>
      <c r="CD124" s="192">
        <v>0</v>
      </c>
      <c r="CE124" s="193" t="e">
        <f t="shared" si="92"/>
        <v>#DIV/0!</v>
      </c>
      <c r="CF124" s="191">
        <v>0</v>
      </c>
      <c r="CG124" s="192">
        <v>0</v>
      </c>
      <c r="CH124" s="193" t="e">
        <f t="shared" si="93"/>
        <v>#DIV/0!</v>
      </c>
      <c r="CI124" s="197"/>
      <c r="CJ124" s="198"/>
      <c r="CK124" s="193" t="e">
        <f t="shared" si="94"/>
        <v>#DIV/0!</v>
      </c>
      <c r="CL124" s="195">
        <f t="shared" si="95"/>
        <v>0</v>
      </c>
      <c r="CM124" s="194">
        <f t="shared" si="96"/>
        <v>0</v>
      </c>
      <c r="CN124" s="193" t="e">
        <f t="shared" si="97"/>
        <v>#DIV/0!</v>
      </c>
      <c r="CO124" s="175"/>
      <c r="CP124" s="196">
        <f t="shared" si="98"/>
        <v>58</v>
      </c>
      <c r="CQ124" s="196">
        <f t="shared" si="99"/>
        <v>3</v>
      </c>
      <c r="CR124" s="199">
        <f t="shared" si="100"/>
        <v>5.1724137931034482E-2</v>
      </c>
      <c r="CS124" s="261">
        <f t="shared" si="74"/>
        <v>26</v>
      </c>
      <c r="CT124" s="175"/>
      <c r="CU124" s="196">
        <f t="shared" si="75"/>
        <v>7.8</v>
      </c>
      <c r="CV124" s="259"/>
      <c r="CW124" s="199">
        <f t="shared" si="76"/>
        <v>0</v>
      </c>
      <c r="CX124" s="196">
        <f t="shared" si="77"/>
        <v>7.8</v>
      </c>
      <c r="CY124" s="259"/>
      <c r="CZ124" s="199">
        <f t="shared" si="78"/>
        <v>0</v>
      </c>
      <c r="DA124" s="196">
        <f t="shared" si="79"/>
        <v>7.8</v>
      </c>
      <c r="DB124" s="259"/>
      <c r="DC124" s="199">
        <f t="shared" si="80"/>
        <v>0</v>
      </c>
      <c r="DD124" s="196">
        <f t="shared" si="81"/>
        <v>2.6</v>
      </c>
      <c r="DE124" s="259"/>
      <c r="DF124" s="199">
        <f t="shared" si="82"/>
        <v>0</v>
      </c>
      <c r="DG124" s="175"/>
      <c r="DH124" s="196">
        <f t="shared" si="83"/>
        <v>29</v>
      </c>
      <c r="DI124" s="196">
        <f t="shared" si="84"/>
        <v>3</v>
      </c>
      <c r="DJ124" s="199">
        <f t="shared" si="85"/>
        <v>0.10344827586206896</v>
      </c>
      <c r="DK124" s="265">
        <f t="shared" si="86"/>
        <v>26</v>
      </c>
      <c r="DL124" s="244">
        <v>120</v>
      </c>
      <c r="DM124">
        <f t="shared" si="101"/>
        <v>0</v>
      </c>
    </row>
    <row r="125" spans="1:117" x14ac:dyDescent="0.3">
      <c r="A125" s="246">
        <v>121</v>
      </c>
      <c r="B125" s="91" t="s">
        <v>270</v>
      </c>
      <c r="C125" s="91" t="s">
        <v>97</v>
      </c>
      <c r="D125" s="91" t="s">
        <v>98</v>
      </c>
      <c r="E125" s="91" t="s">
        <v>99</v>
      </c>
      <c r="F125" s="91" t="s">
        <v>422</v>
      </c>
      <c r="G125" s="87" t="s">
        <v>429</v>
      </c>
      <c r="H125" s="87" t="s">
        <v>430</v>
      </c>
      <c r="I125" s="87" t="s">
        <v>474</v>
      </c>
      <c r="J125" s="87" t="s">
        <v>474</v>
      </c>
      <c r="K125" s="85" t="s">
        <v>183</v>
      </c>
      <c r="L125" s="85" t="s">
        <v>424</v>
      </c>
      <c r="M125" s="87" t="s">
        <v>106</v>
      </c>
      <c r="N125" s="87" t="s">
        <v>107</v>
      </c>
      <c r="O125" s="87" t="s">
        <v>108</v>
      </c>
      <c r="P125" s="87" t="s">
        <v>476</v>
      </c>
      <c r="Q125" s="87" t="s">
        <v>110</v>
      </c>
      <c r="R125" s="130">
        <v>29</v>
      </c>
      <c r="S125" s="88" t="s">
        <v>111</v>
      </c>
      <c r="T125" s="81">
        <v>0</v>
      </c>
      <c r="U125" s="81">
        <v>0</v>
      </c>
      <c r="V125" s="25" t="e">
        <f t="shared" si="102"/>
        <v>#DIV/0!</v>
      </c>
      <c r="W125" s="81">
        <v>0</v>
      </c>
      <c r="X125" s="81"/>
      <c r="Y125" s="25" t="e">
        <f t="shared" si="1"/>
        <v>#DIV/0!</v>
      </c>
      <c r="Z125" s="81">
        <v>0</v>
      </c>
      <c r="AA125" s="81"/>
      <c r="AB125" s="25" t="e">
        <f t="shared" si="2"/>
        <v>#DIV/0!</v>
      </c>
      <c r="AC125" s="81">
        <v>29</v>
      </c>
      <c r="AD125" s="81"/>
      <c r="AE125" s="25">
        <f t="shared" si="3"/>
        <v>0</v>
      </c>
      <c r="AF125" s="137">
        <f t="shared" si="87"/>
        <v>29</v>
      </c>
      <c r="AG125" s="137">
        <f t="shared" si="88"/>
        <v>0</v>
      </c>
      <c r="AH125" s="128" t="e">
        <f t="shared" si="5"/>
        <v>#DIV/0!</v>
      </c>
      <c r="AI125" s="90">
        <v>46054</v>
      </c>
      <c r="AJ125" s="90">
        <v>46477</v>
      </c>
      <c r="AK125" s="91" t="s">
        <v>112</v>
      </c>
      <c r="AL125" s="91" t="s">
        <v>113</v>
      </c>
      <c r="AM125" s="92" t="s">
        <v>114</v>
      </c>
      <c r="AN125" s="93">
        <v>9239653</v>
      </c>
      <c r="AO125" s="93">
        <v>9239653</v>
      </c>
      <c r="AP125" s="93">
        <v>9239653</v>
      </c>
      <c r="AQ125" s="94">
        <v>0</v>
      </c>
      <c r="AR125" s="91"/>
      <c r="AS125" s="91" t="s">
        <v>112</v>
      </c>
      <c r="AT125" s="150" t="s">
        <v>449</v>
      </c>
      <c r="AU125" s="165" t="s">
        <v>2264</v>
      </c>
      <c r="AV125" s="232" t="s">
        <v>2234</v>
      </c>
      <c r="AW125" s="126" t="s">
        <v>2265</v>
      </c>
      <c r="BA125" s="255">
        <v>0</v>
      </c>
      <c r="BB125" s="256">
        <v>0</v>
      </c>
      <c r="BC125" s="223" t="e">
        <f t="shared" si="63"/>
        <v>#DIV/0!</v>
      </c>
      <c r="BD125" s="255">
        <v>0</v>
      </c>
      <c r="BE125" s="256">
        <v>0</v>
      </c>
      <c r="BF125" s="223" t="e">
        <f t="shared" si="64"/>
        <v>#DIV/0!</v>
      </c>
      <c r="BG125" s="255">
        <v>29</v>
      </c>
      <c r="BH125" s="256">
        <v>1</v>
      </c>
      <c r="BI125" s="223">
        <f t="shared" si="65"/>
        <v>3.4482758620689655E-2</v>
      </c>
      <c r="BJ125" s="224">
        <f t="shared" si="66"/>
        <v>29</v>
      </c>
      <c r="BK125" s="225">
        <f t="shared" si="67"/>
        <v>1</v>
      </c>
      <c r="BL125" s="223">
        <f t="shared" si="68"/>
        <v>3.4482758620689655E-2</v>
      </c>
      <c r="BM125" s="255">
        <v>29</v>
      </c>
      <c r="BN125" s="256">
        <v>1</v>
      </c>
      <c r="BO125" s="223">
        <f t="shared" si="89"/>
        <v>3.4482758620689655E-2</v>
      </c>
      <c r="BP125" s="255"/>
      <c r="BQ125" s="256"/>
      <c r="BR125" s="223" t="e">
        <f t="shared" si="90"/>
        <v>#DIV/0!</v>
      </c>
      <c r="BS125" s="255"/>
      <c r="BT125" s="255"/>
      <c r="BU125" s="223" t="e">
        <f t="shared" si="91"/>
        <v>#DIV/0!</v>
      </c>
      <c r="BV125" s="224">
        <f t="shared" si="69"/>
        <v>29</v>
      </c>
      <c r="BW125" s="224">
        <f t="shared" si="70"/>
        <v>1</v>
      </c>
      <c r="BX125" s="223">
        <f t="shared" si="71"/>
        <v>3.4482758620689655E-2</v>
      </c>
      <c r="BY125" s="223">
        <f t="shared" si="72"/>
        <v>6.8965517241379309E-2</v>
      </c>
      <c r="BZ125" s="223">
        <f t="shared" si="73"/>
        <v>-6.8965517241379309E-2</v>
      </c>
      <c r="CA125" s="226"/>
      <c r="CB125" s="175"/>
      <c r="CC125" s="191"/>
      <c r="CD125" s="192"/>
      <c r="CE125" s="193" t="e">
        <f t="shared" si="92"/>
        <v>#DIV/0!</v>
      </c>
      <c r="CF125" s="191"/>
      <c r="CG125" s="192"/>
      <c r="CH125" s="193" t="e">
        <f t="shared" si="93"/>
        <v>#DIV/0!</v>
      </c>
      <c r="CI125" s="197"/>
      <c r="CJ125" s="198"/>
      <c r="CK125" s="193" t="e">
        <f t="shared" si="94"/>
        <v>#DIV/0!</v>
      </c>
      <c r="CL125" s="195">
        <f t="shared" si="95"/>
        <v>0</v>
      </c>
      <c r="CM125" s="194">
        <f t="shared" si="96"/>
        <v>0</v>
      </c>
      <c r="CN125" s="193" t="e">
        <f t="shared" si="97"/>
        <v>#DIV/0!</v>
      </c>
      <c r="CO125" s="175"/>
      <c r="CP125" s="196">
        <f t="shared" si="98"/>
        <v>58</v>
      </c>
      <c r="CQ125" s="196">
        <f t="shared" si="99"/>
        <v>2</v>
      </c>
      <c r="CR125" s="199">
        <f t="shared" si="100"/>
        <v>3.4482758620689655E-2</v>
      </c>
      <c r="CS125" s="261">
        <f t="shared" si="74"/>
        <v>27</v>
      </c>
      <c r="CT125" s="175"/>
      <c r="CU125" s="196">
        <f t="shared" si="75"/>
        <v>8.1</v>
      </c>
      <c r="CV125" s="259"/>
      <c r="CW125" s="199">
        <f t="shared" si="76"/>
        <v>0</v>
      </c>
      <c r="CX125" s="196">
        <f t="shared" si="77"/>
        <v>8.1</v>
      </c>
      <c r="CY125" s="259"/>
      <c r="CZ125" s="199">
        <f t="shared" si="78"/>
        <v>0</v>
      </c>
      <c r="DA125" s="196">
        <f t="shared" si="79"/>
        <v>8.1</v>
      </c>
      <c r="DB125" s="259"/>
      <c r="DC125" s="199">
        <f t="shared" si="80"/>
        <v>0</v>
      </c>
      <c r="DD125" s="196">
        <f t="shared" si="81"/>
        <v>2.7</v>
      </c>
      <c r="DE125" s="259"/>
      <c r="DF125" s="199">
        <f t="shared" si="82"/>
        <v>0</v>
      </c>
      <c r="DG125" s="175"/>
      <c r="DH125" s="196">
        <f t="shared" si="83"/>
        <v>29</v>
      </c>
      <c r="DI125" s="196">
        <f t="shared" si="84"/>
        <v>2</v>
      </c>
      <c r="DJ125" s="199">
        <f t="shared" si="85"/>
        <v>6.8965517241379309E-2</v>
      </c>
      <c r="DK125" s="265">
        <f t="shared" si="86"/>
        <v>27</v>
      </c>
      <c r="DL125" s="244">
        <v>121</v>
      </c>
      <c r="DM125">
        <f t="shared" si="101"/>
        <v>0</v>
      </c>
    </row>
    <row r="126" spans="1:117" x14ac:dyDescent="0.3">
      <c r="A126" s="246">
        <v>122</v>
      </c>
      <c r="B126" s="91" t="s">
        <v>270</v>
      </c>
      <c r="C126" s="91" t="s">
        <v>97</v>
      </c>
      <c r="D126" s="91" t="s">
        <v>98</v>
      </c>
      <c r="E126" s="91" t="s">
        <v>99</v>
      </c>
      <c r="F126" s="91" t="s">
        <v>422</v>
      </c>
      <c r="G126" s="87" t="s">
        <v>429</v>
      </c>
      <c r="H126" s="87" t="s">
        <v>430</v>
      </c>
      <c r="I126" s="87" t="s">
        <v>474</v>
      </c>
      <c r="J126" s="87" t="s">
        <v>474</v>
      </c>
      <c r="K126" s="85" t="s">
        <v>183</v>
      </c>
      <c r="L126" s="85" t="s">
        <v>424</v>
      </c>
      <c r="M126" s="87" t="s">
        <v>106</v>
      </c>
      <c r="N126" s="87" t="s">
        <v>107</v>
      </c>
      <c r="O126" s="87" t="s">
        <v>108</v>
      </c>
      <c r="P126" s="87" t="s">
        <v>476</v>
      </c>
      <c r="Q126" s="87" t="s">
        <v>110</v>
      </c>
      <c r="R126" s="130">
        <v>29</v>
      </c>
      <c r="S126" s="88" t="s">
        <v>111</v>
      </c>
      <c r="T126" s="81">
        <v>0</v>
      </c>
      <c r="U126" s="81">
        <v>0</v>
      </c>
      <c r="V126" s="25" t="e">
        <f t="shared" si="102"/>
        <v>#DIV/0!</v>
      </c>
      <c r="W126" s="81">
        <v>0</v>
      </c>
      <c r="X126" s="81"/>
      <c r="Y126" s="25" t="e">
        <f t="shared" si="1"/>
        <v>#DIV/0!</v>
      </c>
      <c r="Z126" s="81">
        <v>0</v>
      </c>
      <c r="AA126" s="81"/>
      <c r="AB126" s="25" t="e">
        <f t="shared" si="2"/>
        <v>#DIV/0!</v>
      </c>
      <c r="AC126" s="81">
        <v>29</v>
      </c>
      <c r="AD126" s="81"/>
      <c r="AE126" s="25">
        <f t="shared" si="3"/>
        <v>0</v>
      </c>
      <c r="AF126" s="137">
        <f t="shared" si="87"/>
        <v>29</v>
      </c>
      <c r="AG126" s="137">
        <f t="shared" si="88"/>
        <v>0</v>
      </c>
      <c r="AH126" s="128" t="e">
        <f t="shared" si="5"/>
        <v>#DIV/0!</v>
      </c>
      <c r="AI126" s="90">
        <v>46113</v>
      </c>
      <c r="AJ126" s="90">
        <v>46477</v>
      </c>
      <c r="AK126" s="91" t="s">
        <v>112</v>
      </c>
      <c r="AL126" s="91" t="s">
        <v>113</v>
      </c>
      <c r="AM126" s="92" t="s">
        <v>114</v>
      </c>
      <c r="AN126" s="93">
        <v>92000000</v>
      </c>
      <c r="AO126" s="93">
        <v>92000000</v>
      </c>
      <c r="AP126" s="93">
        <v>92000000</v>
      </c>
      <c r="AQ126" s="94">
        <v>0</v>
      </c>
      <c r="AR126" s="91" t="s">
        <v>159</v>
      </c>
      <c r="AS126" s="91" t="s">
        <v>112</v>
      </c>
      <c r="AT126" s="150" t="s">
        <v>449</v>
      </c>
      <c r="AU126" s="165" t="s">
        <v>2264</v>
      </c>
      <c r="AV126" s="232" t="s">
        <v>2234</v>
      </c>
      <c r="AW126" s="126" t="s">
        <v>2265</v>
      </c>
      <c r="BA126" s="255">
        <v>0</v>
      </c>
      <c r="BB126" s="256">
        <v>0</v>
      </c>
      <c r="BC126" s="223" t="e">
        <f t="shared" si="63"/>
        <v>#DIV/0!</v>
      </c>
      <c r="BD126" s="255">
        <v>0</v>
      </c>
      <c r="BE126" s="256">
        <v>0</v>
      </c>
      <c r="BF126" s="223" t="e">
        <f t="shared" si="64"/>
        <v>#DIV/0!</v>
      </c>
      <c r="BG126" s="255">
        <v>29</v>
      </c>
      <c r="BH126" s="256">
        <v>1</v>
      </c>
      <c r="BI126" s="223">
        <f t="shared" si="65"/>
        <v>3.4482758620689655E-2</v>
      </c>
      <c r="BJ126" s="224">
        <f t="shared" si="66"/>
        <v>29</v>
      </c>
      <c r="BK126" s="225">
        <f t="shared" si="67"/>
        <v>1</v>
      </c>
      <c r="BL126" s="223">
        <f t="shared" si="68"/>
        <v>3.4482758620689655E-2</v>
      </c>
      <c r="BM126" s="255">
        <v>29</v>
      </c>
      <c r="BN126" s="256">
        <v>1</v>
      </c>
      <c r="BO126" s="223">
        <f t="shared" si="89"/>
        <v>3.4482758620689655E-2</v>
      </c>
      <c r="BP126" s="255"/>
      <c r="BQ126" s="256"/>
      <c r="BR126" s="223" t="e">
        <f t="shared" si="90"/>
        <v>#DIV/0!</v>
      </c>
      <c r="BS126" s="255"/>
      <c r="BT126" s="255"/>
      <c r="BU126" s="223" t="e">
        <f t="shared" si="91"/>
        <v>#DIV/0!</v>
      </c>
      <c r="BV126" s="224">
        <f t="shared" si="69"/>
        <v>29</v>
      </c>
      <c r="BW126" s="224">
        <f t="shared" si="70"/>
        <v>1</v>
      </c>
      <c r="BX126" s="223">
        <f t="shared" si="71"/>
        <v>3.4482758620689655E-2</v>
      </c>
      <c r="BY126" s="223">
        <f t="shared" si="72"/>
        <v>6.8965517241379309E-2</v>
      </c>
      <c r="BZ126" s="223">
        <f t="shared" si="73"/>
        <v>-6.8965517241379309E-2</v>
      </c>
      <c r="CA126" s="226"/>
      <c r="CB126" s="175"/>
      <c r="CC126" s="191"/>
      <c r="CD126" s="192"/>
      <c r="CE126" s="193" t="e">
        <f t="shared" si="92"/>
        <v>#DIV/0!</v>
      </c>
      <c r="CF126" s="191"/>
      <c r="CG126" s="192"/>
      <c r="CH126" s="193" t="e">
        <f t="shared" si="93"/>
        <v>#DIV/0!</v>
      </c>
      <c r="CI126" s="197"/>
      <c r="CJ126" s="198"/>
      <c r="CK126" s="193" t="e">
        <f t="shared" si="94"/>
        <v>#DIV/0!</v>
      </c>
      <c r="CL126" s="195">
        <f t="shared" si="95"/>
        <v>0</v>
      </c>
      <c r="CM126" s="194">
        <f t="shared" si="96"/>
        <v>0</v>
      </c>
      <c r="CN126" s="193" t="e">
        <f t="shared" si="97"/>
        <v>#DIV/0!</v>
      </c>
      <c r="CO126" s="175"/>
      <c r="CP126" s="196">
        <f t="shared" si="98"/>
        <v>58</v>
      </c>
      <c r="CQ126" s="196">
        <f t="shared" si="99"/>
        <v>2</v>
      </c>
      <c r="CR126" s="199">
        <f t="shared" si="100"/>
        <v>3.4482758620689655E-2</v>
      </c>
      <c r="CS126" s="261">
        <f t="shared" si="74"/>
        <v>27</v>
      </c>
      <c r="CT126" s="175"/>
      <c r="CU126" s="196">
        <f t="shared" si="75"/>
        <v>8.1</v>
      </c>
      <c r="CV126" s="259"/>
      <c r="CW126" s="199">
        <f t="shared" si="76"/>
        <v>0</v>
      </c>
      <c r="CX126" s="196">
        <f t="shared" si="77"/>
        <v>8.1</v>
      </c>
      <c r="CY126" s="259"/>
      <c r="CZ126" s="199">
        <f t="shared" si="78"/>
        <v>0</v>
      </c>
      <c r="DA126" s="196">
        <f t="shared" si="79"/>
        <v>8.1</v>
      </c>
      <c r="DB126" s="259"/>
      <c r="DC126" s="199">
        <f t="shared" si="80"/>
        <v>0</v>
      </c>
      <c r="DD126" s="196">
        <f t="shared" si="81"/>
        <v>2.7</v>
      </c>
      <c r="DE126" s="259"/>
      <c r="DF126" s="199">
        <f t="shared" si="82"/>
        <v>0</v>
      </c>
      <c r="DG126" s="175"/>
      <c r="DH126" s="196">
        <f t="shared" si="83"/>
        <v>29</v>
      </c>
      <c r="DI126" s="196">
        <f t="shared" si="84"/>
        <v>2</v>
      </c>
      <c r="DJ126" s="199">
        <f t="shared" si="85"/>
        <v>6.8965517241379309E-2</v>
      </c>
      <c r="DK126" s="265">
        <f t="shared" si="86"/>
        <v>27</v>
      </c>
      <c r="DL126" s="244">
        <v>122</v>
      </c>
      <c r="DM126">
        <f t="shared" si="101"/>
        <v>0</v>
      </c>
    </row>
    <row r="127" spans="1:117" ht="39.6" x14ac:dyDescent="0.3">
      <c r="A127" s="246">
        <v>123</v>
      </c>
      <c r="B127" s="91" t="s">
        <v>270</v>
      </c>
      <c r="C127" s="91" t="s">
        <v>133</v>
      </c>
      <c r="D127" s="91" t="s">
        <v>119</v>
      </c>
      <c r="E127" s="91" t="s">
        <v>120</v>
      </c>
      <c r="F127" s="91" t="s">
        <v>428</v>
      </c>
      <c r="G127" s="87" t="s">
        <v>429</v>
      </c>
      <c r="H127" s="87" t="s">
        <v>430</v>
      </c>
      <c r="I127" s="87" t="s">
        <v>474</v>
      </c>
      <c r="J127" s="87" t="s">
        <v>474</v>
      </c>
      <c r="K127" s="85" t="s">
        <v>183</v>
      </c>
      <c r="L127" s="85" t="s">
        <v>431</v>
      </c>
      <c r="M127" s="87" t="s">
        <v>106</v>
      </c>
      <c r="N127" s="87" t="s">
        <v>429</v>
      </c>
      <c r="O127" s="87" t="s">
        <v>127</v>
      </c>
      <c r="P127" s="242" t="s">
        <v>477</v>
      </c>
      <c r="Q127" s="87" t="s">
        <v>129</v>
      </c>
      <c r="R127" s="130">
        <v>1</v>
      </c>
      <c r="S127" s="88" t="s">
        <v>111</v>
      </c>
      <c r="T127" s="81">
        <v>0</v>
      </c>
      <c r="U127" s="81">
        <v>0</v>
      </c>
      <c r="V127" s="25" t="e">
        <f t="shared" si="102"/>
        <v>#DIV/0!</v>
      </c>
      <c r="W127" s="81">
        <v>0</v>
      </c>
      <c r="X127" s="81"/>
      <c r="Y127" s="25" t="e">
        <f t="shared" si="1"/>
        <v>#DIV/0!</v>
      </c>
      <c r="Z127" s="81">
        <v>0</v>
      </c>
      <c r="AA127" s="81"/>
      <c r="AB127" s="25" t="e">
        <f t="shared" si="2"/>
        <v>#DIV/0!</v>
      </c>
      <c r="AC127" s="81">
        <v>1</v>
      </c>
      <c r="AD127" s="81"/>
      <c r="AE127" s="25">
        <f t="shared" si="3"/>
        <v>0</v>
      </c>
      <c r="AF127" s="137">
        <f t="shared" si="87"/>
        <v>1</v>
      </c>
      <c r="AG127" s="137">
        <f t="shared" si="88"/>
        <v>0</v>
      </c>
      <c r="AH127" s="128" t="e">
        <f t="shared" si="5"/>
        <v>#DIV/0!</v>
      </c>
      <c r="AI127" s="90">
        <v>46113</v>
      </c>
      <c r="AJ127" s="90">
        <v>46477</v>
      </c>
      <c r="AK127" s="91" t="s">
        <v>112</v>
      </c>
      <c r="AL127" s="91" t="s">
        <v>113</v>
      </c>
      <c r="AM127" s="92" t="s">
        <v>114</v>
      </c>
      <c r="AN127" s="93">
        <v>9239653</v>
      </c>
      <c r="AO127" s="93">
        <v>9239653</v>
      </c>
      <c r="AP127" s="93">
        <v>9239653</v>
      </c>
      <c r="AQ127" s="94">
        <v>0</v>
      </c>
      <c r="AR127" s="91" t="s">
        <v>461</v>
      </c>
      <c r="AS127" s="91" t="s">
        <v>112</v>
      </c>
      <c r="AT127" s="150" t="s">
        <v>449</v>
      </c>
      <c r="AU127" s="165" t="s">
        <v>2264</v>
      </c>
      <c r="AV127" s="232" t="s">
        <v>2234</v>
      </c>
      <c r="AW127" s="126" t="s">
        <v>2265</v>
      </c>
      <c r="BA127" s="255"/>
      <c r="BB127" s="256"/>
      <c r="BC127" s="223" t="e">
        <f t="shared" si="63"/>
        <v>#DIV/0!</v>
      </c>
      <c r="BD127" s="255"/>
      <c r="BE127" s="256"/>
      <c r="BF127" s="223" t="e">
        <f t="shared" si="64"/>
        <v>#DIV/0!</v>
      </c>
      <c r="BG127" s="255"/>
      <c r="BH127" s="256"/>
      <c r="BI127" s="223" t="e">
        <f t="shared" si="65"/>
        <v>#DIV/0!</v>
      </c>
      <c r="BJ127" s="224">
        <f t="shared" si="66"/>
        <v>0</v>
      </c>
      <c r="BK127" s="225">
        <f t="shared" si="67"/>
        <v>0</v>
      </c>
      <c r="BL127" s="223" t="e">
        <f t="shared" si="68"/>
        <v>#DIV/0!</v>
      </c>
      <c r="BM127" s="255"/>
      <c r="BN127" s="256"/>
      <c r="BO127" s="223" t="e">
        <f t="shared" si="89"/>
        <v>#DIV/0!</v>
      </c>
      <c r="BP127" s="255"/>
      <c r="BQ127" s="256"/>
      <c r="BR127" s="223" t="e">
        <f t="shared" si="90"/>
        <v>#DIV/0!</v>
      </c>
      <c r="BS127" s="255"/>
      <c r="BT127" s="255"/>
      <c r="BU127" s="223" t="e">
        <f t="shared" si="91"/>
        <v>#DIV/0!</v>
      </c>
      <c r="BV127" s="224">
        <f t="shared" si="69"/>
        <v>0</v>
      </c>
      <c r="BW127" s="224">
        <f t="shared" si="70"/>
        <v>0</v>
      </c>
      <c r="BX127" s="223" t="e">
        <f t="shared" si="71"/>
        <v>#DIV/0!</v>
      </c>
      <c r="BY127" s="223">
        <f t="shared" si="72"/>
        <v>0</v>
      </c>
      <c r="BZ127" s="223">
        <f t="shared" si="73"/>
        <v>0</v>
      </c>
      <c r="CA127" s="226"/>
      <c r="CB127" s="175"/>
      <c r="CC127" s="191"/>
      <c r="CD127" s="192"/>
      <c r="CE127" s="193" t="e">
        <f t="shared" si="92"/>
        <v>#DIV/0!</v>
      </c>
      <c r="CF127" s="191"/>
      <c r="CG127" s="192"/>
      <c r="CH127" s="193" t="e">
        <f t="shared" si="93"/>
        <v>#DIV/0!</v>
      </c>
      <c r="CI127" s="197"/>
      <c r="CJ127" s="198"/>
      <c r="CK127" s="193" t="e">
        <f t="shared" si="94"/>
        <v>#DIV/0!</v>
      </c>
      <c r="CL127" s="195">
        <f t="shared" si="95"/>
        <v>0</v>
      </c>
      <c r="CM127" s="194">
        <f t="shared" si="96"/>
        <v>0</v>
      </c>
      <c r="CN127" s="193" t="e">
        <f t="shared" si="97"/>
        <v>#DIV/0!</v>
      </c>
      <c r="CO127" s="175"/>
      <c r="CP127" s="196">
        <f t="shared" si="98"/>
        <v>0</v>
      </c>
      <c r="CQ127" s="196">
        <f t="shared" si="99"/>
        <v>0</v>
      </c>
      <c r="CR127" s="199" t="e">
        <f t="shared" si="100"/>
        <v>#DIV/0!</v>
      </c>
      <c r="CS127" s="261">
        <f t="shared" si="74"/>
        <v>1</v>
      </c>
      <c r="CT127" s="175"/>
      <c r="CU127" s="196">
        <f t="shared" si="75"/>
        <v>0.3</v>
      </c>
      <c r="CV127" s="259"/>
      <c r="CW127" s="199">
        <f t="shared" si="76"/>
        <v>0</v>
      </c>
      <c r="CX127" s="196">
        <f t="shared" si="77"/>
        <v>0.3</v>
      </c>
      <c r="CY127" s="259"/>
      <c r="CZ127" s="199">
        <f t="shared" si="78"/>
        <v>0</v>
      </c>
      <c r="DA127" s="196">
        <f t="shared" si="79"/>
        <v>0.3</v>
      </c>
      <c r="DB127" s="259"/>
      <c r="DC127" s="199">
        <f t="shared" si="80"/>
        <v>0</v>
      </c>
      <c r="DD127" s="196">
        <f t="shared" si="81"/>
        <v>0.1</v>
      </c>
      <c r="DE127" s="259"/>
      <c r="DF127" s="199">
        <f t="shared" si="82"/>
        <v>0</v>
      </c>
      <c r="DG127" s="175"/>
      <c r="DH127" s="196">
        <f t="shared" si="83"/>
        <v>1</v>
      </c>
      <c r="DI127" s="196">
        <f t="shared" si="84"/>
        <v>0</v>
      </c>
      <c r="DJ127" s="199">
        <f t="shared" si="85"/>
        <v>0</v>
      </c>
      <c r="DK127" s="265">
        <f t="shared" si="86"/>
        <v>1</v>
      </c>
      <c r="DL127" s="244">
        <v>123</v>
      </c>
      <c r="DM127">
        <f t="shared" si="101"/>
        <v>0</v>
      </c>
    </row>
    <row r="128" spans="1:117" ht="39.6" x14ac:dyDescent="0.3">
      <c r="A128" s="246">
        <v>124</v>
      </c>
      <c r="B128" s="91" t="s">
        <v>270</v>
      </c>
      <c r="C128" s="91" t="s">
        <v>133</v>
      </c>
      <c r="D128" s="91" t="s">
        <v>119</v>
      </c>
      <c r="E128" s="91" t="s">
        <v>120</v>
      </c>
      <c r="F128" s="91" t="s">
        <v>428</v>
      </c>
      <c r="G128" s="87" t="s">
        <v>429</v>
      </c>
      <c r="H128" s="87" t="s">
        <v>430</v>
      </c>
      <c r="I128" s="87" t="s">
        <v>474</v>
      </c>
      <c r="J128" s="87" t="s">
        <v>474</v>
      </c>
      <c r="K128" s="85" t="s">
        <v>183</v>
      </c>
      <c r="L128" s="85" t="s">
        <v>431</v>
      </c>
      <c r="M128" s="87" t="s">
        <v>106</v>
      </c>
      <c r="N128" s="87" t="s">
        <v>429</v>
      </c>
      <c r="O128" s="87" t="s">
        <v>127</v>
      </c>
      <c r="P128" s="242" t="s">
        <v>477</v>
      </c>
      <c r="Q128" s="87" t="s">
        <v>129</v>
      </c>
      <c r="R128" s="130">
        <v>1</v>
      </c>
      <c r="S128" s="88" t="s">
        <v>111</v>
      </c>
      <c r="T128" s="81">
        <v>0</v>
      </c>
      <c r="U128" s="81">
        <v>0</v>
      </c>
      <c r="V128" s="25" t="e">
        <f t="shared" si="102"/>
        <v>#DIV/0!</v>
      </c>
      <c r="W128" s="81">
        <v>0</v>
      </c>
      <c r="X128" s="81"/>
      <c r="Y128" s="25" t="e">
        <f t="shared" si="1"/>
        <v>#DIV/0!</v>
      </c>
      <c r="Z128" s="81">
        <v>0</v>
      </c>
      <c r="AA128" s="81"/>
      <c r="AB128" s="25" t="e">
        <f t="shared" si="2"/>
        <v>#DIV/0!</v>
      </c>
      <c r="AC128" s="81">
        <v>1</v>
      </c>
      <c r="AD128" s="81"/>
      <c r="AE128" s="25">
        <f t="shared" si="3"/>
        <v>0</v>
      </c>
      <c r="AF128" s="137">
        <f t="shared" si="87"/>
        <v>1</v>
      </c>
      <c r="AG128" s="137">
        <f t="shared" si="88"/>
        <v>0</v>
      </c>
      <c r="AH128" s="128" t="e">
        <f t="shared" si="5"/>
        <v>#DIV/0!</v>
      </c>
      <c r="AI128" s="90">
        <v>46113</v>
      </c>
      <c r="AJ128" s="90">
        <v>46477</v>
      </c>
      <c r="AK128" s="91" t="s">
        <v>112</v>
      </c>
      <c r="AL128" s="91" t="s">
        <v>113</v>
      </c>
      <c r="AM128" s="92" t="s">
        <v>114</v>
      </c>
      <c r="AN128" s="93">
        <v>15000000</v>
      </c>
      <c r="AO128" s="93">
        <v>15000000</v>
      </c>
      <c r="AP128" s="93">
        <v>15000000</v>
      </c>
      <c r="AQ128" s="94">
        <v>0</v>
      </c>
      <c r="AR128" s="91" t="s">
        <v>115</v>
      </c>
      <c r="AS128" s="91" t="s">
        <v>112</v>
      </c>
      <c r="AT128" s="150" t="s">
        <v>478</v>
      </c>
      <c r="AU128" s="165" t="s">
        <v>2264</v>
      </c>
      <c r="AV128" s="232" t="s">
        <v>2234</v>
      </c>
      <c r="AW128" s="126" t="s">
        <v>2260</v>
      </c>
      <c r="BA128" s="255"/>
      <c r="BB128" s="256"/>
      <c r="BC128" s="223" t="e">
        <f t="shared" si="63"/>
        <v>#DIV/0!</v>
      </c>
      <c r="BD128" s="255"/>
      <c r="BE128" s="256"/>
      <c r="BF128" s="223" t="e">
        <f t="shared" si="64"/>
        <v>#DIV/0!</v>
      </c>
      <c r="BG128" s="255"/>
      <c r="BH128" s="256"/>
      <c r="BI128" s="223" t="e">
        <f t="shared" si="65"/>
        <v>#DIV/0!</v>
      </c>
      <c r="BJ128" s="224">
        <f t="shared" si="66"/>
        <v>0</v>
      </c>
      <c r="BK128" s="225">
        <f t="shared" si="67"/>
        <v>0</v>
      </c>
      <c r="BL128" s="223" t="e">
        <f t="shared" si="68"/>
        <v>#DIV/0!</v>
      </c>
      <c r="BM128" s="255"/>
      <c r="BN128" s="256"/>
      <c r="BO128" s="223" t="e">
        <f t="shared" si="89"/>
        <v>#DIV/0!</v>
      </c>
      <c r="BP128" s="255"/>
      <c r="BQ128" s="256"/>
      <c r="BR128" s="223" t="e">
        <f t="shared" si="90"/>
        <v>#DIV/0!</v>
      </c>
      <c r="BS128" s="255"/>
      <c r="BT128" s="255"/>
      <c r="BU128" s="223" t="e">
        <f t="shared" si="91"/>
        <v>#DIV/0!</v>
      </c>
      <c r="BV128" s="224">
        <f t="shared" si="69"/>
        <v>0</v>
      </c>
      <c r="BW128" s="224">
        <f t="shared" si="70"/>
        <v>0</v>
      </c>
      <c r="BX128" s="223" t="e">
        <f t="shared" si="71"/>
        <v>#DIV/0!</v>
      </c>
      <c r="BY128" s="223">
        <f t="shared" si="72"/>
        <v>0</v>
      </c>
      <c r="BZ128" s="223">
        <f t="shared" si="73"/>
        <v>0</v>
      </c>
      <c r="CA128" s="226"/>
      <c r="CB128" s="175"/>
      <c r="CC128" s="191"/>
      <c r="CD128" s="192"/>
      <c r="CE128" s="193" t="e">
        <f t="shared" si="92"/>
        <v>#DIV/0!</v>
      </c>
      <c r="CF128" s="191"/>
      <c r="CG128" s="192"/>
      <c r="CH128" s="193" t="e">
        <f t="shared" si="93"/>
        <v>#DIV/0!</v>
      </c>
      <c r="CI128" s="197"/>
      <c r="CJ128" s="198"/>
      <c r="CK128" s="193" t="e">
        <f t="shared" si="94"/>
        <v>#DIV/0!</v>
      </c>
      <c r="CL128" s="195">
        <f t="shared" si="95"/>
        <v>0</v>
      </c>
      <c r="CM128" s="194">
        <f t="shared" si="96"/>
        <v>0</v>
      </c>
      <c r="CN128" s="193" t="e">
        <f t="shared" si="97"/>
        <v>#DIV/0!</v>
      </c>
      <c r="CO128" s="175"/>
      <c r="CP128" s="196">
        <f t="shared" si="98"/>
        <v>0</v>
      </c>
      <c r="CQ128" s="196">
        <f t="shared" si="99"/>
        <v>0</v>
      </c>
      <c r="CR128" s="199" t="e">
        <f t="shared" si="100"/>
        <v>#DIV/0!</v>
      </c>
      <c r="CS128" s="261">
        <f t="shared" si="74"/>
        <v>1</v>
      </c>
      <c r="CT128" s="175"/>
      <c r="CU128" s="196">
        <f t="shared" si="75"/>
        <v>0.3</v>
      </c>
      <c r="CV128" s="259"/>
      <c r="CW128" s="199">
        <f t="shared" si="76"/>
        <v>0</v>
      </c>
      <c r="CX128" s="196">
        <f t="shared" si="77"/>
        <v>0.3</v>
      </c>
      <c r="CY128" s="259"/>
      <c r="CZ128" s="199">
        <f t="shared" si="78"/>
        <v>0</v>
      </c>
      <c r="DA128" s="196">
        <f t="shared" si="79"/>
        <v>0.3</v>
      </c>
      <c r="DB128" s="259"/>
      <c r="DC128" s="199">
        <f t="shared" si="80"/>
        <v>0</v>
      </c>
      <c r="DD128" s="196">
        <f t="shared" si="81"/>
        <v>0.1</v>
      </c>
      <c r="DE128" s="259"/>
      <c r="DF128" s="199">
        <f t="shared" si="82"/>
        <v>0</v>
      </c>
      <c r="DG128" s="175"/>
      <c r="DH128" s="196">
        <f t="shared" si="83"/>
        <v>1</v>
      </c>
      <c r="DI128" s="196">
        <f t="shared" si="84"/>
        <v>0</v>
      </c>
      <c r="DJ128" s="199">
        <f t="shared" si="85"/>
        <v>0</v>
      </c>
      <c r="DK128" s="265">
        <f t="shared" si="86"/>
        <v>1</v>
      </c>
      <c r="DL128" s="244">
        <v>124</v>
      </c>
      <c r="DM128">
        <f t="shared" si="101"/>
        <v>0</v>
      </c>
    </row>
    <row r="129" spans="1:117" x14ac:dyDescent="0.3">
      <c r="A129" s="246">
        <v>125</v>
      </c>
      <c r="B129" s="91" t="s">
        <v>270</v>
      </c>
      <c r="C129" s="91" t="s">
        <v>436</v>
      </c>
      <c r="D129" s="91" t="s">
        <v>437</v>
      </c>
      <c r="E129" s="91" t="s">
        <v>120</v>
      </c>
      <c r="F129" s="91" t="s">
        <v>479</v>
      </c>
      <c r="G129" s="87" t="s">
        <v>480</v>
      </c>
      <c r="H129" s="87" t="s">
        <v>481</v>
      </c>
      <c r="I129" s="87" t="s">
        <v>474</v>
      </c>
      <c r="J129" s="87" t="s">
        <v>474</v>
      </c>
      <c r="K129" s="85" t="s">
        <v>104</v>
      </c>
      <c r="L129" s="85" t="s">
        <v>105</v>
      </c>
      <c r="M129" s="87" t="s">
        <v>106</v>
      </c>
      <c r="N129" s="87" t="s">
        <v>482</v>
      </c>
      <c r="O129" s="87" t="s">
        <v>127</v>
      </c>
      <c r="P129" s="87" t="s">
        <v>483</v>
      </c>
      <c r="Q129" s="87" t="s">
        <v>129</v>
      </c>
      <c r="R129" s="130">
        <v>100</v>
      </c>
      <c r="S129" s="88" t="s">
        <v>158</v>
      </c>
      <c r="T129" s="81">
        <v>25</v>
      </c>
      <c r="U129" s="81">
        <v>0</v>
      </c>
      <c r="V129" s="25">
        <f t="shared" si="102"/>
        <v>0</v>
      </c>
      <c r="W129" s="81">
        <v>25</v>
      </c>
      <c r="X129" s="81">
        <v>0</v>
      </c>
      <c r="Y129" s="25">
        <f t="shared" si="1"/>
        <v>0</v>
      </c>
      <c r="Z129" s="81">
        <v>25</v>
      </c>
      <c r="AA129" s="81"/>
      <c r="AB129" s="25">
        <f t="shared" si="2"/>
        <v>0</v>
      </c>
      <c r="AC129" s="81">
        <v>25</v>
      </c>
      <c r="AD129" s="81"/>
      <c r="AE129" s="25">
        <f t="shared" si="3"/>
        <v>0</v>
      </c>
      <c r="AF129" s="137">
        <f t="shared" si="87"/>
        <v>100</v>
      </c>
      <c r="AG129" s="137">
        <f t="shared" si="88"/>
        <v>0</v>
      </c>
      <c r="AH129" s="128">
        <f t="shared" si="5"/>
        <v>0</v>
      </c>
      <c r="AI129" s="90">
        <v>46113</v>
      </c>
      <c r="AJ129" s="90">
        <v>46477</v>
      </c>
      <c r="AK129" s="91" t="s">
        <v>112</v>
      </c>
      <c r="AL129" s="91" t="s">
        <v>113</v>
      </c>
      <c r="AM129" s="92" t="s">
        <v>114</v>
      </c>
      <c r="AN129" s="93">
        <v>58261013</v>
      </c>
      <c r="AO129" s="93">
        <v>58261013</v>
      </c>
      <c r="AP129" s="93">
        <v>58261013</v>
      </c>
      <c r="AQ129" s="94">
        <v>0</v>
      </c>
      <c r="AR129" s="91" t="s">
        <v>115</v>
      </c>
      <c r="AS129" s="91" t="s">
        <v>112</v>
      </c>
      <c r="AT129" s="150" t="s">
        <v>478</v>
      </c>
      <c r="AU129" s="165" t="s">
        <v>2264</v>
      </c>
      <c r="AV129" s="232" t="s">
        <v>2234</v>
      </c>
      <c r="AW129" s="126" t="s">
        <v>2260</v>
      </c>
      <c r="BA129" s="255">
        <v>0</v>
      </c>
      <c r="BB129" s="256">
        <v>0</v>
      </c>
      <c r="BC129" s="223" t="e">
        <f t="shared" si="63"/>
        <v>#DIV/0!</v>
      </c>
      <c r="BD129" s="255">
        <v>0</v>
      </c>
      <c r="BE129" s="256">
        <v>0</v>
      </c>
      <c r="BF129" s="223" t="e">
        <f t="shared" si="64"/>
        <v>#DIV/0!</v>
      </c>
      <c r="BG129" s="255">
        <v>0</v>
      </c>
      <c r="BH129" s="256">
        <v>0</v>
      </c>
      <c r="BI129" s="223" t="e">
        <f t="shared" si="65"/>
        <v>#DIV/0!</v>
      </c>
      <c r="BJ129" s="224">
        <f t="shared" si="66"/>
        <v>0</v>
      </c>
      <c r="BK129" s="225">
        <f t="shared" si="67"/>
        <v>0</v>
      </c>
      <c r="BL129" s="223" t="e">
        <f t="shared" si="68"/>
        <v>#DIV/0!</v>
      </c>
      <c r="BM129" s="255">
        <v>2</v>
      </c>
      <c r="BN129" s="256">
        <v>2</v>
      </c>
      <c r="BO129" s="223">
        <f t="shared" si="89"/>
        <v>1</v>
      </c>
      <c r="BP129" s="255">
        <v>4</v>
      </c>
      <c r="BQ129" s="256">
        <v>4</v>
      </c>
      <c r="BR129" s="223">
        <f t="shared" si="90"/>
        <v>1</v>
      </c>
      <c r="BS129" s="255">
        <v>4</v>
      </c>
      <c r="BT129" s="255">
        <v>4</v>
      </c>
      <c r="BU129" s="223">
        <f t="shared" si="91"/>
        <v>1</v>
      </c>
      <c r="BV129" s="224">
        <f t="shared" si="69"/>
        <v>10</v>
      </c>
      <c r="BW129" s="224">
        <f t="shared" si="70"/>
        <v>10</v>
      </c>
      <c r="BX129" s="223">
        <f t="shared" si="71"/>
        <v>1</v>
      </c>
      <c r="BY129" s="223">
        <f t="shared" si="72"/>
        <v>0.1</v>
      </c>
      <c r="BZ129" s="223">
        <f t="shared" si="73"/>
        <v>-0.1</v>
      </c>
      <c r="CA129" s="226"/>
      <c r="CB129" s="175"/>
      <c r="CC129" s="191"/>
      <c r="CD129" s="192"/>
      <c r="CE129" s="193" t="e">
        <f t="shared" si="92"/>
        <v>#DIV/0!</v>
      </c>
      <c r="CF129" s="191"/>
      <c r="CG129" s="192"/>
      <c r="CH129" s="193" t="e">
        <f t="shared" si="93"/>
        <v>#DIV/0!</v>
      </c>
      <c r="CI129" s="197"/>
      <c r="CJ129" s="198"/>
      <c r="CK129" s="193" t="e">
        <f t="shared" si="94"/>
        <v>#DIV/0!</v>
      </c>
      <c r="CL129" s="195">
        <f t="shared" si="95"/>
        <v>0</v>
      </c>
      <c r="CM129" s="194">
        <f t="shared" si="96"/>
        <v>0</v>
      </c>
      <c r="CN129" s="193" t="e">
        <f t="shared" si="97"/>
        <v>#DIV/0!</v>
      </c>
      <c r="CO129" s="175"/>
      <c r="CP129" s="196">
        <f t="shared" si="98"/>
        <v>10</v>
      </c>
      <c r="CQ129" s="196">
        <f t="shared" si="99"/>
        <v>10</v>
      </c>
      <c r="CR129" s="199">
        <f t="shared" si="100"/>
        <v>1</v>
      </c>
      <c r="CS129" s="261">
        <f t="shared" si="74"/>
        <v>90</v>
      </c>
      <c r="CT129" s="175"/>
      <c r="CU129" s="196">
        <f t="shared" si="75"/>
        <v>27</v>
      </c>
      <c r="CV129" s="259"/>
      <c r="CW129" s="199">
        <f t="shared" si="76"/>
        <v>0</v>
      </c>
      <c r="CX129" s="196">
        <f t="shared" si="77"/>
        <v>27</v>
      </c>
      <c r="CY129" s="259"/>
      <c r="CZ129" s="199">
        <f t="shared" si="78"/>
        <v>0</v>
      </c>
      <c r="DA129" s="196">
        <f t="shared" si="79"/>
        <v>27</v>
      </c>
      <c r="DB129" s="259"/>
      <c r="DC129" s="199">
        <f t="shared" si="80"/>
        <v>0</v>
      </c>
      <c r="DD129" s="196">
        <f t="shared" si="81"/>
        <v>9</v>
      </c>
      <c r="DE129" s="259"/>
      <c r="DF129" s="199">
        <f t="shared" si="82"/>
        <v>0</v>
      </c>
      <c r="DG129" s="175"/>
      <c r="DH129" s="196">
        <f t="shared" si="83"/>
        <v>100</v>
      </c>
      <c r="DI129" s="196">
        <f t="shared" si="84"/>
        <v>10</v>
      </c>
      <c r="DJ129" s="199">
        <f t="shared" si="85"/>
        <v>0.1</v>
      </c>
      <c r="DK129" s="265">
        <f t="shared" si="86"/>
        <v>90</v>
      </c>
      <c r="DL129" s="244">
        <v>125</v>
      </c>
      <c r="DM129">
        <f t="shared" si="101"/>
        <v>0</v>
      </c>
    </row>
    <row r="130" spans="1:117" x14ac:dyDescent="0.3">
      <c r="A130" s="246">
        <v>126</v>
      </c>
      <c r="B130" s="91" t="s">
        <v>270</v>
      </c>
      <c r="C130" s="91" t="s">
        <v>97</v>
      </c>
      <c r="D130" s="91" t="s">
        <v>98</v>
      </c>
      <c r="E130" s="91" t="s">
        <v>289</v>
      </c>
      <c r="F130" s="91" t="s">
        <v>484</v>
      </c>
      <c r="G130" s="87" t="s">
        <v>485</v>
      </c>
      <c r="H130" s="87" t="s">
        <v>485</v>
      </c>
      <c r="I130" s="87" t="s">
        <v>485</v>
      </c>
      <c r="J130" s="87" t="s">
        <v>485</v>
      </c>
      <c r="K130" s="85" t="s">
        <v>104</v>
      </c>
      <c r="L130" s="85" t="s">
        <v>105</v>
      </c>
      <c r="M130" s="87" t="s">
        <v>106</v>
      </c>
      <c r="N130" s="87" t="s">
        <v>482</v>
      </c>
      <c r="O130" s="87" t="s">
        <v>434</v>
      </c>
      <c r="P130" s="87" t="s">
        <v>486</v>
      </c>
      <c r="Q130" s="87" t="s">
        <v>110</v>
      </c>
      <c r="R130" s="130">
        <v>29</v>
      </c>
      <c r="S130" s="88" t="s">
        <v>111</v>
      </c>
      <c r="T130" s="81">
        <v>0</v>
      </c>
      <c r="U130" s="81">
        <v>0</v>
      </c>
      <c r="V130" s="25" t="e">
        <f t="shared" si="102"/>
        <v>#DIV/0!</v>
      </c>
      <c r="W130" s="81">
        <v>10</v>
      </c>
      <c r="X130" s="81"/>
      <c r="Y130" s="25">
        <f t="shared" si="1"/>
        <v>0</v>
      </c>
      <c r="Z130" s="81">
        <v>10</v>
      </c>
      <c r="AA130" s="81"/>
      <c r="AB130" s="25">
        <f t="shared" si="2"/>
        <v>0</v>
      </c>
      <c r="AC130" s="81">
        <v>9</v>
      </c>
      <c r="AD130" s="81"/>
      <c r="AE130" s="25">
        <f t="shared" si="3"/>
        <v>0</v>
      </c>
      <c r="AF130" s="137">
        <f t="shared" si="87"/>
        <v>29</v>
      </c>
      <c r="AG130" s="137">
        <f t="shared" si="88"/>
        <v>0</v>
      </c>
      <c r="AH130" s="128" t="e">
        <f t="shared" si="5"/>
        <v>#DIV/0!</v>
      </c>
      <c r="AI130" s="90">
        <v>46113</v>
      </c>
      <c r="AJ130" s="90">
        <v>46477</v>
      </c>
      <c r="AK130" s="91" t="s">
        <v>112</v>
      </c>
      <c r="AL130" s="91" t="s">
        <v>113</v>
      </c>
      <c r="AM130" s="92" t="s">
        <v>114</v>
      </c>
      <c r="AN130" s="93">
        <v>100000000</v>
      </c>
      <c r="AO130" s="93">
        <v>100000000</v>
      </c>
      <c r="AP130" s="93">
        <v>100000000</v>
      </c>
      <c r="AQ130" s="94">
        <v>0</v>
      </c>
      <c r="AR130" s="91" t="s">
        <v>115</v>
      </c>
      <c r="AS130" s="91" t="s">
        <v>112</v>
      </c>
      <c r="AT130" s="150" t="s">
        <v>478</v>
      </c>
      <c r="AU130" s="165" t="s">
        <v>2264</v>
      </c>
      <c r="AV130" s="232" t="s">
        <v>2234</v>
      </c>
      <c r="AW130" s="126" t="s">
        <v>2260</v>
      </c>
      <c r="BA130" s="255">
        <v>0</v>
      </c>
      <c r="BB130" s="256">
        <v>0</v>
      </c>
      <c r="BC130" s="223" t="e">
        <f t="shared" si="63"/>
        <v>#DIV/0!</v>
      </c>
      <c r="BD130" s="255">
        <v>0</v>
      </c>
      <c r="BE130" s="256">
        <v>0</v>
      </c>
      <c r="BF130" s="223" t="e">
        <f t="shared" si="64"/>
        <v>#DIV/0!</v>
      </c>
      <c r="BG130" s="255">
        <v>0</v>
      </c>
      <c r="BH130" s="256">
        <v>0</v>
      </c>
      <c r="BI130" s="223" t="e">
        <f t="shared" si="65"/>
        <v>#DIV/0!</v>
      </c>
      <c r="BJ130" s="224">
        <f t="shared" si="66"/>
        <v>0</v>
      </c>
      <c r="BK130" s="225">
        <f t="shared" si="67"/>
        <v>0</v>
      </c>
      <c r="BL130" s="223" t="e">
        <f t="shared" si="68"/>
        <v>#DIV/0!</v>
      </c>
      <c r="BM130" s="255">
        <v>29</v>
      </c>
      <c r="BN130" s="256">
        <v>2</v>
      </c>
      <c r="BO130" s="223">
        <f t="shared" si="89"/>
        <v>6.8965517241379309E-2</v>
      </c>
      <c r="BP130" s="255">
        <v>29</v>
      </c>
      <c r="BQ130" s="256">
        <v>5</v>
      </c>
      <c r="BR130" s="223">
        <f t="shared" si="90"/>
        <v>0.17241379310344829</v>
      </c>
      <c r="BS130" s="255">
        <v>29</v>
      </c>
      <c r="BT130" s="255">
        <v>3</v>
      </c>
      <c r="BU130" s="223">
        <f t="shared" si="91"/>
        <v>0.10344827586206896</v>
      </c>
      <c r="BV130" s="224">
        <f t="shared" si="69"/>
        <v>87</v>
      </c>
      <c r="BW130" s="224">
        <f t="shared" si="70"/>
        <v>10</v>
      </c>
      <c r="BX130" s="223">
        <f t="shared" si="71"/>
        <v>0.11494252873563218</v>
      </c>
      <c r="BY130" s="223">
        <f t="shared" si="72"/>
        <v>0.34482758620689657</v>
      </c>
      <c r="BZ130" s="223">
        <f t="shared" si="73"/>
        <v>-0.34482758620689657</v>
      </c>
      <c r="CA130" s="226"/>
      <c r="CB130" s="175"/>
      <c r="CC130" s="191">
        <v>29</v>
      </c>
      <c r="CD130" s="192">
        <v>2</v>
      </c>
      <c r="CE130" s="193">
        <f t="shared" si="92"/>
        <v>6.8965517241379309E-2</v>
      </c>
      <c r="CF130" s="191"/>
      <c r="CG130" s="192"/>
      <c r="CH130" s="193" t="e">
        <f t="shared" si="93"/>
        <v>#DIV/0!</v>
      </c>
      <c r="CI130" s="197"/>
      <c r="CJ130" s="198"/>
      <c r="CK130" s="193" t="e">
        <f t="shared" si="94"/>
        <v>#DIV/0!</v>
      </c>
      <c r="CL130" s="195">
        <f t="shared" si="95"/>
        <v>29</v>
      </c>
      <c r="CM130" s="194">
        <f t="shared" si="96"/>
        <v>2</v>
      </c>
      <c r="CN130" s="193">
        <f t="shared" si="97"/>
        <v>6.8965517241379309E-2</v>
      </c>
      <c r="CO130" s="175"/>
      <c r="CP130" s="196">
        <f t="shared" si="98"/>
        <v>116</v>
      </c>
      <c r="CQ130" s="196">
        <f t="shared" si="99"/>
        <v>12</v>
      </c>
      <c r="CR130" s="199">
        <f t="shared" si="100"/>
        <v>0.10344827586206896</v>
      </c>
      <c r="CS130" s="261">
        <f t="shared" si="74"/>
        <v>17</v>
      </c>
      <c r="CT130" s="175"/>
      <c r="CU130" s="196">
        <f t="shared" si="75"/>
        <v>5.0999999999999996</v>
      </c>
      <c r="CV130" s="259"/>
      <c r="CW130" s="199">
        <f t="shared" si="76"/>
        <v>0</v>
      </c>
      <c r="CX130" s="196">
        <f t="shared" si="77"/>
        <v>5.0999999999999996</v>
      </c>
      <c r="CY130" s="259"/>
      <c r="CZ130" s="199">
        <f t="shared" si="78"/>
        <v>0</v>
      </c>
      <c r="DA130" s="196">
        <f t="shared" si="79"/>
        <v>5.0999999999999996</v>
      </c>
      <c r="DB130" s="259"/>
      <c r="DC130" s="199">
        <f t="shared" si="80"/>
        <v>0</v>
      </c>
      <c r="DD130" s="196">
        <f t="shared" si="81"/>
        <v>1.7000000000000002</v>
      </c>
      <c r="DE130" s="259"/>
      <c r="DF130" s="199">
        <f t="shared" si="82"/>
        <v>0</v>
      </c>
      <c r="DG130" s="175"/>
      <c r="DH130" s="196">
        <f t="shared" si="83"/>
        <v>29</v>
      </c>
      <c r="DI130" s="196">
        <f t="shared" si="84"/>
        <v>12</v>
      </c>
      <c r="DJ130" s="199">
        <f t="shared" si="85"/>
        <v>0.41379310344827586</v>
      </c>
      <c r="DK130" s="265">
        <f t="shared" si="86"/>
        <v>17</v>
      </c>
      <c r="DL130" s="244">
        <v>126</v>
      </c>
      <c r="DM130">
        <f t="shared" si="101"/>
        <v>0</v>
      </c>
    </row>
    <row r="131" spans="1:117" x14ac:dyDescent="0.3">
      <c r="A131" s="246">
        <v>127</v>
      </c>
      <c r="B131" s="91" t="s">
        <v>270</v>
      </c>
      <c r="C131" s="91" t="s">
        <v>195</v>
      </c>
      <c r="D131" s="91" t="s">
        <v>196</v>
      </c>
      <c r="E131" s="91" t="s">
        <v>487</v>
      </c>
      <c r="F131" s="91" t="s">
        <v>488</v>
      </c>
      <c r="G131" s="87" t="s">
        <v>489</v>
      </c>
      <c r="H131" s="87" t="s">
        <v>301</v>
      </c>
      <c r="I131" s="87" t="s">
        <v>474</v>
      </c>
      <c r="J131" s="87" t="s">
        <v>474</v>
      </c>
      <c r="K131" s="85" t="s">
        <v>104</v>
      </c>
      <c r="L131" s="85" t="s">
        <v>105</v>
      </c>
      <c r="M131" s="87" t="s">
        <v>106</v>
      </c>
      <c r="N131" s="87" t="s">
        <v>490</v>
      </c>
      <c r="O131" s="87" t="s">
        <v>491</v>
      </c>
      <c r="P131" s="99" t="s">
        <v>492</v>
      </c>
      <c r="Q131" s="87" t="s">
        <v>129</v>
      </c>
      <c r="R131" s="130">
        <v>29</v>
      </c>
      <c r="S131" s="88" t="s">
        <v>111</v>
      </c>
      <c r="T131" s="81">
        <v>0</v>
      </c>
      <c r="U131" s="100">
        <v>0</v>
      </c>
      <c r="V131" s="25" t="e">
        <f t="shared" si="102"/>
        <v>#DIV/0!</v>
      </c>
      <c r="W131" s="81">
        <v>10</v>
      </c>
      <c r="X131" s="81"/>
      <c r="Y131" s="25">
        <f t="shared" si="1"/>
        <v>0</v>
      </c>
      <c r="Z131" s="81">
        <v>10</v>
      </c>
      <c r="AA131" s="81"/>
      <c r="AB131" s="25">
        <f t="shared" si="2"/>
        <v>0</v>
      </c>
      <c r="AC131" s="81">
        <v>9</v>
      </c>
      <c r="AD131" s="81"/>
      <c r="AE131" s="25">
        <f t="shared" si="3"/>
        <v>0</v>
      </c>
      <c r="AF131" s="137">
        <f t="shared" si="87"/>
        <v>29</v>
      </c>
      <c r="AG131" s="137">
        <f t="shared" si="88"/>
        <v>0</v>
      </c>
      <c r="AH131" s="128" t="e">
        <f t="shared" si="5"/>
        <v>#DIV/0!</v>
      </c>
      <c r="AI131" s="90">
        <v>46113</v>
      </c>
      <c r="AJ131" s="90">
        <v>46477</v>
      </c>
      <c r="AK131" s="91" t="s">
        <v>112</v>
      </c>
      <c r="AL131" s="91" t="s">
        <v>113</v>
      </c>
      <c r="AM131" s="92" t="s">
        <v>114</v>
      </c>
      <c r="AN131" s="93">
        <v>60000000</v>
      </c>
      <c r="AO131" s="93">
        <v>60000000</v>
      </c>
      <c r="AP131" s="93">
        <v>60000000</v>
      </c>
      <c r="AQ131" s="94">
        <v>0</v>
      </c>
      <c r="AR131" s="91" t="s">
        <v>159</v>
      </c>
      <c r="AS131" s="91" t="s">
        <v>112</v>
      </c>
      <c r="AT131" s="150" t="s">
        <v>478</v>
      </c>
      <c r="AU131" s="165" t="s">
        <v>2264</v>
      </c>
      <c r="AV131" s="232" t="s">
        <v>2234</v>
      </c>
      <c r="AW131" s="126" t="s">
        <v>2260</v>
      </c>
      <c r="BA131" s="255"/>
      <c r="BB131" s="256"/>
      <c r="BC131" s="223" t="e">
        <f t="shared" si="63"/>
        <v>#DIV/0!</v>
      </c>
      <c r="BD131" s="255"/>
      <c r="BE131" s="256"/>
      <c r="BF131" s="223" t="e">
        <f t="shared" si="64"/>
        <v>#DIV/0!</v>
      </c>
      <c r="BG131" s="255"/>
      <c r="BH131" s="256"/>
      <c r="BI131" s="223" t="e">
        <f t="shared" si="65"/>
        <v>#DIV/0!</v>
      </c>
      <c r="BJ131" s="224">
        <f t="shared" si="66"/>
        <v>0</v>
      </c>
      <c r="BK131" s="225">
        <f t="shared" si="67"/>
        <v>0</v>
      </c>
      <c r="BL131" s="223" t="e">
        <f t="shared" si="68"/>
        <v>#DIV/0!</v>
      </c>
      <c r="BM131" s="255"/>
      <c r="BN131" s="256"/>
      <c r="BO131" s="223" t="e">
        <f t="shared" si="89"/>
        <v>#DIV/0!</v>
      </c>
      <c r="BP131" s="255"/>
      <c r="BQ131" s="256"/>
      <c r="BR131" s="223" t="e">
        <f t="shared" si="90"/>
        <v>#DIV/0!</v>
      </c>
      <c r="BS131" s="255"/>
      <c r="BT131" s="255"/>
      <c r="BU131" s="223" t="e">
        <f t="shared" si="91"/>
        <v>#DIV/0!</v>
      </c>
      <c r="BV131" s="224">
        <f t="shared" si="69"/>
        <v>0</v>
      </c>
      <c r="BW131" s="224">
        <f t="shared" si="70"/>
        <v>0</v>
      </c>
      <c r="BX131" s="223" t="e">
        <f t="shared" si="71"/>
        <v>#DIV/0!</v>
      </c>
      <c r="BY131" s="223">
        <f t="shared" si="72"/>
        <v>0</v>
      </c>
      <c r="BZ131" s="223">
        <f t="shared" si="73"/>
        <v>0</v>
      </c>
      <c r="CA131" s="226"/>
      <c r="CB131" s="175"/>
      <c r="CC131" s="191"/>
      <c r="CD131" s="192"/>
      <c r="CE131" s="193" t="e">
        <f t="shared" si="92"/>
        <v>#DIV/0!</v>
      </c>
      <c r="CF131" s="191"/>
      <c r="CG131" s="192"/>
      <c r="CH131" s="193" t="e">
        <f t="shared" si="93"/>
        <v>#DIV/0!</v>
      </c>
      <c r="CI131" s="197"/>
      <c r="CJ131" s="198"/>
      <c r="CK131" s="193" t="e">
        <f t="shared" si="94"/>
        <v>#DIV/0!</v>
      </c>
      <c r="CL131" s="195">
        <f t="shared" si="95"/>
        <v>0</v>
      </c>
      <c r="CM131" s="194">
        <f t="shared" si="96"/>
        <v>0</v>
      </c>
      <c r="CN131" s="193" t="e">
        <f t="shared" si="97"/>
        <v>#DIV/0!</v>
      </c>
      <c r="CO131" s="175"/>
      <c r="CP131" s="196">
        <f t="shared" si="98"/>
        <v>0</v>
      </c>
      <c r="CQ131" s="196">
        <f t="shared" si="99"/>
        <v>0</v>
      </c>
      <c r="CR131" s="199" t="e">
        <f t="shared" si="100"/>
        <v>#DIV/0!</v>
      </c>
      <c r="CS131" s="261">
        <f t="shared" si="74"/>
        <v>29</v>
      </c>
      <c r="CT131" s="175"/>
      <c r="CU131" s="196">
        <f t="shared" si="75"/>
        <v>8.6999999999999993</v>
      </c>
      <c r="CV131" s="259"/>
      <c r="CW131" s="199">
        <f t="shared" si="76"/>
        <v>0</v>
      </c>
      <c r="CX131" s="196">
        <f t="shared" si="77"/>
        <v>8.6999999999999993</v>
      </c>
      <c r="CY131" s="259"/>
      <c r="CZ131" s="199">
        <f t="shared" si="78"/>
        <v>0</v>
      </c>
      <c r="DA131" s="196">
        <f t="shared" si="79"/>
        <v>8.6999999999999993</v>
      </c>
      <c r="DB131" s="259"/>
      <c r="DC131" s="199">
        <f t="shared" si="80"/>
        <v>0</v>
      </c>
      <c r="DD131" s="196">
        <f t="shared" si="81"/>
        <v>2.9000000000000004</v>
      </c>
      <c r="DE131" s="259"/>
      <c r="DF131" s="199">
        <f t="shared" si="82"/>
        <v>0</v>
      </c>
      <c r="DG131" s="175"/>
      <c r="DH131" s="196">
        <f t="shared" si="83"/>
        <v>29</v>
      </c>
      <c r="DI131" s="196">
        <f t="shared" si="84"/>
        <v>0</v>
      </c>
      <c r="DJ131" s="199">
        <f t="shared" si="85"/>
        <v>0</v>
      </c>
      <c r="DK131" s="265">
        <f t="shared" si="86"/>
        <v>29</v>
      </c>
      <c r="DL131" s="244">
        <v>127</v>
      </c>
      <c r="DM131">
        <f t="shared" si="101"/>
        <v>0</v>
      </c>
    </row>
    <row r="132" spans="1:117" ht="26.4" x14ac:dyDescent="0.3">
      <c r="A132" s="246">
        <v>128</v>
      </c>
      <c r="B132" s="91" t="s">
        <v>270</v>
      </c>
      <c r="C132" s="91" t="s">
        <v>133</v>
      </c>
      <c r="D132" s="91" t="s">
        <v>119</v>
      </c>
      <c r="E132" s="91" t="s">
        <v>289</v>
      </c>
      <c r="F132" s="91" t="s">
        <v>493</v>
      </c>
      <c r="G132" s="87" t="s">
        <v>489</v>
      </c>
      <c r="H132" s="87" t="s">
        <v>301</v>
      </c>
      <c r="I132" s="87" t="s">
        <v>103</v>
      </c>
      <c r="J132" s="87" t="s">
        <v>103</v>
      </c>
      <c r="K132" s="85" t="s">
        <v>104</v>
      </c>
      <c r="L132" s="85" t="s">
        <v>105</v>
      </c>
      <c r="M132" s="87" t="s">
        <v>106</v>
      </c>
      <c r="N132" s="87" t="s">
        <v>494</v>
      </c>
      <c r="O132" s="87" t="s">
        <v>495</v>
      </c>
      <c r="P132" s="266" t="s">
        <v>496</v>
      </c>
      <c r="Q132" s="87" t="s">
        <v>129</v>
      </c>
      <c r="R132" s="130">
        <v>1</v>
      </c>
      <c r="S132" s="88" t="s">
        <v>111</v>
      </c>
      <c r="T132" s="81">
        <v>0</v>
      </c>
      <c r="U132" s="81">
        <v>0</v>
      </c>
      <c r="V132" s="28" t="e">
        <f t="shared" si="102"/>
        <v>#DIV/0!</v>
      </c>
      <c r="W132" s="81">
        <v>0</v>
      </c>
      <c r="X132" s="81"/>
      <c r="Y132" s="25" t="e">
        <f t="shared" si="1"/>
        <v>#DIV/0!</v>
      </c>
      <c r="Z132" s="81">
        <v>1</v>
      </c>
      <c r="AA132" s="81"/>
      <c r="AB132" s="25">
        <f t="shared" si="2"/>
        <v>0</v>
      </c>
      <c r="AC132" s="81">
        <v>0</v>
      </c>
      <c r="AD132" s="81"/>
      <c r="AE132" s="25" t="e">
        <f t="shared" si="3"/>
        <v>#DIV/0!</v>
      </c>
      <c r="AF132" s="137">
        <f t="shared" si="87"/>
        <v>1</v>
      </c>
      <c r="AG132" s="137">
        <f t="shared" si="88"/>
        <v>0</v>
      </c>
      <c r="AH132" s="128" t="e">
        <f t="shared" si="5"/>
        <v>#DIV/0!</v>
      </c>
      <c r="AI132" s="90">
        <v>46113</v>
      </c>
      <c r="AJ132" s="90">
        <v>46477</v>
      </c>
      <c r="AK132" s="91" t="s">
        <v>112</v>
      </c>
      <c r="AL132" s="91" t="s">
        <v>113</v>
      </c>
      <c r="AM132" s="92" t="s">
        <v>114</v>
      </c>
      <c r="AN132" s="93">
        <v>30000000</v>
      </c>
      <c r="AO132" s="93">
        <v>30000000</v>
      </c>
      <c r="AP132" s="93">
        <v>30000000</v>
      </c>
      <c r="AQ132" s="94">
        <v>0</v>
      </c>
      <c r="AR132" s="91" t="s">
        <v>159</v>
      </c>
      <c r="AS132" s="91" t="s">
        <v>112</v>
      </c>
      <c r="AT132" s="150" t="s">
        <v>478</v>
      </c>
      <c r="AU132" s="165" t="s">
        <v>2264</v>
      </c>
      <c r="AV132" s="232" t="s">
        <v>2234</v>
      </c>
      <c r="AW132" s="126" t="s">
        <v>2260</v>
      </c>
      <c r="BA132" s="255"/>
      <c r="BB132" s="256"/>
      <c r="BC132" s="223" t="e">
        <f t="shared" si="63"/>
        <v>#DIV/0!</v>
      </c>
      <c r="BD132" s="255"/>
      <c r="BE132" s="256"/>
      <c r="BF132" s="223" t="e">
        <f t="shared" si="64"/>
        <v>#DIV/0!</v>
      </c>
      <c r="BG132" s="255"/>
      <c r="BH132" s="256"/>
      <c r="BI132" s="223" t="e">
        <f t="shared" si="65"/>
        <v>#DIV/0!</v>
      </c>
      <c r="BJ132" s="224">
        <f t="shared" si="66"/>
        <v>0</v>
      </c>
      <c r="BK132" s="225">
        <f t="shared" si="67"/>
        <v>0</v>
      </c>
      <c r="BL132" s="223" t="e">
        <f t="shared" si="68"/>
        <v>#DIV/0!</v>
      </c>
      <c r="BM132" s="255"/>
      <c r="BN132" s="256"/>
      <c r="BO132" s="223" t="e">
        <f t="shared" si="89"/>
        <v>#DIV/0!</v>
      </c>
      <c r="BP132" s="255"/>
      <c r="BQ132" s="256"/>
      <c r="BR132" s="223" t="e">
        <f t="shared" si="90"/>
        <v>#DIV/0!</v>
      </c>
      <c r="BS132" s="255"/>
      <c r="BT132" s="255"/>
      <c r="BU132" s="223" t="e">
        <f t="shared" si="91"/>
        <v>#DIV/0!</v>
      </c>
      <c r="BV132" s="224">
        <f t="shared" si="69"/>
        <v>0</v>
      </c>
      <c r="BW132" s="224">
        <f t="shared" si="70"/>
        <v>0</v>
      </c>
      <c r="BX132" s="223" t="e">
        <f t="shared" si="71"/>
        <v>#DIV/0!</v>
      </c>
      <c r="BY132" s="223">
        <f t="shared" si="72"/>
        <v>0</v>
      </c>
      <c r="BZ132" s="223">
        <f t="shared" si="73"/>
        <v>0</v>
      </c>
      <c r="CA132" s="226"/>
      <c r="CB132" s="175"/>
      <c r="CC132" s="191"/>
      <c r="CD132" s="192"/>
      <c r="CE132" s="193" t="e">
        <f t="shared" si="92"/>
        <v>#DIV/0!</v>
      </c>
      <c r="CF132" s="191"/>
      <c r="CG132" s="192"/>
      <c r="CH132" s="193" t="e">
        <f t="shared" si="93"/>
        <v>#DIV/0!</v>
      </c>
      <c r="CI132" s="197"/>
      <c r="CJ132" s="198"/>
      <c r="CK132" s="193" t="e">
        <f t="shared" si="94"/>
        <v>#DIV/0!</v>
      </c>
      <c r="CL132" s="195">
        <f t="shared" si="95"/>
        <v>0</v>
      </c>
      <c r="CM132" s="194">
        <f t="shared" si="96"/>
        <v>0</v>
      </c>
      <c r="CN132" s="193" t="e">
        <f t="shared" si="97"/>
        <v>#DIV/0!</v>
      </c>
      <c r="CO132" s="175"/>
      <c r="CP132" s="196">
        <f t="shared" si="98"/>
        <v>0</v>
      </c>
      <c r="CQ132" s="196">
        <f t="shared" si="99"/>
        <v>0</v>
      </c>
      <c r="CR132" s="199" t="e">
        <f t="shared" si="100"/>
        <v>#DIV/0!</v>
      </c>
      <c r="CS132" s="261">
        <f t="shared" si="74"/>
        <v>1</v>
      </c>
      <c r="CT132" s="175"/>
      <c r="CU132" s="196">
        <f t="shared" si="75"/>
        <v>0.3</v>
      </c>
      <c r="CV132" s="259"/>
      <c r="CW132" s="199">
        <f t="shared" si="76"/>
        <v>0</v>
      </c>
      <c r="CX132" s="196">
        <f t="shared" si="77"/>
        <v>0.3</v>
      </c>
      <c r="CY132" s="259"/>
      <c r="CZ132" s="199">
        <f t="shared" si="78"/>
        <v>0</v>
      </c>
      <c r="DA132" s="196">
        <f t="shared" si="79"/>
        <v>0.3</v>
      </c>
      <c r="DB132" s="259"/>
      <c r="DC132" s="199">
        <f t="shared" si="80"/>
        <v>0</v>
      </c>
      <c r="DD132" s="196">
        <f t="shared" si="81"/>
        <v>0.1</v>
      </c>
      <c r="DE132" s="259"/>
      <c r="DF132" s="199">
        <f t="shared" si="82"/>
        <v>0</v>
      </c>
      <c r="DG132" s="175"/>
      <c r="DH132" s="196">
        <f t="shared" si="83"/>
        <v>1</v>
      </c>
      <c r="DI132" s="196">
        <f t="shared" si="84"/>
        <v>0</v>
      </c>
      <c r="DJ132" s="199">
        <f t="shared" si="85"/>
        <v>0</v>
      </c>
      <c r="DK132" s="265">
        <f t="shared" si="86"/>
        <v>1</v>
      </c>
      <c r="DL132" s="244">
        <v>128</v>
      </c>
      <c r="DM132">
        <f t="shared" si="101"/>
        <v>0</v>
      </c>
    </row>
    <row r="133" spans="1:117" x14ac:dyDescent="0.3">
      <c r="A133" s="246">
        <v>129</v>
      </c>
      <c r="B133" s="91" t="s">
        <v>270</v>
      </c>
      <c r="C133" s="91" t="s">
        <v>118</v>
      </c>
      <c r="D133" s="91" t="s">
        <v>119</v>
      </c>
      <c r="E133" s="91" t="s">
        <v>120</v>
      </c>
      <c r="F133" s="91" t="s">
        <v>497</v>
      </c>
      <c r="G133" s="87" t="s">
        <v>489</v>
      </c>
      <c r="H133" s="87" t="s">
        <v>301</v>
      </c>
      <c r="I133" s="87" t="s">
        <v>153</v>
      </c>
      <c r="J133" s="87" t="s">
        <v>153</v>
      </c>
      <c r="K133" s="85" t="s">
        <v>104</v>
      </c>
      <c r="L133" s="85" t="s">
        <v>105</v>
      </c>
      <c r="M133" s="87" t="s">
        <v>106</v>
      </c>
      <c r="N133" s="87" t="s">
        <v>498</v>
      </c>
      <c r="O133" s="87" t="s">
        <v>293</v>
      </c>
      <c r="P133" s="99" t="s">
        <v>499</v>
      </c>
      <c r="Q133" s="87" t="s">
        <v>129</v>
      </c>
      <c r="R133" s="130">
        <v>1</v>
      </c>
      <c r="S133" s="88" t="s">
        <v>111</v>
      </c>
      <c r="T133" s="81">
        <v>0</v>
      </c>
      <c r="U133" s="81">
        <v>0</v>
      </c>
      <c r="V133" s="29">
        <v>0</v>
      </c>
      <c r="W133" s="81">
        <v>0</v>
      </c>
      <c r="X133" s="81"/>
      <c r="Y133" s="25" t="e">
        <f t="shared" si="1"/>
        <v>#DIV/0!</v>
      </c>
      <c r="Z133" s="81">
        <v>0</v>
      </c>
      <c r="AA133" s="81"/>
      <c r="AB133" s="25" t="e">
        <f t="shared" si="2"/>
        <v>#DIV/0!</v>
      </c>
      <c r="AC133" s="81">
        <v>1</v>
      </c>
      <c r="AD133" s="81"/>
      <c r="AE133" s="25">
        <f t="shared" si="3"/>
        <v>0</v>
      </c>
      <c r="AF133" s="137">
        <f t="shared" si="87"/>
        <v>1</v>
      </c>
      <c r="AG133" s="137">
        <f t="shared" si="88"/>
        <v>0</v>
      </c>
      <c r="AH133" s="128" t="e">
        <f t="shared" si="5"/>
        <v>#DIV/0!</v>
      </c>
      <c r="AI133" s="90">
        <v>46113</v>
      </c>
      <c r="AJ133" s="90">
        <v>46477</v>
      </c>
      <c r="AK133" s="91" t="s">
        <v>112</v>
      </c>
      <c r="AL133" s="91" t="s">
        <v>113</v>
      </c>
      <c r="AM133" s="92" t="s">
        <v>114</v>
      </c>
      <c r="AN133" s="93"/>
      <c r="AO133" s="93"/>
      <c r="AP133" s="93"/>
      <c r="AQ133" s="94"/>
      <c r="AR133" s="91" t="s">
        <v>159</v>
      </c>
      <c r="AS133" s="91" t="s">
        <v>112</v>
      </c>
      <c r="AT133" s="150" t="s">
        <v>478</v>
      </c>
      <c r="AU133" s="165" t="s">
        <v>2264</v>
      </c>
      <c r="AV133" s="232" t="s">
        <v>2234</v>
      </c>
      <c r="AW133" s="126" t="s">
        <v>2260</v>
      </c>
      <c r="BA133" s="255"/>
      <c r="BB133" s="256"/>
      <c r="BC133" s="223" t="e">
        <f t="shared" si="63"/>
        <v>#DIV/0!</v>
      </c>
      <c r="BD133" s="255"/>
      <c r="BE133" s="256"/>
      <c r="BF133" s="223" t="e">
        <f t="shared" si="64"/>
        <v>#DIV/0!</v>
      </c>
      <c r="BG133" s="255"/>
      <c r="BH133" s="256"/>
      <c r="BI133" s="223" t="e">
        <f t="shared" si="65"/>
        <v>#DIV/0!</v>
      </c>
      <c r="BJ133" s="224">
        <f t="shared" si="66"/>
        <v>0</v>
      </c>
      <c r="BK133" s="225">
        <f t="shared" si="67"/>
        <v>0</v>
      </c>
      <c r="BL133" s="223" t="e">
        <f t="shared" si="68"/>
        <v>#DIV/0!</v>
      </c>
      <c r="BM133" s="255"/>
      <c r="BN133" s="256"/>
      <c r="BO133" s="223" t="e">
        <f t="shared" si="89"/>
        <v>#DIV/0!</v>
      </c>
      <c r="BP133" s="255"/>
      <c r="BQ133" s="256"/>
      <c r="BR133" s="223" t="e">
        <f t="shared" si="90"/>
        <v>#DIV/0!</v>
      </c>
      <c r="BS133" s="255"/>
      <c r="BT133" s="255"/>
      <c r="BU133" s="223" t="e">
        <f t="shared" si="91"/>
        <v>#DIV/0!</v>
      </c>
      <c r="BV133" s="224">
        <f t="shared" si="69"/>
        <v>0</v>
      </c>
      <c r="BW133" s="224">
        <f t="shared" si="70"/>
        <v>0</v>
      </c>
      <c r="BX133" s="223" t="e">
        <f t="shared" si="71"/>
        <v>#DIV/0!</v>
      </c>
      <c r="BY133" s="223">
        <f t="shared" si="72"/>
        <v>0</v>
      </c>
      <c r="BZ133" s="223">
        <f t="shared" si="73"/>
        <v>0</v>
      </c>
      <c r="CA133" s="226"/>
      <c r="CB133" s="175"/>
      <c r="CC133" s="191"/>
      <c r="CD133" s="192"/>
      <c r="CE133" s="193" t="e">
        <f t="shared" si="92"/>
        <v>#DIV/0!</v>
      </c>
      <c r="CF133" s="191"/>
      <c r="CG133" s="192"/>
      <c r="CH133" s="193" t="e">
        <f t="shared" si="93"/>
        <v>#DIV/0!</v>
      </c>
      <c r="CI133" s="197"/>
      <c r="CJ133" s="198"/>
      <c r="CK133" s="193" t="e">
        <f t="shared" si="94"/>
        <v>#DIV/0!</v>
      </c>
      <c r="CL133" s="195">
        <f t="shared" si="95"/>
        <v>0</v>
      </c>
      <c r="CM133" s="194">
        <f t="shared" si="96"/>
        <v>0</v>
      </c>
      <c r="CN133" s="193" t="e">
        <f t="shared" si="97"/>
        <v>#DIV/0!</v>
      </c>
      <c r="CO133" s="175"/>
      <c r="CP133" s="196">
        <f t="shared" si="98"/>
        <v>0</v>
      </c>
      <c r="CQ133" s="196">
        <f t="shared" si="99"/>
        <v>0</v>
      </c>
      <c r="CR133" s="199" t="e">
        <f t="shared" si="100"/>
        <v>#DIV/0!</v>
      </c>
      <c r="CS133" s="261">
        <f t="shared" si="74"/>
        <v>1</v>
      </c>
      <c r="CT133" s="175"/>
      <c r="CU133" s="196">
        <f t="shared" si="75"/>
        <v>0.3</v>
      </c>
      <c r="CV133" s="259"/>
      <c r="CW133" s="199">
        <f t="shared" si="76"/>
        <v>0</v>
      </c>
      <c r="CX133" s="196">
        <f t="shared" si="77"/>
        <v>0.3</v>
      </c>
      <c r="CY133" s="259"/>
      <c r="CZ133" s="199">
        <f t="shared" si="78"/>
        <v>0</v>
      </c>
      <c r="DA133" s="196">
        <f t="shared" si="79"/>
        <v>0.3</v>
      </c>
      <c r="DB133" s="259"/>
      <c r="DC133" s="199">
        <f t="shared" si="80"/>
        <v>0</v>
      </c>
      <c r="DD133" s="196">
        <f t="shared" si="81"/>
        <v>0.1</v>
      </c>
      <c r="DE133" s="259"/>
      <c r="DF133" s="199">
        <f t="shared" si="82"/>
        <v>0</v>
      </c>
      <c r="DG133" s="175"/>
      <c r="DH133" s="196">
        <f t="shared" si="83"/>
        <v>1</v>
      </c>
      <c r="DI133" s="196">
        <f t="shared" si="84"/>
        <v>0</v>
      </c>
      <c r="DJ133" s="199">
        <f t="shared" si="85"/>
        <v>0</v>
      </c>
      <c r="DK133" s="265">
        <f t="shared" si="86"/>
        <v>1</v>
      </c>
      <c r="DL133" s="244">
        <v>129</v>
      </c>
      <c r="DM133">
        <f t="shared" ref="DM133:DM164" si="103">+A133-DL133</f>
        <v>0</v>
      </c>
    </row>
    <row r="134" spans="1:117" ht="39.6" x14ac:dyDescent="0.3">
      <c r="A134" s="246">
        <v>130</v>
      </c>
      <c r="B134" s="91" t="s">
        <v>270</v>
      </c>
      <c r="C134" s="91" t="s">
        <v>133</v>
      </c>
      <c r="D134" s="91" t="s">
        <v>119</v>
      </c>
      <c r="E134" s="91" t="s">
        <v>289</v>
      </c>
      <c r="F134" s="91" t="s">
        <v>500</v>
      </c>
      <c r="G134" s="87" t="s">
        <v>489</v>
      </c>
      <c r="H134" s="87" t="s">
        <v>301</v>
      </c>
      <c r="I134" s="87" t="s">
        <v>103</v>
      </c>
      <c r="J134" s="87" t="s">
        <v>103</v>
      </c>
      <c r="K134" s="85" t="s">
        <v>104</v>
      </c>
      <c r="L134" s="85" t="s">
        <v>105</v>
      </c>
      <c r="M134" s="87" t="s">
        <v>106</v>
      </c>
      <c r="N134" s="87" t="s">
        <v>501</v>
      </c>
      <c r="O134" s="87" t="s">
        <v>495</v>
      </c>
      <c r="P134" s="266" t="s">
        <v>502</v>
      </c>
      <c r="Q134" s="87" t="s">
        <v>129</v>
      </c>
      <c r="R134" s="130">
        <v>1</v>
      </c>
      <c r="S134" s="88" t="s">
        <v>111</v>
      </c>
      <c r="T134" s="81">
        <v>0</v>
      </c>
      <c r="U134" s="81">
        <v>0</v>
      </c>
      <c r="V134" s="25" t="e">
        <f>U134/T134*100</f>
        <v>#DIV/0!</v>
      </c>
      <c r="W134" s="81">
        <v>1</v>
      </c>
      <c r="X134" s="81"/>
      <c r="Y134" s="25">
        <f t="shared" si="1"/>
        <v>0</v>
      </c>
      <c r="Z134" s="81">
        <v>0</v>
      </c>
      <c r="AA134" s="81"/>
      <c r="AB134" s="25" t="e">
        <f t="shared" si="2"/>
        <v>#DIV/0!</v>
      </c>
      <c r="AC134" s="81">
        <v>0</v>
      </c>
      <c r="AD134" s="81"/>
      <c r="AE134" s="25" t="e">
        <f t="shared" si="3"/>
        <v>#DIV/0!</v>
      </c>
      <c r="AF134" s="137">
        <f t="shared" si="87"/>
        <v>1</v>
      </c>
      <c r="AG134" s="137">
        <f t="shared" si="88"/>
        <v>0</v>
      </c>
      <c r="AH134" s="128" t="e">
        <f t="shared" si="5"/>
        <v>#DIV/0!</v>
      </c>
      <c r="AI134" s="90">
        <v>46113</v>
      </c>
      <c r="AJ134" s="90">
        <v>46387</v>
      </c>
      <c r="AK134" s="91" t="s">
        <v>112</v>
      </c>
      <c r="AL134" s="91" t="s">
        <v>113</v>
      </c>
      <c r="AM134" s="92" t="s">
        <v>114</v>
      </c>
      <c r="AN134" s="93">
        <v>30000000</v>
      </c>
      <c r="AO134" s="93">
        <v>30000000</v>
      </c>
      <c r="AP134" s="93">
        <v>30000000</v>
      </c>
      <c r="AQ134" s="94">
        <v>0</v>
      </c>
      <c r="AR134" s="91" t="s">
        <v>115</v>
      </c>
      <c r="AS134" s="91" t="s">
        <v>112</v>
      </c>
      <c r="AT134" s="150" t="s">
        <v>478</v>
      </c>
      <c r="AU134" s="165" t="s">
        <v>2264</v>
      </c>
      <c r="AV134" s="232" t="s">
        <v>2234</v>
      </c>
      <c r="AW134" s="126" t="s">
        <v>2260</v>
      </c>
      <c r="BA134" s="255"/>
      <c r="BB134" s="256"/>
      <c r="BC134" s="223" t="e">
        <f t="shared" ref="BC134:BC197" si="104">+BB134/BA134</f>
        <v>#DIV/0!</v>
      </c>
      <c r="BD134" s="255"/>
      <c r="BE134" s="256"/>
      <c r="BF134" s="223" t="e">
        <f t="shared" ref="BF134:BF197" si="105">+BE134/BD134</f>
        <v>#DIV/0!</v>
      </c>
      <c r="BG134" s="255"/>
      <c r="BH134" s="256"/>
      <c r="BI134" s="223" t="e">
        <f t="shared" ref="BI134:BI197" si="106">+BH134/BG134</f>
        <v>#DIV/0!</v>
      </c>
      <c r="BJ134" s="224">
        <f t="shared" ref="BJ134:BJ197" si="107">+BA134+BD134+BG134</f>
        <v>0</v>
      </c>
      <c r="BK134" s="225">
        <f t="shared" ref="BK134:BK197" si="108">+BB134+BE134+BH134</f>
        <v>0</v>
      </c>
      <c r="BL134" s="223" t="e">
        <f t="shared" ref="BL134:BL197" si="109">+BK134/BJ134</f>
        <v>#DIV/0!</v>
      </c>
      <c r="BM134" s="255"/>
      <c r="BN134" s="256"/>
      <c r="BO134" s="223" t="e">
        <f t="shared" si="89"/>
        <v>#DIV/0!</v>
      </c>
      <c r="BP134" s="255"/>
      <c r="BQ134" s="256"/>
      <c r="BR134" s="223" t="e">
        <f t="shared" si="90"/>
        <v>#DIV/0!</v>
      </c>
      <c r="BS134" s="255"/>
      <c r="BT134" s="255"/>
      <c r="BU134" s="223" t="e">
        <f t="shared" si="91"/>
        <v>#DIV/0!</v>
      </c>
      <c r="BV134" s="224">
        <f t="shared" ref="BV134:BV197" si="110">+BM134+BP134+BS134</f>
        <v>0</v>
      </c>
      <c r="BW134" s="224">
        <f t="shared" ref="BW134:BW197" si="111">+BN134+BQ134+BT134</f>
        <v>0</v>
      </c>
      <c r="BX134" s="223" t="e">
        <f t="shared" ref="BX134:BX197" si="112">+BW134/BV134</f>
        <v>#DIV/0!</v>
      </c>
      <c r="BY134" s="223">
        <f t="shared" ref="BY134:BY197" si="113">+(BK134+BW134)/R134</f>
        <v>0</v>
      </c>
      <c r="BZ134" s="223">
        <f t="shared" ref="BZ134:BZ197" si="114">+$BZ$2-BY134</f>
        <v>0</v>
      </c>
      <c r="CA134" s="226"/>
      <c r="CB134" s="175"/>
      <c r="CC134" s="191"/>
      <c r="CD134" s="192"/>
      <c r="CE134" s="193" t="e">
        <f t="shared" si="92"/>
        <v>#DIV/0!</v>
      </c>
      <c r="CF134" s="191"/>
      <c r="CG134" s="192"/>
      <c r="CH134" s="193" t="e">
        <f t="shared" si="93"/>
        <v>#DIV/0!</v>
      </c>
      <c r="CI134" s="197"/>
      <c r="CJ134" s="198"/>
      <c r="CK134" s="193" t="e">
        <f t="shared" si="94"/>
        <v>#DIV/0!</v>
      </c>
      <c r="CL134" s="195">
        <f t="shared" si="95"/>
        <v>0</v>
      </c>
      <c r="CM134" s="194">
        <f t="shared" si="96"/>
        <v>0</v>
      </c>
      <c r="CN134" s="193" t="e">
        <f t="shared" si="97"/>
        <v>#DIV/0!</v>
      </c>
      <c r="CO134" s="175"/>
      <c r="CP134" s="196">
        <f t="shared" si="98"/>
        <v>0</v>
      </c>
      <c r="CQ134" s="196">
        <f t="shared" si="99"/>
        <v>0</v>
      </c>
      <c r="CR134" s="199" t="e">
        <f t="shared" si="100"/>
        <v>#DIV/0!</v>
      </c>
      <c r="CS134" s="261">
        <f t="shared" ref="CS134:CS197" si="115">+R134-CQ134</f>
        <v>1</v>
      </c>
      <c r="CT134" s="175"/>
      <c r="CU134" s="196">
        <f t="shared" ref="CU134:CU197" si="116">+CS134*$CU$3</f>
        <v>0.3</v>
      </c>
      <c r="CV134" s="259"/>
      <c r="CW134" s="199">
        <f t="shared" ref="CW134:CW197" si="117">+CV134/CU134</f>
        <v>0</v>
      </c>
      <c r="CX134" s="196">
        <f t="shared" ref="CX134:CX197" si="118">+CS134*$CX$3</f>
        <v>0.3</v>
      </c>
      <c r="CY134" s="259"/>
      <c r="CZ134" s="199">
        <f t="shared" ref="CZ134:CZ197" si="119">+CY134/CX134</f>
        <v>0</v>
      </c>
      <c r="DA134" s="196">
        <f t="shared" ref="DA134:DA197" si="120">+CS134*$DA$3</f>
        <v>0.3</v>
      </c>
      <c r="DB134" s="259"/>
      <c r="DC134" s="199">
        <f t="shared" ref="DC134:DC197" si="121">+DB134/DA134</f>
        <v>0</v>
      </c>
      <c r="DD134" s="196">
        <f t="shared" ref="DD134:DD197" si="122">+CS134*$DD$3</f>
        <v>0.1</v>
      </c>
      <c r="DE134" s="259"/>
      <c r="DF134" s="199">
        <f t="shared" ref="DF134:DF197" si="123">+DE134/DD134</f>
        <v>0</v>
      </c>
      <c r="DG134" s="175"/>
      <c r="DH134" s="196">
        <f t="shared" ref="DH134:DH197" si="124">R134</f>
        <v>1</v>
      </c>
      <c r="DI134" s="196">
        <f t="shared" ref="DI134:DI197" si="125">+CQ134+CV134+CY134+DB134+DE134</f>
        <v>0</v>
      </c>
      <c r="DJ134" s="199">
        <f t="shared" ref="DJ134:DJ197" si="126">+DI134/DH134</f>
        <v>0</v>
      </c>
      <c r="DK134" s="265">
        <f t="shared" ref="DK134:DK197" si="127">+DH134-DI134</f>
        <v>1</v>
      </c>
      <c r="DL134" s="244">
        <v>130</v>
      </c>
      <c r="DM134">
        <f t="shared" si="103"/>
        <v>0</v>
      </c>
    </row>
    <row r="135" spans="1:117" x14ac:dyDescent="0.3">
      <c r="A135" s="246">
        <v>131</v>
      </c>
      <c r="B135" s="91" t="s">
        <v>270</v>
      </c>
      <c r="C135" s="91" t="s">
        <v>118</v>
      </c>
      <c r="D135" s="91" t="s">
        <v>119</v>
      </c>
      <c r="E135" s="91" t="s">
        <v>289</v>
      </c>
      <c r="F135" s="91" t="s">
        <v>493</v>
      </c>
      <c r="G135" s="87" t="s">
        <v>503</v>
      </c>
      <c r="H135" s="87" t="s">
        <v>504</v>
      </c>
      <c r="I135" s="87" t="s">
        <v>103</v>
      </c>
      <c r="J135" s="87" t="s">
        <v>103</v>
      </c>
      <c r="K135" s="85" t="s">
        <v>104</v>
      </c>
      <c r="L135" s="85" t="s">
        <v>105</v>
      </c>
      <c r="M135" s="87" t="s">
        <v>106</v>
      </c>
      <c r="N135" s="87" t="s">
        <v>505</v>
      </c>
      <c r="O135" s="87" t="s">
        <v>506</v>
      </c>
      <c r="P135" s="99" t="s">
        <v>507</v>
      </c>
      <c r="Q135" s="87" t="s">
        <v>129</v>
      </c>
      <c r="R135" s="130">
        <v>29</v>
      </c>
      <c r="S135" s="83" t="s">
        <v>111</v>
      </c>
      <c r="T135" s="81">
        <v>0</v>
      </c>
      <c r="U135" s="81">
        <v>0</v>
      </c>
      <c r="V135" s="25" t="e">
        <f t="shared" ref="V135" si="128">U135/T135*100</f>
        <v>#DIV/0!</v>
      </c>
      <c r="W135" s="81">
        <v>10</v>
      </c>
      <c r="X135" s="81">
        <v>10</v>
      </c>
      <c r="Y135" s="25">
        <f t="shared" si="1"/>
        <v>100</v>
      </c>
      <c r="Z135" s="81">
        <v>10</v>
      </c>
      <c r="AA135" s="81"/>
      <c r="AB135" s="25">
        <f t="shared" si="2"/>
        <v>0</v>
      </c>
      <c r="AC135" s="81">
        <v>9</v>
      </c>
      <c r="AD135" s="81"/>
      <c r="AE135" s="25">
        <f t="shared" si="3"/>
        <v>0</v>
      </c>
      <c r="AF135" s="137">
        <f t="shared" si="87"/>
        <v>29</v>
      </c>
      <c r="AG135" s="137">
        <f t="shared" si="88"/>
        <v>10</v>
      </c>
      <c r="AH135" s="128" t="e">
        <f>IF(COUNT(U135,X135,AA135,AD135)=1,(U135/#REF!*100),IF(COUNT(U135,X135,AA135,AD135)=2,((U135+X135)/(#REF!+W135)*100),IF(COUNT(U135,X135,AA135,AD135)=3,((U135+X135+AA135)/(#REF!+W135+Z135)*100),(AG135/AF135*100))))</f>
        <v>#REF!</v>
      </c>
      <c r="AI135" s="90">
        <v>46113</v>
      </c>
      <c r="AJ135" s="90">
        <v>46447</v>
      </c>
      <c r="AK135" s="91" t="s">
        <v>112</v>
      </c>
      <c r="AL135" s="91" t="s">
        <v>113</v>
      </c>
      <c r="AM135" s="92" t="s">
        <v>114</v>
      </c>
      <c r="AN135" s="93"/>
      <c r="AO135" s="93"/>
      <c r="AP135" s="93"/>
      <c r="AQ135" s="94"/>
      <c r="AR135" s="91" t="s">
        <v>508</v>
      </c>
      <c r="AS135" s="91" t="s">
        <v>112</v>
      </c>
      <c r="AT135" s="150" t="s">
        <v>509</v>
      </c>
      <c r="AU135" s="165" t="s">
        <v>2264</v>
      </c>
      <c r="AV135" s="232" t="s">
        <v>2234</v>
      </c>
      <c r="BA135" s="255"/>
      <c r="BB135" s="256"/>
      <c r="BC135" s="223" t="e">
        <f t="shared" si="104"/>
        <v>#DIV/0!</v>
      </c>
      <c r="BD135" s="255"/>
      <c r="BE135" s="256"/>
      <c r="BF135" s="223" t="e">
        <f t="shared" si="105"/>
        <v>#DIV/0!</v>
      </c>
      <c r="BG135" s="255"/>
      <c r="BH135" s="256"/>
      <c r="BI135" s="223" t="e">
        <f t="shared" si="106"/>
        <v>#DIV/0!</v>
      </c>
      <c r="BJ135" s="224">
        <f t="shared" si="107"/>
        <v>0</v>
      </c>
      <c r="BK135" s="225">
        <f t="shared" si="108"/>
        <v>0</v>
      </c>
      <c r="BL135" s="223" t="e">
        <f t="shared" si="109"/>
        <v>#DIV/0!</v>
      </c>
      <c r="BM135" s="255"/>
      <c r="BN135" s="256"/>
      <c r="BO135" s="223" t="e">
        <f t="shared" si="89"/>
        <v>#DIV/0!</v>
      </c>
      <c r="BP135" s="255"/>
      <c r="BQ135" s="256"/>
      <c r="BR135" s="223" t="e">
        <f t="shared" si="90"/>
        <v>#DIV/0!</v>
      </c>
      <c r="BS135" s="255"/>
      <c r="BT135" s="255"/>
      <c r="BU135" s="223" t="e">
        <f t="shared" si="91"/>
        <v>#DIV/0!</v>
      </c>
      <c r="BV135" s="224">
        <f t="shared" si="110"/>
        <v>0</v>
      </c>
      <c r="BW135" s="224">
        <f t="shared" si="111"/>
        <v>0</v>
      </c>
      <c r="BX135" s="223" t="e">
        <f t="shared" si="112"/>
        <v>#DIV/0!</v>
      </c>
      <c r="BY135" s="223">
        <f t="shared" si="113"/>
        <v>0</v>
      </c>
      <c r="BZ135" s="223">
        <f t="shared" si="114"/>
        <v>0</v>
      </c>
      <c r="CA135" s="226"/>
      <c r="CB135" s="175"/>
      <c r="CC135" s="191"/>
      <c r="CD135" s="192"/>
      <c r="CE135" s="193" t="e">
        <f t="shared" si="92"/>
        <v>#DIV/0!</v>
      </c>
      <c r="CF135" s="191"/>
      <c r="CG135" s="192"/>
      <c r="CH135" s="193" t="e">
        <f t="shared" si="93"/>
        <v>#DIV/0!</v>
      </c>
      <c r="CI135" s="197"/>
      <c r="CJ135" s="198"/>
      <c r="CK135" s="193" t="e">
        <f t="shared" si="94"/>
        <v>#DIV/0!</v>
      </c>
      <c r="CL135" s="195">
        <f t="shared" si="95"/>
        <v>0</v>
      </c>
      <c r="CM135" s="194">
        <f t="shared" si="96"/>
        <v>0</v>
      </c>
      <c r="CN135" s="193" t="e">
        <f t="shared" si="97"/>
        <v>#DIV/0!</v>
      </c>
      <c r="CO135" s="175"/>
      <c r="CP135" s="196">
        <f t="shared" si="98"/>
        <v>0</v>
      </c>
      <c r="CQ135" s="196">
        <f t="shared" si="99"/>
        <v>0</v>
      </c>
      <c r="CR135" s="199" t="e">
        <f t="shared" si="100"/>
        <v>#DIV/0!</v>
      </c>
      <c r="CS135" s="261">
        <f t="shared" si="115"/>
        <v>29</v>
      </c>
      <c r="CT135" s="175"/>
      <c r="CU135" s="196">
        <f t="shared" si="116"/>
        <v>8.6999999999999993</v>
      </c>
      <c r="CV135" s="259"/>
      <c r="CW135" s="199">
        <f t="shared" si="117"/>
        <v>0</v>
      </c>
      <c r="CX135" s="196">
        <f t="shared" si="118"/>
        <v>8.6999999999999993</v>
      </c>
      <c r="CY135" s="259"/>
      <c r="CZ135" s="199">
        <f t="shared" si="119"/>
        <v>0</v>
      </c>
      <c r="DA135" s="196">
        <f t="shared" si="120"/>
        <v>8.6999999999999993</v>
      </c>
      <c r="DB135" s="259"/>
      <c r="DC135" s="199">
        <f t="shared" si="121"/>
        <v>0</v>
      </c>
      <c r="DD135" s="196">
        <f t="shared" si="122"/>
        <v>2.9000000000000004</v>
      </c>
      <c r="DE135" s="259"/>
      <c r="DF135" s="199">
        <f t="shared" si="123"/>
        <v>0</v>
      </c>
      <c r="DG135" s="175"/>
      <c r="DH135" s="196">
        <f t="shared" si="124"/>
        <v>29</v>
      </c>
      <c r="DI135" s="196">
        <f t="shared" si="125"/>
        <v>0</v>
      </c>
      <c r="DJ135" s="199">
        <f t="shared" si="126"/>
        <v>0</v>
      </c>
      <c r="DK135" s="265">
        <f t="shared" si="127"/>
        <v>29</v>
      </c>
      <c r="DL135" s="244">
        <v>131</v>
      </c>
      <c r="DM135">
        <f t="shared" si="103"/>
        <v>0</v>
      </c>
    </row>
    <row r="136" spans="1:117" x14ac:dyDescent="0.3">
      <c r="A136" s="246">
        <v>132</v>
      </c>
      <c r="B136" s="91" t="s">
        <v>270</v>
      </c>
      <c r="C136" s="91" t="s">
        <v>118</v>
      </c>
      <c r="D136" s="91" t="s">
        <v>119</v>
      </c>
      <c r="E136" s="91" t="s">
        <v>155</v>
      </c>
      <c r="F136" s="91" t="s">
        <v>493</v>
      </c>
      <c r="G136" s="87" t="s">
        <v>510</v>
      </c>
      <c r="H136" s="87" t="s">
        <v>301</v>
      </c>
      <c r="I136" s="87" t="s">
        <v>337</v>
      </c>
      <c r="J136" s="87" t="s">
        <v>337</v>
      </c>
      <c r="K136" s="85" t="s">
        <v>104</v>
      </c>
      <c r="L136" s="85" t="s">
        <v>105</v>
      </c>
      <c r="M136" s="87" t="s">
        <v>106</v>
      </c>
      <c r="N136" s="87" t="s">
        <v>107</v>
      </c>
      <c r="O136" s="87" t="s">
        <v>127</v>
      </c>
      <c r="P136" s="87" t="s">
        <v>511</v>
      </c>
      <c r="Q136" s="87" t="s">
        <v>129</v>
      </c>
      <c r="R136" s="130">
        <v>29</v>
      </c>
      <c r="S136" s="88" t="s">
        <v>111</v>
      </c>
      <c r="T136" s="81">
        <v>0</v>
      </c>
      <c r="U136" s="81">
        <v>4</v>
      </c>
      <c r="V136" s="25" t="e">
        <f t="shared" ref="V136:V157" si="129">U136/T136*100</f>
        <v>#DIV/0!</v>
      </c>
      <c r="W136" s="81">
        <v>10</v>
      </c>
      <c r="X136" s="81"/>
      <c r="Y136" s="25">
        <f t="shared" si="1"/>
        <v>0</v>
      </c>
      <c r="Z136" s="81">
        <v>10</v>
      </c>
      <c r="AA136" s="81"/>
      <c r="AB136" s="25">
        <f t="shared" si="2"/>
        <v>0</v>
      </c>
      <c r="AC136" s="81">
        <v>9</v>
      </c>
      <c r="AD136" s="81"/>
      <c r="AE136" s="25">
        <f t="shared" si="3"/>
        <v>0</v>
      </c>
      <c r="AF136" s="137">
        <f t="shared" si="87"/>
        <v>29</v>
      </c>
      <c r="AG136" s="137">
        <f t="shared" si="88"/>
        <v>4</v>
      </c>
      <c r="AH136" s="128" t="e">
        <f t="shared" ref="AH136:AH281" si="130">IF(COUNT(U136,X136,AA136,AD136)=1,(U136/T136*100),IF(COUNT(U136,X136,AA136,AD136)=2,((U136+X136)/(T136+W136)*100),IF(COUNT(U136,X136,AA136,AD136)=3,((U136+X136+AA136)/(T136+W136+Z136)*100),(AG136/AF136*100))))</f>
        <v>#DIV/0!</v>
      </c>
      <c r="AI136" s="90">
        <v>46082</v>
      </c>
      <c r="AJ136" s="90">
        <v>46447</v>
      </c>
      <c r="AK136" s="91" t="s">
        <v>112</v>
      </c>
      <c r="AL136" s="91" t="s">
        <v>113</v>
      </c>
      <c r="AM136" s="92" t="s">
        <v>114</v>
      </c>
      <c r="AN136" s="93"/>
      <c r="AO136" s="93"/>
      <c r="AP136" s="93"/>
      <c r="AQ136" s="94"/>
      <c r="AR136" s="91" t="s">
        <v>508</v>
      </c>
      <c r="AS136" s="91" t="s">
        <v>112</v>
      </c>
      <c r="AT136" s="150" t="s">
        <v>509</v>
      </c>
      <c r="AU136" s="165" t="s">
        <v>2264</v>
      </c>
      <c r="AV136" s="232" t="s">
        <v>2234</v>
      </c>
      <c r="BA136" s="255"/>
      <c r="BB136" s="256"/>
      <c r="BC136" s="223" t="e">
        <f t="shared" si="104"/>
        <v>#DIV/0!</v>
      </c>
      <c r="BD136" s="255"/>
      <c r="BE136" s="256"/>
      <c r="BF136" s="223" t="e">
        <f t="shared" si="105"/>
        <v>#DIV/0!</v>
      </c>
      <c r="BG136" s="255"/>
      <c r="BH136" s="256"/>
      <c r="BI136" s="223" t="e">
        <f t="shared" si="106"/>
        <v>#DIV/0!</v>
      </c>
      <c r="BJ136" s="224">
        <f t="shared" si="107"/>
        <v>0</v>
      </c>
      <c r="BK136" s="225">
        <f t="shared" si="108"/>
        <v>0</v>
      </c>
      <c r="BL136" s="223" t="e">
        <f t="shared" si="109"/>
        <v>#DIV/0!</v>
      </c>
      <c r="BM136" s="255"/>
      <c r="BN136" s="256"/>
      <c r="BO136" s="223" t="e">
        <f t="shared" si="89"/>
        <v>#DIV/0!</v>
      </c>
      <c r="BP136" s="255"/>
      <c r="BQ136" s="256"/>
      <c r="BR136" s="223" t="e">
        <f t="shared" si="90"/>
        <v>#DIV/0!</v>
      </c>
      <c r="BS136" s="255"/>
      <c r="BT136" s="255"/>
      <c r="BU136" s="223" t="e">
        <f t="shared" si="91"/>
        <v>#DIV/0!</v>
      </c>
      <c r="BV136" s="224">
        <f t="shared" si="110"/>
        <v>0</v>
      </c>
      <c r="BW136" s="224">
        <f t="shared" si="111"/>
        <v>0</v>
      </c>
      <c r="BX136" s="223" t="e">
        <f t="shared" si="112"/>
        <v>#DIV/0!</v>
      </c>
      <c r="BY136" s="223">
        <f t="shared" si="113"/>
        <v>0</v>
      </c>
      <c r="BZ136" s="223">
        <f t="shared" si="114"/>
        <v>0</v>
      </c>
      <c r="CA136" s="226"/>
      <c r="CB136" s="175"/>
      <c r="CC136" s="191"/>
      <c r="CD136" s="192"/>
      <c r="CE136" s="193" t="e">
        <f t="shared" si="92"/>
        <v>#DIV/0!</v>
      </c>
      <c r="CF136" s="191"/>
      <c r="CG136" s="192"/>
      <c r="CH136" s="193" t="e">
        <f t="shared" si="93"/>
        <v>#DIV/0!</v>
      </c>
      <c r="CI136" s="197"/>
      <c r="CJ136" s="198"/>
      <c r="CK136" s="193" t="e">
        <f t="shared" si="94"/>
        <v>#DIV/0!</v>
      </c>
      <c r="CL136" s="195">
        <f t="shared" si="95"/>
        <v>0</v>
      </c>
      <c r="CM136" s="194">
        <f t="shared" si="96"/>
        <v>0</v>
      </c>
      <c r="CN136" s="193" t="e">
        <f t="shared" si="97"/>
        <v>#DIV/0!</v>
      </c>
      <c r="CO136" s="175"/>
      <c r="CP136" s="196">
        <f t="shared" si="98"/>
        <v>0</v>
      </c>
      <c r="CQ136" s="196">
        <f t="shared" si="99"/>
        <v>0</v>
      </c>
      <c r="CR136" s="199" t="e">
        <f t="shared" si="100"/>
        <v>#DIV/0!</v>
      </c>
      <c r="CS136" s="261">
        <f t="shared" si="115"/>
        <v>29</v>
      </c>
      <c r="CT136" s="175"/>
      <c r="CU136" s="196">
        <f t="shared" si="116"/>
        <v>8.6999999999999993</v>
      </c>
      <c r="CV136" s="259"/>
      <c r="CW136" s="199">
        <f t="shared" si="117"/>
        <v>0</v>
      </c>
      <c r="CX136" s="196">
        <f t="shared" si="118"/>
        <v>8.6999999999999993</v>
      </c>
      <c r="CY136" s="259"/>
      <c r="CZ136" s="199">
        <f t="shared" si="119"/>
        <v>0</v>
      </c>
      <c r="DA136" s="196">
        <f t="shared" si="120"/>
        <v>8.6999999999999993</v>
      </c>
      <c r="DB136" s="259"/>
      <c r="DC136" s="199">
        <f t="shared" si="121"/>
        <v>0</v>
      </c>
      <c r="DD136" s="196">
        <f t="shared" si="122"/>
        <v>2.9000000000000004</v>
      </c>
      <c r="DE136" s="259"/>
      <c r="DF136" s="199">
        <f t="shared" si="123"/>
        <v>0</v>
      </c>
      <c r="DG136" s="175"/>
      <c r="DH136" s="196">
        <f t="shared" si="124"/>
        <v>29</v>
      </c>
      <c r="DI136" s="196">
        <f t="shared" si="125"/>
        <v>0</v>
      </c>
      <c r="DJ136" s="199">
        <f t="shared" si="126"/>
        <v>0</v>
      </c>
      <c r="DK136" s="265">
        <f t="shared" si="127"/>
        <v>29</v>
      </c>
      <c r="DL136" s="244">
        <v>132</v>
      </c>
      <c r="DM136">
        <f t="shared" si="103"/>
        <v>0</v>
      </c>
    </row>
    <row r="137" spans="1:117" x14ac:dyDescent="0.3">
      <c r="A137" s="246">
        <v>133</v>
      </c>
      <c r="B137" s="91" t="s">
        <v>270</v>
      </c>
      <c r="C137" s="91" t="s">
        <v>118</v>
      </c>
      <c r="D137" s="91" t="s">
        <v>119</v>
      </c>
      <c r="E137" s="91" t="s">
        <v>155</v>
      </c>
      <c r="F137" s="91" t="s">
        <v>512</v>
      </c>
      <c r="G137" s="87" t="s">
        <v>510</v>
      </c>
      <c r="H137" s="87" t="s">
        <v>301</v>
      </c>
      <c r="I137" s="87" t="s">
        <v>337</v>
      </c>
      <c r="J137" s="87" t="s">
        <v>337</v>
      </c>
      <c r="K137" s="85" t="s">
        <v>104</v>
      </c>
      <c r="L137" s="85" t="s">
        <v>105</v>
      </c>
      <c r="M137" s="87" t="s">
        <v>106</v>
      </c>
      <c r="N137" s="87" t="s">
        <v>107</v>
      </c>
      <c r="O137" s="87" t="s">
        <v>127</v>
      </c>
      <c r="P137" s="87" t="s">
        <v>513</v>
      </c>
      <c r="Q137" s="87" t="s">
        <v>129</v>
      </c>
      <c r="R137" s="130">
        <v>29</v>
      </c>
      <c r="S137" s="88" t="s">
        <v>111</v>
      </c>
      <c r="T137" s="81">
        <v>0</v>
      </c>
      <c r="U137" s="81">
        <v>4</v>
      </c>
      <c r="V137" s="25" t="e">
        <f t="shared" si="129"/>
        <v>#DIV/0!</v>
      </c>
      <c r="W137" s="81">
        <v>10</v>
      </c>
      <c r="X137" s="81">
        <v>8</v>
      </c>
      <c r="Y137" s="25">
        <f t="shared" si="1"/>
        <v>80</v>
      </c>
      <c r="Z137" s="81">
        <v>10</v>
      </c>
      <c r="AA137" s="81"/>
      <c r="AB137" s="25">
        <f t="shared" si="2"/>
        <v>0</v>
      </c>
      <c r="AC137" s="81">
        <v>9</v>
      </c>
      <c r="AD137" s="81"/>
      <c r="AE137" s="25">
        <f t="shared" si="3"/>
        <v>0</v>
      </c>
      <c r="AF137" s="137">
        <f t="shared" si="87"/>
        <v>29</v>
      </c>
      <c r="AG137" s="137">
        <f t="shared" si="88"/>
        <v>12</v>
      </c>
      <c r="AH137" s="128">
        <f t="shared" si="130"/>
        <v>120</v>
      </c>
      <c r="AI137" s="90">
        <v>46082</v>
      </c>
      <c r="AJ137" s="90">
        <v>46447</v>
      </c>
      <c r="AK137" s="91" t="s">
        <v>112</v>
      </c>
      <c r="AL137" s="91" t="s">
        <v>113</v>
      </c>
      <c r="AM137" s="92" t="s">
        <v>114</v>
      </c>
      <c r="AN137" s="93"/>
      <c r="AO137" s="93"/>
      <c r="AP137" s="93"/>
      <c r="AQ137" s="94"/>
      <c r="AR137" s="91" t="s">
        <v>508</v>
      </c>
      <c r="AS137" s="91" t="s">
        <v>112</v>
      </c>
      <c r="AT137" s="150" t="s">
        <v>509</v>
      </c>
      <c r="AU137" s="165" t="s">
        <v>2264</v>
      </c>
      <c r="AV137" s="232" t="s">
        <v>2234</v>
      </c>
      <c r="BA137" s="255"/>
      <c r="BB137" s="256"/>
      <c r="BC137" s="223" t="e">
        <f t="shared" si="104"/>
        <v>#DIV/0!</v>
      </c>
      <c r="BD137" s="255"/>
      <c r="BE137" s="256"/>
      <c r="BF137" s="223" t="e">
        <f t="shared" si="105"/>
        <v>#DIV/0!</v>
      </c>
      <c r="BG137" s="255"/>
      <c r="BH137" s="256"/>
      <c r="BI137" s="223" t="e">
        <f t="shared" si="106"/>
        <v>#DIV/0!</v>
      </c>
      <c r="BJ137" s="224">
        <f t="shared" si="107"/>
        <v>0</v>
      </c>
      <c r="BK137" s="225">
        <f t="shared" si="108"/>
        <v>0</v>
      </c>
      <c r="BL137" s="223" t="e">
        <f t="shared" si="109"/>
        <v>#DIV/0!</v>
      </c>
      <c r="BM137" s="255"/>
      <c r="BN137" s="256"/>
      <c r="BO137" s="223" t="e">
        <f t="shared" si="89"/>
        <v>#DIV/0!</v>
      </c>
      <c r="BP137" s="255"/>
      <c r="BQ137" s="256"/>
      <c r="BR137" s="223" t="e">
        <f t="shared" si="90"/>
        <v>#DIV/0!</v>
      </c>
      <c r="BS137" s="255"/>
      <c r="BT137" s="255"/>
      <c r="BU137" s="223" t="e">
        <f t="shared" si="91"/>
        <v>#DIV/0!</v>
      </c>
      <c r="BV137" s="224">
        <f t="shared" si="110"/>
        <v>0</v>
      </c>
      <c r="BW137" s="224">
        <f t="shared" si="111"/>
        <v>0</v>
      </c>
      <c r="BX137" s="223" t="e">
        <f t="shared" si="112"/>
        <v>#DIV/0!</v>
      </c>
      <c r="BY137" s="223">
        <f t="shared" si="113"/>
        <v>0</v>
      </c>
      <c r="BZ137" s="223">
        <f t="shared" si="114"/>
        <v>0</v>
      </c>
      <c r="CA137" s="226"/>
      <c r="CB137" s="175"/>
      <c r="CC137" s="191"/>
      <c r="CD137" s="192"/>
      <c r="CE137" s="193" t="e">
        <f t="shared" si="92"/>
        <v>#DIV/0!</v>
      </c>
      <c r="CF137" s="191"/>
      <c r="CG137" s="192"/>
      <c r="CH137" s="193" t="e">
        <f t="shared" si="93"/>
        <v>#DIV/0!</v>
      </c>
      <c r="CI137" s="197"/>
      <c r="CJ137" s="198"/>
      <c r="CK137" s="193" t="e">
        <f t="shared" si="94"/>
        <v>#DIV/0!</v>
      </c>
      <c r="CL137" s="195">
        <f t="shared" si="95"/>
        <v>0</v>
      </c>
      <c r="CM137" s="194">
        <f t="shared" si="96"/>
        <v>0</v>
      </c>
      <c r="CN137" s="193" t="e">
        <f t="shared" si="97"/>
        <v>#DIV/0!</v>
      </c>
      <c r="CO137" s="175"/>
      <c r="CP137" s="196">
        <f t="shared" si="98"/>
        <v>0</v>
      </c>
      <c r="CQ137" s="196">
        <f t="shared" si="99"/>
        <v>0</v>
      </c>
      <c r="CR137" s="199" t="e">
        <f t="shared" si="100"/>
        <v>#DIV/0!</v>
      </c>
      <c r="CS137" s="261">
        <f t="shared" si="115"/>
        <v>29</v>
      </c>
      <c r="CT137" s="175"/>
      <c r="CU137" s="196">
        <f t="shared" si="116"/>
        <v>8.6999999999999993</v>
      </c>
      <c r="CV137" s="259"/>
      <c r="CW137" s="199">
        <f t="shared" si="117"/>
        <v>0</v>
      </c>
      <c r="CX137" s="196">
        <f t="shared" si="118"/>
        <v>8.6999999999999993</v>
      </c>
      <c r="CY137" s="259"/>
      <c r="CZ137" s="199">
        <f t="shared" si="119"/>
        <v>0</v>
      </c>
      <c r="DA137" s="196">
        <f t="shared" si="120"/>
        <v>8.6999999999999993</v>
      </c>
      <c r="DB137" s="259"/>
      <c r="DC137" s="199">
        <f t="shared" si="121"/>
        <v>0</v>
      </c>
      <c r="DD137" s="196">
        <f t="shared" si="122"/>
        <v>2.9000000000000004</v>
      </c>
      <c r="DE137" s="259"/>
      <c r="DF137" s="199">
        <f t="shared" si="123"/>
        <v>0</v>
      </c>
      <c r="DG137" s="175"/>
      <c r="DH137" s="196">
        <f t="shared" si="124"/>
        <v>29</v>
      </c>
      <c r="DI137" s="196">
        <f t="shared" si="125"/>
        <v>0</v>
      </c>
      <c r="DJ137" s="199">
        <f t="shared" si="126"/>
        <v>0</v>
      </c>
      <c r="DK137" s="265">
        <f t="shared" si="127"/>
        <v>29</v>
      </c>
      <c r="DL137" s="244">
        <v>133</v>
      </c>
      <c r="DM137">
        <f t="shared" si="103"/>
        <v>0</v>
      </c>
    </row>
    <row r="138" spans="1:117" x14ac:dyDescent="0.3">
      <c r="A138" s="246">
        <v>134</v>
      </c>
      <c r="B138" s="91" t="s">
        <v>270</v>
      </c>
      <c r="C138" s="91" t="s">
        <v>118</v>
      </c>
      <c r="D138" s="91" t="s">
        <v>119</v>
      </c>
      <c r="E138" s="91" t="s">
        <v>120</v>
      </c>
      <c r="F138" s="91" t="s">
        <v>514</v>
      </c>
      <c r="G138" s="87" t="s">
        <v>489</v>
      </c>
      <c r="H138" s="87" t="s">
        <v>301</v>
      </c>
      <c r="I138" s="87" t="s">
        <v>285</v>
      </c>
      <c r="J138" s="87" t="s">
        <v>285</v>
      </c>
      <c r="K138" s="85" t="s">
        <v>104</v>
      </c>
      <c r="L138" s="85" t="s">
        <v>105</v>
      </c>
      <c r="M138" s="87" t="s">
        <v>106</v>
      </c>
      <c r="N138" s="87" t="s">
        <v>107</v>
      </c>
      <c r="O138" s="87" t="s">
        <v>127</v>
      </c>
      <c r="P138" s="241" t="s">
        <v>515</v>
      </c>
      <c r="Q138" s="87" t="s">
        <v>129</v>
      </c>
      <c r="R138" s="130">
        <v>1</v>
      </c>
      <c r="S138" s="88" t="s">
        <v>111</v>
      </c>
      <c r="T138" s="81">
        <v>1</v>
      </c>
      <c r="U138" s="81">
        <v>0</v>
      </c>
      <c r="V138" s="25" t="e">
        <f>V135=U138/T138*100=U138/T138*100</f>
        <v>#DIV/0!</v>
      </c>
      <c r="W138" s="81">
        <v>0</v>
      </c>
      <c r="X138" s="81">
        <v>1</v>
      </c>
      <c r="Y138" s="25" t="e">
        <f t="shared" ref="Y138" si="131">X138/W138*100</f>
        <v>#DIV/0!</v>
      </c>
      <c r="Z138" s="81">
        <v>1</v>
      </c>
      <c r="AA138" s="81"/>
      <c r="AB138" s="25">
        <f t="shared" si="2"/>
        <v>0</v>
      </c>
      <c r="AC138" s="81"/>
      <c r="AD138" s="81"/>
      <c r="AE138" s="25" t="e">
        <f t="shared" si="3"/>
        <v>#DIV/0!</v>
      </c>
      <c r="AF138" s="137">
        <f t="shared" si="87"/>
        <v>1</v>
      </c>
      <c r="AG138" s="137">
        <f t="shared" si="88"/>
        <v>1</v>
      </c>
      <c r="AH138" s="128">
        <f t="shared" si="130"/>
        <v>100</v>
      </c>
      <c r="AI138" s="90">
        <v>46082</v>
      </c>
      <c r="AJ138" s="90">
        <v>46447</v>
      </c>
      <c r="AK138" s="91" t="s">
        <v>112</v>
      </c>
      <c r="AL138" s="91" t="s">
        <v>113</v>
      </c>
      <c r="AM138" s="92" t="s">
        <v>114</v>
      </c>
      <c r="AN138" s="93">
        <v>10000000</v>
      </c>
      <c r="AO138" s="93">
        <v>10000000</v>
      </c>
      <c r="AP138" s="93">
        <v>10000000</v>
      </c>
      <c r="AQ138" s="94">
        <f>AO138</f>
        <v>10000000</v>
      </c>
      <c r="AR138" s="91" t="s">
        <v>508</v>
      </c>
      <c r="AS138" s="91" t="s">
        <v>112</v>
      </c>
      <c r="AT138" s="150" t="s">
        <v>509</v>
      </c>
      <c r="AU138" s="165" t="s">
        <v>2264</v>
      </c>
      <c r="AV138" s="232" t="s">
        <v>2234</v>
      </c>
      <c r="BA138" s="255"/>
      <c r="BB138" s="256"/>
      <c r="BC138" s="223" t="e">
        <f t="shared" si="104"/>
        <v>#DIV/0!</v>
      </c>
      <c r="BD138" s="255"/>
      <c r="BE138" s="256"/>
      <c r="BF138" s="223" t="e">
        <f t="shared" si="105"/>
        <v>#DIV/0!</v>
      </c>
      <c r="BG138" s="255"/>
      <c r="BH138" s="256"/>
      <c r="BI138" s="223" t="e">
        <f t="shared" si="106"/>
        <v>#DIV/0!</v>
      </c>
      <c r="BJ138" s="224">
        <f t="shared" si="107"/>
        <v>0</v>
      </c>
      <c r="BK138" s="225">
        <f t="shared" si="108"/>
        <v>0</v>
      </c>
      <c r="BL138" s="223" t="e">
        <f t="shared" si="109"/>
        <v>#DIV/0!</v>
      </c>
      <c r="BM138" s="255"/>
      <c r="BN138" s="256"/>
      <c r="BO138" s="223" t="e">
        <f t="shared" si="89"/>
        <v>#DIV/0!</v>
      </c>
      <c r="BP138" s="255"/>
      <c r="BQ138" s="256"/>
      <c r="BR138" s="223" t="e">
        <f t="shared" si="90"/>
        <v>#DIV/0!</v>
      </c>
      <c r="BS138" s="255"/>
      <c r="BT138" s="255"/>
      <c r="BU138" s="223" t="e">
        <f t="shared" si="91"/>
        <v>#DIV/0!</v>
      </c>
      <c r="BV138" s="224">
        <f t="shared" si="110"/>
        <v>0</v>
      </c>
      <c r="BW138" s="224">
        <f t="shared" si="111"/>
        <v>0</v>
      </c>
      <c r="BX138" s="223" t="e">
        <f t="shared" si="112"/>
        <v>#DIV/0!</v>
      </c>
      <c r="BY138" s="223">
        <f t="shared" si="113"/>
        <v>0</v>
      </c>
      <c r="BZ138" s="223">
        <f t="shared" si="114"/>
        <v>0</v>
      </c>
      <c r="CA138" s="226"/>
      <c r="CB138" s="175"/>
      <c r="CC138" s="191"/>
      <c r="CD138" s="192"/>
      <c r="CE138" s="193" t="e">
        <f t="shared" si="92"/>
        <v>#DIV/0!</v>
      </c>
      <c r="CF138" s="191"/>
      <c r="CG138" s="192"/>
      <c r="CH138" s="193" t="e">
        <f t="shared" si="93"/>
        <v>#DIV/0!</v>
      </c>
      <c r="CI138" s="197"/>
      <c r="CJ138" s="198"/>
      <c r="CK138" s="193" t="e">
        <f t="shared" si="94"/>
        <v>#DIV/0!</v>
      </c>
      <c r="CL138" s="195">
        <f t="shared" si="95"/>
        <v>0</v>
      </c>
      <c r="CM138" s="194">
        <f t="shared" si="96"/>
        <v>0</v>
      </c>
      <c r="CN138" s="193" t="e">
        <f t="shared" si="97"/>
        <v>#DIV/0!</v>
      </c>
      <c r="CO138" s="175"/>
      <c r="CP138" s="196">
        <f t="shared" si="98"/>
        <v>0</v>
      </c>
      <c r="CQ138" s="196">
        <f t="shared" si="99"/>
        <v>0</v>
      </c>
      <c r="CR138" s="199" t="e">
        <f t="shared" si="100"/>
        <v>#DIV/0!</v>
      </c>
      <c r="CS138" s="261">
        <f t="shared" si="115"/>
        <v>1</v>
      </c>
      <c r="CT138" s="175"/>
      <c r="CU138" s="196">
        <f t="shared" si="116"/>
        <v>0.3</v>
      </c>
      <c r="CV138" s="259"/>
      <c r="CW138" s="199">
        <f t="shared" si="117"/>
        <v>0</v>
      </c>
      <c r="CX138" s="196">
        <f t="shared" si="118"/>
        <v>0.3</v>
      </c>
      <c r="CY138" s="259"/>
      <c r="CZ138" s="199">
        <f t="shared" si="119"/>
        <v>0</v>
      </c>
      <c r="DA138" s="196">
        <f t="shared" si="120"/>
        <v>0.3</v>
      </c>
      <c r="DB138" s="259"/>
      <c r="DC138" s="199">
        <f t="shared" si="121"/>
        <v>0</v>
      </c>
      <c r="DD138" s="196">
        <f t="shared" si="122"/>
        <v>0.1</v>
      </c>
      <c r="DE138" s="259"/>
      <c r="DF138" s="199">
        <f t="shared" si="123"/>
        <v>0</v>
      </c>
      <c r="DG138" s="175"/>
      <c r="DH138" s="196">
        <f t="shared" si="124"/>
        <v>1</v>
      </c>
      <c r="DI138" s="196">
        <f t="shared" si="125"/>
        <v>0</v>
      </c>
      <c r="DJ138" s="199">
        <f t="shared" si="126"/>
        <v>0</v>
      </c>
      <c r="DK138" s="265">
        <f t="shared" si="127"/>
        <v>1</v>
      </c>
      <c r="DL138" s="244">
        <v>134</v>
      </c>
      <c r="DM138">
        <f t="shared" si="103"/>
        <v>0</v>
      </c>
    </row>
    <row r="139" spans="1:117" x14ac:dyDescent="0.3">
      <c r="A139" s="246">
        <v>135</v>
      </c>
      <c r="B139" s="91" t="s">
        <v>270</v>
      </c>
      <c r="C139" s="91" t="s">
        <v>118</v>
      </c>
      <c r="D139" s="91" t="s">
        <v>119</v>
      </c>
      <c r="E139" s="91" t="s">
        <v>155</v>
      </c>
      <c r="F139" s="91" t="s">
        <v>516</v>
      </c>
      <c r="G139" s="87" t="s">
        <v>517</v>
      </c>
      <c r="H139" s="87" t="s">
        <v>301</v>
      </c>
      <c r="I139" s="87" t="s">
        <v>224</v>
      </c>
      <c r="J139" s="87" t="s">
        <v>224</v>
      </c>
      <c r="K139" s="85" t="s">
        <v>104</v>
      </c>
      <c r="L139" s="85" t="s">
        <v>105</v>
      </c>
      <c r="M139" s="87" t="s">
        <v>106</v>
      </c>
      <c r="N139" s="87" t="s">
        <v>518</v>
      </c>
      <c r="O139" s="87" t="s">
        <v>127</v>
      </c>
      <c r="P139" s="87" t="s">
        <v>519</v>
      </c>
      <c r="Q139" s="87" t="s">
        <v>129</v>
      </c>
      <c r="R139" s="130">
        <v>29</v>
      </c>
      <c r="S139" s="88" t="s">
        <v>111</v>
      </c>
      <c r="T139" s="81">
        <v>0</v>
      </c>
      <c r="U139" s="81">
        <v>16</v>
      </c>
      <c r="V139" s="25" t="e">
        <f t="shared" si="129"/>
        <v>#DIV/0!</v>
      </c>
      <c r="W139" s="81">
        <v>0</v>
      </c>
      <c r="X139" s="81">
        <v>6</v>
      </c>
      <c r="Y139" s="25" t="e">
        <f t="shared" si="1"/>
        <v>#DIV/0!</v>
      </c>
      <c r="Z139" s="81">
        <v>10</v>
      </c>
      <c r="AA139" s="81"/>
      <c r="AB139" s="25">
        <f t="shared" si="2"/>
        <v>0</v>
      </c>
      <c r="AC139" s="81">
        <v>19</v>
      </c>
      <c r="AD139" s="81"/>
      <c r="AE139" s="25">
        <f t="shared" si="3"/>
        <v>0</v>
      </c>
      <c r="AF139" s="137">
        <f t="shared" si="87"/>
        <v>29</v>
      </c>
      <c r="AG139" s="137">
        <f t="shared" si="88"/>
        <v>22</v>
      </c>
      <c r="AH139" s="128" t="e">
        <f t="shared" si="130"/>
        <v>#DIV/0!</v>
      </c>
      <c r="AI139" s="90">
        <v>46032</v>
      </c>
      <c r="AJ139" s="90">
        <v>46387</v>
      </c>
      <c r="AK139" s="91" t="s">
        <v>112</v>
      </c>
      <c r="AL139" s="91" t="s">
        <v>113</v>
      </c>
      <c r="AM139" s="92" t="s">
        <v>114</v>
      </c>
      <c r="AN139" s="93"/>
      <c r="AO139" s="93"/>
      <c r="AP139" s="93"/>
      <c r="AQ139" s="94"/>
      <c r="AR139" s="91" t="s">
        <v>508</v>
      </c>
      <c r="AS139" s="91" t="s">
        <v>112</v>
      </c>
      <c r="AT139" s="150" t="s">
        <v>509</v>
      </c>
      <c r="AU139" s="165" t="s">
        <v>2264</v>
      </c>
      <c r="AV139" s="232" t="s">
        <v>2234</v>
      </c>
      <c r="BA139" s="255"/>
      <c r="BB139" s="256"/>
      <c r="BC139" s="223" t="e">
        <f t="shared" si="104"/>
        <v>#DIV/0!</v>
      </c>
      <c r="BD139" s="255"/>
      <c r="BE139" s="256"/>
      <c r="BF139" s="223" t="e">
        <f t="shared" si="105"/>
        <v>#DIV/0!</v>
      </c>
      <c r="BG139" s="255"/>
      <c r="BH139" s="256"/>
      <c r="BI139" s="223" t="e">
        <f t="shared" si="106"/>
        <v>#DIV/0!</v>
      </c>
      <c r="BJ139" s="224">
        <f t="shared" si="107"/>
        <v>0</v>
      </c>
      <c r="BK139" s="225">
        <f t="shared" si="108"/>
        <v>0</v>
      </c>
      <c r="BL139" s="223" t="e">
        <f t="shared" si="109"/>
        <v>#DIV/0!</v>
      </c>
      <c r="BM139" s="255"/>
      <c r="BN139" s="256"/>
      <c r="BO139" s="223" t="e">
        <f t="shared" si="89"/>
        <v>#DIV/0!</v>
      </c>
      <c r="BP139" s="255"/>
      <c r="BQ139" s="256"/>
      <c r="BR139" s="223" t="e">
        <f t="shared" si="90"/>
        <v>#DIV/0!</v>
      </c>
      <c r="BS139" s="255"/>
      <c r="BT139" s="255"/>
      <c r="BU139" s="223" t="e">
        <f t="shared" si="91"/>
        <v>#DIV/0!</v>
      </c>
      <c r="BV139" s="224">
        <f t="shared" si="110"/>
        <v>0</v>
      </c>
      <c r="BW139" s="224">
        <f t="shared" si="111"/>
        <v>0</v>
      </c>
      <c r="BX139" s="223" t="e">
        <f t="shared" si="112"/>
        <v>#DIV/0!</v>
      </c>
      <c r="BY139" s="223">
        <f t="shared" si="113"/>
        <v>0</v>
      </c>
      <c r="BZ139" s="223">
        <f t="shared" si="114"/>
        <v>0</v>
      </c>
      <c r="CA139" s="226"/>
      <c r="CB139" s="175"/>
      <c r="CC139" s="191"/>
      <c r="CD139" s="192"/>
      <c r="CE139" s="193" t="e">
        <f t="shared" si="92"/>
        <v>#DIV/0!</v>
      </c>
      <c r="CF139" s="191"/>
      <c r="CG139" s="192"/>
      <c r="CH139" s="193" t="e">
        <f t="shared" si="93"/>
        <v>#DIV/0!</v>
      </c>
      <c r="CI139" s="197"/>
      <c r="CJ139" s="198"/>
      <c r="CK139" s="193" t="e">
        <f t="shared" si="94"/>
        <v>#DIV/0!</v>
      </c>
      <c r="CL139" s="195">
        <f t="shared" si="95"/>
        <v>0</v>
      </c>
      <c r="CM139" s="194">
        <f t="shared" si="96"/>
        <v>0</v>
      </c>
      <c r="CN139" s="193" t="e">
        <f t="shared" si="97"/>
        <v>#DIV/0!</v>
      </c>
      <c r="CO139" s="175"/>
      <c r="CP139" s="196">
        <f t="shared" si="98"/>
        <v>0</v>
      </c>
      <c r="CQ139" s="196">
        <f t="shared" si="99"/>
        <v>0</v>
      </c>
      <c r="CR139" s="199" t="e">
        <f t="shared" si="100"/>
        <v>#DIV/0!</v>
      </c>
      <c r="CS139" s="261">
        <f t="shared" si="115"/>
        <v>29</v>
      </c>
      <c r="CT139" s="175"/>
      <c r="CU139" s="196">
        <f t="shared" si="116"/>
        <v>8.6999999999999993</v>
      </c>
      <c r="CV139" s="259"/>
      <c r="CW139" s="199">
        <f t="shared" si="117"/>
        <v>0</v>
      </c>
      <c r="CX139" s="196">
        <f t="shared" si="118"/>
        <v>8.6999999999999993</v>
      </c>
      <c r="CY139" s="259"/>
      <c r="CZ139" s="199">
        <f t="shared" si="119"/>
        <v>0</v>
      </c>
      <c r="DA139" s="196">
        <f t="shared" si="120"/>
        <v>8.6999999999999993</v>
      </c>
      <c r="DB139" s="259"/>
      <c r="DC139" s="199">
        <f t="shared" si="121"/>
        <v>0</v>
      </c>
      <c r="DD139" s="196">
        <f t="shared" si="122"/>
        <v>2.9000000000000004</v>
      </c>
      <c r="DE139" s="259"/>
      <c r="DF139" s="199">
        <f t="shared" si="123"/>
        <v>0</v>
      </c>
      <c r="DG139" s="175"/>
      <c r="DH139" s="196">
        <f t="shared" si="124"/>
        <v>29</v>
      </c>
      <c r="DI139" s="196">
        <f t="shared" si="125"/>
        <v>0</v>
      </c>
      <c r="DJ139" s="199">
        <f t="shared" si="126"/>
        <v>0</v>
      </c>
      <c r="DK139" s="265">
        <f t="shared" si="127"/>
        <v>29</v>
      </c>
      <c r="DL139" s="244">
        <v>135</v>
      </c>
      <c r="DM139">
        <f t="shared" si="103"/>
        <v>0</v>
      </c>
    </row>
    <row r="140" spans="1:117" x14ac:dyDescent="0.3">
      <c r="A140" s="246">
        <v>136</v>
      </c>
      <c r="B140" s="91" t="s">
        <v>270</v>
      </c>
      <c r="C140" s="91" t="s">
        <v>118</v>
      </c>
      <c r="D140" s="91" t="s">
        <v>119</v>
      </c>
      <c r="E140" s="91" t="s">
        <v>155</v>
      </c>
      <c r="F140" s="91" t="s">
        <v>520</v>
      </c>
      <c r="G140" s="87" t="s">
        <v>489</v>
      </c>
      <c r="H140" s="87" t="s">
        <v>301</v>
      </c>
      <c r="I140" s="87" t="s">
        <v>103</v>
      </c>
      <c r="J140" s="87" t="s">
        <v>103</v>
      </c>
      <c r="K140" s="85" t="s">
        <v>104</v>
      </c>
      <c r="L140" s="85" t="s">
        <v>105</v>
      </c>
      <c r="M140" s="87" t="s">
        <v>106</v>
      </c>
      <c r="N140" s="87" t="s">
        <v>518</v>
      </c>
      <c r="O140" s="87" t="s">
        <v>127</v>
      </c>
      <c r="P140" s="87" t="s">
        <v>521</v>
      </c>
      <c r="Q140" s="87" t="s">
        <v>129</v>
      </c>
      <c r="R140" s="130">
        <v>15</v>
      </c>
      <c r="S140" s="88" t="s">
        <v>111</v>
      </c>
      <c r="T140" s="81">
        <v>0</v>
      </c>
      <c r="U140" s="81">
        <v>1</v>
      </c>
      <c r="V140" s="25" t="e">
        <f t="shared" si="129"/>
        <v>#DIV/0!</v>
      </c>
      <c r="W140" s="81">
        <v>0</v>
      </c>
      <c r="X140" s="81">
        <v>4</v>
      </c>
      <c r="Y140" s="25" t="e">
        <f t="shared" si="1"/>
        <v>#DIV/0!</v>
      </c>
      <c r="Z140" s="81">
        <v>7</v>
      </c>
      <c r="AA140" s="81"/>
      <c r="AB140" s="25">
        <f t="shared" si="2"/>
        <v>0</v>
      </c>
      <c r="AC140" s="81">
        <v>8</v>
      </c>
      <c r="AD140" s="81"/>
      <c r="AE140" s="25">
        <f t="shared" si="3"/>
        <v>0</v>
      </c>
      <c r="AF140" s="137">
        <f t="shared" si="87"/>
        <v>15</v>
      </c>
      <c r="AG140" s="137">
        <f t="shared" si="88"/>
        <v>5</v>
      </c>
      <c r="AH140" s="128" t="e">
        <f t="shared" si="130"/>
        <v>#DIV/0!</v>
      </c>
      <c r="AI140" s="90">
        <v>46054</v>
      </c>
      <c r="AJ140" s="90">
        <v>46477</v>
      </c>
      <c r="AK140" s="91" t="s">
        <v>112</v>
      </c>
      <c r="AL140" s="91" t="s">
        <v>113</v>
      </c>
      <c r="AM140" s="92" t="s">
        <v>114</v>
      </c>
      <c r="AN140" s="93"/>
      <c r="AO140" s="93"/>
      <c r="AP140" s="93"/>
      <c r="AQ140" s="94"/>
      <c r="AR140" s="91"/>
      <c r="AS140" s="91" t="s">
        <v>112</v>
      </c>
      <c r="AT140" s="150" t="s">
        <v>509</v>
      </c>
      <c r="AU140" s="165" t="s">
        <v>2264</v>
      </c>
      <c r="AV140" s="232" t="s">
        <v>2234</v>
      </c>
      <c r="BA140" s="255"/>
      <c r="BB140" s="256"/>
      <c r="BC140" s="223" t="e">
        <f t="shared" si="104"/>
        <v>#DIV/0!</v>
      </c>
      <c r="BD140" s="255"/>
      <c r="BE140" s="256"/>
      <c r="BF140" s="223" t="e">
        <f t="shared" si="105"/>
        <v>#DIV/0!</v>
      </c>
      <c r="BG140" s="255"/>
      <c r="BH140" s="256"/>
      <c r="BI140" s="223" t="e">
        <f t="shared" si="106"/>
        <v>#DIV/0!</v>
      </c>
      <c r="BJ140" s="224">
        <f t="shared" si="107"/>
        <v>0</v>
      </c>
      <c r="BK140" s="225">
        <f t="shared" si="108"/>
        <v>0</v>
      </c>
      <c r="BL140" s="223" t="e">
        <f t="shared" si="109"/>
        <v>#DIV/0!</v>
      </c>
      <c r="BM140" s="255"/>
      <c r="BN140" s="256"/>
      <c r="BO140" s="223" t="e">
        <f t="shared" si="89"/>
        <v>#DIV/0!</v>
      </c>
      <c r="BP140" s="255"/>
      <c r="BQ140" s="256"/>
      <c r="BR140" s="223" t="e">
        <f t="shared" si="90"/>
        <v>#DIV/0!</v>
      </c>
      <c r="BS140" s="255"/>
      <c r="BT140" s="255"/>
      <c r="BU140" s="223" t="e">
        <f t="shared" si="91"/>
        <v>#DIV/0!</v>
      </c>
      <c r="BV140" s="224">
        <f t="shared" si="110"/>
        <v>0</v>
      </c>
      <c r="BW140" s="224">
        <f t="shared" si="111"/>
        <v>0</v>
      </c>
      <c r="BX140" s="223" t="e">
        <f t="shared" si="112"/>
        <v>#DIV/0!</v>
      </c>
      <c r="BY140" s="223">
        <f t="shared" si="113"/>
        <v>0</v>
      </c>
      <c r="BZ140" s="223">
        <f t="shared" si="114"/>
        <v>0</v>
      </c>
      <c r="CA140" s="226"/>
      <c r="CB140" s="175"/>
      <c r="CC140" s="191"/>
      <c r="CD140" s="192"/>
      <c r="CE140" s="193" t="e">
        <f t="shared" si="92"/>
        <v>#DIV/0!</v>
      </c>
      <c r="CF140" s="191"/>
      <c r="CG140" s="192"/>
      <c r="CH140" s="193" t="e">
        <f t="shared" si="93"/>
        <v>#DIV/0!</v>
      </c>
      <c r="CI140" s="197"/>
      <c r="CJ140" s="198"/>
      <c r="CK140" s="193" t="e">
        <f t="shared" si="94"/>
        <v>#DIV/0!</v>
      </c>
      <c r="CL140" s="195">
        <f t="shared" si="95"/>
        <v>0</v>
      </c>
      <c r="CM140" s="194">
        <f t="shared" si="96"/>
        <v>0</v>
      </c>
      <c r="CN140" s="193" t="e">
        <f t="shared" si="97"/>
        <v>#DIV/0!</v>
      </c>
      <c r="CO140" s="175"/>
      <c r="CP140" s="196">
        <f t="shared" si="98"/>
        <v>0</v>
      </c>
      <c r="CQ140" s="196">
        <f t="shared" si="99"/>
        <v>0</v>
      </c>
      <c r="CR140" s="199" t="e">
        <f t="shared" si="100"/>
        <v>#DIV/0!</v>
      </c>
      <c r="CS140" s="261">
        <f t="shared" si="115"/>
        <v>15</v>
      </c>
      <c r="CT140" s="175"/>
      <c r="CU140" s="196">
        <f t="shared" si="116"/>
        <v>4.5</v>
      </c>
      <c r="CV140" s="259"/>
      <c r="CW140" s="199">
        <f t="shared" si="117"/>
        <v>0</v>
      </c>
      <c r="CX140" s="196">
        <f t="shared" si="118"/>
        <v>4.5</v>
      </c>
      <c r="CY140" s="259"/>
      <c r="CZ140" s="199">
        <f t="shared" si="119"/>
        <v>0</v>
      </c>
      <c r="DA140" s="196">
        <f t="shared" si="120"/>
        <v>4.5</v>
      </c>
      <c r="DB140" s="259"/>
      <c r="DC140" s="199">
        <f t="shared" si="121"/>
        <v>0</v>
      </c>
      <c r="DD140" s="196">
        <f t="shared" si="122"/>
        <v>1.5</v>
      </c>
      <c r="DE140" s="259"/>
      <c r="DF140" s="199">
        <f t="shared" si="123"/>
        <v>0</v>
      </c>
      <c r="DG140" s="175"/>
      <c r="DH140" s="196">
        <f t="shared" si="124"/>
        <v>15</v>
      </c>
      <c r="DI140" s="196">
        <f t="shared" si="125"/>
        <v>0</v>
      </c>
      <c r="DJ140" s="199">
        <f t="shared" si="126"/>
        <v>0</v>
      </c>
      <c r="DK140" s="265">
        <f t="shared" si="127"/>
        <v>15</v>
      </c>
      <c r="DL140" s="244">
        <v>136</v>
      </c>
      <c r="DM140">
        <f t="shared" si="103"/>
        <v>0</v>
      </c>
    </row>
    <row r="141" spans="1:117" x14ac:dyDescent="0.3">
      <c r="A141" s="246">
        <v>137</v>
      </c>
      <c r="B141" s="91" t="s">
        <v>270</v>
      </c>
      <c r="C141" s="91" t="s">
        <v>118</v>
      </c>
      <c r="D141" s="91" t="s">
        <v>119</v>
      </c>
      <c r="E141" s="91" t="s">
        <v>155</v>
      </c>
      <c r="F141" s="91" t="s">
        <v>493</v>
      </c>
      <c r="G141" s="87" t="s">
        <v>489</v>
      </c>
      <c r="H141" s="87" t="s">
        <v>301</v>
      </c>
      <c r="I141" s="87" t="s">
        <v>103</v>
      </c>
      <c r="J141" s="87" t="s">
        <v>103</v>
      </c>
      <c r="K141" s="85" t="s">
        <v>104</v>
      </c>
      <c r="L141" s="85" t="s">
        <v>105</v>
      </c>
      <c r="M141" s="87" t="s">
        <v>106</v>
      </c>
      <c r="N141" s="87" t="s">
        <v>518</v>
      </c>
      <c r="O141" s="87" t="s">
        <v>127</v>
      </c>
      <c r="P141" s="87" t="s">
        <v>522</v>
      </c>
      <c r="Q141" s="87" t="s">
        <v>129</v>
      </c>
      <c r="R141" s="130">
        <v>2</v>
      </c>
      <c r="S141" s="88" t="s">
        <v>111</v>
      </c>
      <c r="T141" s="81">
        <v>0</v>
      </c>
      <c r="U141" s="81">
        <v>0</v>
      </c>
      <c r="V141" s="25" t="e">
        <f t="shared" si="129"/>
        <v>#DIV/0!</v>
      </c>
      <c r="W141" s="81">
        <v>0</v>
      </c>
      <c r="X141" s="81">
        <v>0</v>
      </c>
      <c r="Y141" s="25" t="e">
        <f t="shared" si="1"/>
        <v>#DIV/0!</v>
      </c>
      <c r="Z141" s="81">
        <v>1</v>
      </c>
      <c r="AA141" s="81"/>
      <c r="AB141" s="25">
        <f t="shared" si="2"/>
        <v>0</v>
      </c>
      <c r="AC141" s="81">
        <v>1</v>
      </c>
      <c r="AD141" s="81"/>
      <c r="AE141" s="25">
        <f t="shared" si="3"/>
        <v>0</v>
      </c>
      <c r="AF141" s="137">
        <f t="shared" si="87"/>
        <v>2</v>
      </c>
      <c r="AG141" s="137">
        <f t="shared" si="88"/>
        <v>0</v>
      </c>
      <c r="AH141" s="128" t="e">
        <f t="shared" si="130"/>
        <v>#DIV/0!</v>
      </c>
      <c r="AI141" s="90">
        <v>46054</v>
      </c>
      <c r="AJ141" s="90">
        <v>46477</v>
      </c>
      <c r="AK141" s="91" t="s">
        <v>112</v>
      </c>
      <c r="AL141" s="91" t="s">
        <v>113</v>
      </c>
      <c r="AM141" s="92" t="s">
        <v>114</v>
      </c>
      <c r="AN141" s="93"/>
      <c r="AO141" s="93"/>
      <c r="AP141" s="93"/>
      <c r="AQ141" s="94"/>
      <c r="AR141" s="91"/>
      <c r="AS141" s="91" t="s">
        <v>112</v>
      </c>
      <c r="AT141" s="150" t="s">
        <v>509</v>
      </c>
      <c r="AU141" s="165" t="s">
        <v>2264</v>
      </c>
      <c r="AV141" s="232" t="s">
        <v>2234</v>
      </c>
      <c r="BA141" s="255"/>
      <c r="BB141" s="256"/>
      <c r="BC141" s="223" t="e">
        <f t="shared" si="104"/>
        <v>#DIV/0!</v>
      </c>
      <c r="BD141" s="255"/>
      <c r="BE141" s="256"/>
      <c r="BF141" s="223" t="e">
        <f t="shared" si="105"/>
        <v>#DIV/0!</v>
      </c>
      <c r="BG141" s="255"/>
      <c r="BH141" s="256"/>
      <c r="BI141" s="223" t="e">
        <f t="shared" si="106"/>
        <v>#DIV/0!</v>
      </c>
      <c r="BJ141" s="224">
        <f t="shared" si="107"/>
        <v>0</v>
      </c>
      <c r="BK141" s="225">
        <f t="shared" si="108"/>
        <v>0</v>
      </c>
      <c r="BL141" s="223" t="e">
        <f t="shared" si="109"/>
        <v>#DIV/0!</v>
      </c>
      <c r="BM141" s="255"/>
      <c r="BN141" s="256"/>
      <c r="BO141" s="223" t="e">
        <f t="shared" si="89"/>
        <v>#DIV/0!</v>
      </c>
      <c r="BP141" s="255"/>
      <c r="BQ141" s="256"/>
      <c r="BR141" s="223" t="e">
        <f t="shared" si="90"/>
        <v>#DIV/0!</v>
      </c>
      <c r="BS141" s="255"/>
      <c r="BT141" s="255"/>
      <c r="BU141" s="223" t="e">
        <f t="shared" si="91"/>
        <v>#DIV/0!</v>
      </c>
      <c r="BV141" s="224">
        <f t="shared" si="110"/>
        <v>0</v>
      </c>
      <c r="BW141" s="224">
        <f t="shared" si="111"/>
        <v>0</v>
      </c>
      <c r="BX141" s="223" t="e">
        <f t="shared" si="112"/>
        <v>#DIV/0!</v>
      </c>
      <c r="BY141" s="223">
        <f t="shared" si="113"/>
        <v>0</v>
      </c>
      <c r="BZ141" s="223">
        <f t="shared" si="114"/>
        <v>0</v>
      </c>
      <c r="CA141" s="226"/>
      <c r="CB141" s="175"/>
      <c r="CC141" s="191"/>
      <c r="CD141" s="192"/>
      <c r="CE141" s="193" t="e">
        <f t="shared" si="92"/>
        <v>#DIV/0!</v>
      </c>
      <c r="CF141" s="191"/>
      <c r="CG141" s="192"/>
      <c r="CH141" s="193" t="e">
        <f t="shared" si="93"/>
        <v>#DIV/0!</v>
      </c>
      <c r="CI141" s="197"/>
      <c r="CJ141" s="198"/>
      <c r="CK141" s="193" t="e">
        <f t="shared" si="94"/>
        <v>#DIV/0!</v>
      </c>
      <c r="CL141" s="195">
        <f t="shared" si="95"/>
        <v>0</v>
      </c>
      <c r="CM141" s="194">
        <f t="shared" si="96"/>
        <v>0</v>
      </c>
      <c r="CN141" s="193" t="e">
        <f t="shared" si="97"/>
        <v>#DIV/0!</v>
      </c>
      <c r="CO141" s="175"/>
      <c r="CP141" s="196">
        <f t="shared" si="98"/>
        <v>0</v>
      </c>
      <c r="CQ141" s="196">
        <f t="shared" si="99"/>
        <v>0</v>
      </c>
      <c r="CR141" s="199" t="e">
        <f t="shared" si="100"/>
        <v>#DIV/0!</v>
      </c>
      <c r="CS141" s="261">
        <f t="shared" si="115"/>
        <v>2</v>
      </c>
      <c r="CT141" s="175"/>
      <c r="CU141" s="196">
        <f t="shared" si="116"/>
        <v>0.6</v>
      </c>
      <c r="CV141" s="259"/>
      <c r="CW141" s="199">
        <f t="shared" si="117"/>
        <v>0</v>
      </c>
      <c r="CX141" s="196">
        <f t="shared" si="118"/>
        <v>0.6</v>
      </c>
      <c r="CY141" s="259"/>
      <c r="CZ141" s="199">
        <f t="shared" si="119"/>
        <v>0</v>
      </c>
      <c r="DA141" s="196">
        <f t="shared" si="120"/>
        <v>0.6</v>
      </c>
      <c r="DB141" s="259"/>
      <c r="DC141" s="199">
        <f t="shared" si="121"/>
        <v>0</v>
      </c>
      <c r="DD141" s="196">
        <f t="shared" si="122"/>
        <v>0.2</v>
      </c>
      <c r="DE141" s="259"/>
      <c r="DF141" s="199">
        <f t="shared" si="123"/>
        <v>0</v>
      </c>
      <c r="DG141" s="175"/>
      <c r="DH141" s="196">
        <f t="shared" si="124"/>
        <v>2</v>
      </c>
      <c r="DI141" s="196">
        <f t="shared" si="125"/>
        <v>0</v>
      </c>
      <c r="DJ141" s="199">
        <f t="shared" si="126"/>
        <v>0</v>
      </c>
      <c r="DK141" s="265">
        <f t="shared" si="127"/>
        <v>2</v>
      </c>
      <c r="DL141" s="244">
        <v>137</v>
      </c>
      <c r="DM141">
        <f t="shared" si="103"/>
        <v>0</v>
      </c>
    </row>
    <row r="142" spans="1:117" x14ac:dyDescent="0.3">
      <c r="A142" s="246">
        <v>138</v>
      </c>
      <c r="B142" s="91" t="s">
        <v>270</v>
      </c>
      <c r="C142" s="91" t="s">
        <v>118</v>
      </c>
      <c r="D142" s="91" t="s">
        <v>119</v>
      </c>
      <c r="E142" s="91" t="s">
        <v>155</v>
      </c>
      <c r="F142" s="91" t="s">
        <v>493</v>
      </c>
      <c r="G142" s="87" t="s">
        <v>489</v>
      </c>
      <c r="H142" s="87" t="s">
        <v>301</v>
      </c>
      <c r="I142" s="87" t="s">
        <v>224</v>
      </c>
      <c r="J142" s="87" t="s">
        <v>224</v>
      </c>
      <c r="K142" s="85" t="s">
        <v>104</v>
      </c>
      <c r="L142" s="85" t="s">
        <v>105</v>
      </c>
      <c r="M142" s="87" t="s">
        <v>106</v>
      </c>
      <c r="N142" s="87" t="s">
        <v>518</v>
      </c>
      <c r="O142" s="87" t="s">
        <v>127</v>
      </c>
      <c r="P142" s="87" t="s">
        <v>523</v>
      </c>
      <c r="Q142" s="87" t="s">
        <v>129</v>
      </c>
      <c r="R142" s="130">
        <v>29</v>
      </c>
      <c r="S142" s="88" t="s">
        <v>111</v>
      </c>
      <c r="T142" s="81">
        <v>0</v>
      </c>
      <c r="U142" s="81">
        <v>16</v>
      </c>
      <c r="V142" s="25" t="e">
        <f t="shared" si="129"/>
        <v>#DIV/0!</v>
      </c>
      <c r="W142" s="81">
        <v>0</v>
      </c>
      <c r="X142" s="81">
        <v>6</v>
      </c>
      <c r="Y142" s="25" t="e">
        <f t="shared" si="1"/>
        <v>#DIV/0!</v>
      </c>
      <c r="Z142" s="81">
        <v>12</v>
      </c>
      <c r="AA142" s="81"/>
      <c r="AB142" s="25">
        <f t="shared" si="2"/>
        <v>0</v>
      </c>
      <c r="AC142" s="81">
        <v>17</v>
      </c>
      <c r="AD142" s="81"/>
      <c r="AE142" s="25">
        <f t="shared" si="3"/>
        <v>0</v>
      </c>
      <c r="AF142" s="137">
        <f t="shared" si="87"/>
        <v>29</v>
      </c>
      <c r="AG142" s="137">
        <f t="shared" si="88"/>
        <v>22</v>
      </c>
      <c r="AH142" s="128" t="e">
        <f t="shared" si="130"/>
        <v>#DIV/0!</v>
      </c>
      <c r="AI142" s="90">
        <v>46113</v>
      </c>
      <c r="AJ142" s="90">
        <v>46477</v>
      </c>
      <c r="AK142" s="91" t="s">
        <v>112</v>
      </c>
      <c r="AL142" s="91" t="s">
        <v>113</v>
      </c>
      <c r="AM142" s="92" t="s">
        <v>114</v>
      </c>
      <c r="AN142" s="93"/>
      <c r="AO142" s="93"/>
      <c r="AP142" s="93"/>
      <c r="AQ142" s="94"/>
      <c r="AR142" s="91" t="s">
        <v>159</v>
      </c>
      <c r="AS142" s="91" t="s">
        <v>112</v>
      </c>
      <c r="AT142" s="150" t="s">
        <v>509</v>
      </c>
      <c r="AU142" s="165" t="s">
        <v>2264</v>
      </c>
      <c r="AV142" s="232" t="s">
        <v>2234</v>
      </c>
      <c r="BA142" s="255"/>
      <c r="BB142" s="256"/>
      <c r="BC142" s="223" t="e">
        <f t="shared" si="104"/>
        <v>#DIV/0!</v>
      </c>
      <c r="BD142" s="255"/>
      <c r="BE142" s="256"/>
      <c r="BF142" s="223" t="e">
        <f t="shared" si="105"/>
        <v>#DIV/0!</v>
      </c>
      <c r="BG142" s="255"/>
      <c r="BH142" s="256"/>
      <c r="BI142" s="223" t="e">
        <f t="shared" si="106"/>
        <v>#DIV/0!</v>
      </c>
      <c r="BJ142" s="224">
        <f t="shared" si="107"/>
        <v>0</v>
      </c>
      <c r="BK142" s="225">
        <f t="shared" si="108"/>
        <v>0</v>
      </c>
      <c r="BL142" s="223" t="e">
        <f t="shared" si="109"/>
        <v>#DIV/0!</v>
      </c>
      <c r="BM142" s="255"/>
      <c r="BN142" s="256"/>
      <c r="BO142" s="223" t="e">
        <f t="shared" si="89"/>
        <v>#DIV/0!</v>
      </c>
      <c r="BP142" s="255"/>
      <c r="BQ142" s="256"/>
      <c r="BR142" s="223" t="e">
        <f t="shared" si="90"/>
        <v>#DIV/0!</v>
      </c>
      <c r="BS142" s="255"/>
      <c r="BT142" s="255"/>
      <c r="BU142" s="223" t="e">
        <f t="shared" si="91"/>
        <v>#DIV/0!</v>
      </c>
      <c r="BV142" s="224">
        <f t="shared" si="110"/>
        <v>0</v>
      </c>
      <c r="BW142" s="224">
        <f t="shared" si="111"/>
        <v>0</v>
      </c>
      <c r="BX142" s="223" t="e">
        <f t="shared" si="112"/>
        <v>#DIV/0!</v>
      </c>
      <c r="BY142" s="223">
        <f t="shared" si="113"/>
        <v>0</v>
      </c>
      <c r="BZ142" s="223">
        <f t="shared" si="114"/>
        <v>0</v>
      </c>
      <c r="CA142" s="226"/>
      <c r="CB142" s="175"/>
      <c r="CC142" s="191"/>
      <c r="CD142" s="192"/>
      <c r="CE142" s="193" t="e">
        <f t="shared" si="92"/>
        <v>#DIV/0!</v>
      </c>
      <c r="CF142" s="191"/>
      <c r="CG142" s="192"/>
      <c r="CH142" s="193" t="e">
        <f t="shared" si="93"/>
        <v>#DIV/0!</v>
      </c>
      <c r="CI142" s="197"/>
      <c r="CJ142" s="198"/>
      <c r="CK142" s="193" t="e">
        <f t="shared" si="94"/>
        <v>#DIV/0!</v>
      </c>
      <c r="CL142" s="195">
        <f t="shared" si="95"/>
        <v>0</v>
      </c>
      <c r="CM142" s="194">
        <f t="shared" si="96"/>
        <v>0</v>
      </c>
      <c r="CN142" s="193" t="e">
        <f t="shared" si="97"/>
        <v>#DIV/0!</v>
      </c>
      <c r="CO142" s="175"/>
      <c r="CP142" s="196">
        <f t="shared" si="98"/>
        <v>0</v>
      </c>
      <c r="CQ142" s="196">
        <f t="shared" si="99"/>
        <v>0</v>
      </c>
      <c r="CR142" s="199" t="e">
        <f t="shared" si="100"/>
        <v>#DIV/0!</v>
      </c>
      <c r="CS142" s="261">
        <f t="shared" si="115"/>
        <v>29</v>
      </c>
      <c r="CT142" s="175"/>
      <c r="CU142" s="196">
        <f t="shared" si="116"/>
        <v>8.6999999999999993</v>
      </c>
      <c r="CV142" s="259"/>
      <c r="CW142" s="199">
        <f t="shared" si="117"/>
        <v>0</v>
      </c>
      <c r="CX142" s="196">
        <f t="shared" si="118"/>
        <v>8.6999999999999993</v>
      </c>
      <c r="CY142" s="259"/>
      <c r="CZ142" s="199">
        <f t="shared" si="119"/>
        <v>0</v>
      </c>
      <c r="DA142" s="196">
        <f t="shared" si="120"/>
        <v>8.6999999999999993</v>
      </c>
      <c r="DB142" s="259"/>
      <c r="DC142" s="199">
        <f t="shared" si="121"/>
        <v>0</v>
      </c>
      <c r="DD142" s="196">
        <f t="shared" si="122"/>
        <v>2.9000000000000004</v>
      </c>
      <c r="DE142" s="259"/>
      <c r="DF142" s="199">
        <f t="shared" si="123"/>
        <v>0</v>
      </c>
      <c r="DG142" s="175"/>
      <c r="DH142" s="196">
        <f t="shared" si="124"/>
        <v>29</v>
      </c>
      <c r="DI142" s="196">
        <f t="shared" si="125"/>
        <v>0</v>
      </c>
      <c r="DJ142" s="199">
        <f t="shared" si="126"/>
        <v>0</v>
      </c>
      <c r="DK142" s="265">
        <f t="shared" si="127"/>
        <v>29</v>
      </c>
      <c r="DL142" s="244">
        <v>138</v>
      </c>
      <c r="DM142">
        <f t="shared" si="103"/>
        <v>0</v>
      </c>
    </row>
    <row r="143" spans="1:117" ht="39.6" x14ac:dyDescent="0.3">
      <c r="A143" s="246">
        <v>139</v>
      </c>
      <c r="B143" s="91" t="s">
        <v>270</v>
      </c>
      <c r="C143" s="91" t="s">
        <v>118</v>
      </c>
      <c r="D143" s="91" t="s">
        <v>119</v>
      </c>
      <c r="E143" s="91" t="s">
        <v>155</v>
      </c>
      <c r="F143" s="91" t="s">
        <v>493</v>
      </c>
      <c r="G143" s="87" t="s">
        <v>489</v>
      </c>
      <c r="H143" s="87" t="s">
        <v>301</v>
      </c>
      <c r="I143" s="87" t="s">
        <v>103</v>
      </c>
      <c r="J143" s="87" t="s">
        <v>103</v>
      </c>
      <c r="K143" s="85" t="s">
        <v>183</v>
      </c>
      <c r="L143" s="85" t="s">
        <v>424</v>
      </c>
      <c r="M143" s="87" t="s">
        <v>106</v>
      </c>
      <c r="N143" s="87" t="s">
        <v>518</v>
      </c>
      <c r="O143" s="87" t="s">
        <v>127</v>
      </c>
      <c r="P143" s="242" t="s">
        <v>524</v>
      </c>
      <c r="Q143" s="87" t="s">
        <v>129</v>
      </c>
      <c r="R143" s="130">
        <v>4</v>
      </c>
      <c r="S143" s="88" t="s">
        <v>111</v>
      </c>
      <c r="T143" s="81">
        <v>0</v>
      </c>
      <c r="U143" s="81">
        <v>0</v>
      </c>
      <c r="V143" s="25" t="e">
        <f t="shared" si="129"/>
        <v>#DIV/0!</v>
      </c>
      <c r="W143" s="81">
        <v>0</v>
      </c>
      <c r="X143" s="81"/>
      <c r="Y143" s="25" t="e">
        <f t="shared" si="1"/>
        <v>#DIV/0!</v>
      </c>
      <c r="Z143" s="81">
        <v>2</v>
      </c>
      <c r="AA143" s="81"/>
      <c r="AB143" s="25">
        <f t="shared" si="2"/>
        <v>0</v>
      </c>
      <c r="AC143" s="81">
        <v>2</v>
      </c>
      <c r="AD143" s="81"/>
      <c r="AE143" s="25">
        <f t="shared" si="3"/>
        <v>0</v>
      </c>
      <c r="AF143" s="137">
        <f t="shared" si="87"/>
        <v>4</v>
      </c>
      <c r="AG143" s="137">
        <f t="shared" si="88"/>
        <v>0</v>
      </c>
      <c r="AH143" s="128" t="e">
        <f t="shared" si="130"/>
        <v>#DIV/0!</v>
      </c>
      <c r="AI143" s="90">
        <v>46054</v>
      </c>
      <c r="AJ143" s="90">
        <v>46477</v>
      </c>
      <c r="AK143" s="91" t="s">
        <v>112</v>
      </c>
      <c r="AL143" s="91" t="s">
        <v>113</v>
      </c>
      <c r="AM143" s="92" t="s">
        <v>114</v>
      </c>
      <c r="AN143" s="93">
        <v>40000000</v>
      </c>
      <c r="AO143" s="93">
        <v>40000000</v>
      </c>
      <c r="AP143" s="93">
        <v>40000000</v>
      </c>
      <c r="AQ143" s="94">
        <v>0</v>
      </c>
      <c r="AR143" s="91"/>
      <c r="AS143" s="91" t="s">
        <v>112</v>
      </c>
      <c r="AT143" s="150" t="s">
        <v>509</v>
      </c>
      <c r="AU143" s="165" t="s">
        <v>2264</v>
      </c>
      <c r="AV143" s="232" t="s">
        <v>2234</v>
      </c>
      <c r="BA143" s="255"/>
      <c r="BB143" s="256"/>
      <c r="BC143" s="223" t="e">
        <f t="shared" si="104"/>
        <v>#DIV/0!</v>
      </c>
      <c r="BD143" s="255"/>
      <c r="BE143" s="256"/>
      <c r="BF143" s="223" t="e">
        <f t="shared" si="105"/>
        <v>#DIV/0!</v>
      </c>
      <c r="BG143" s="255"/>
      <c r="BH143" s="256"/>
      <c r="BI143" s="223" t="e">
        <f t="shared" si="106"/>
        <v>#DIV/0!</v>
      </c>
      <c r="BJ143" s="224">
        <f t="shared" si="107"/>
        <v>0</v>
      </c>
      <c r="BK143" s="225">
        <f t="shared" si="108"/>
        <v>0</v>
      </c>
      <c r="BL143" s="223" t="e">
        <f t="shared" si="109"/>
        <v>#DIV/0!</v>
      </c>
      <c r="BM143" s="255"/>
      <c r="BN143" s="256"/>
      <c r="BO143" s="223" t="e">
        <f t="shared" si="89"/>
        <v>#DIV/0!</v>
      </c>
      <c r="BP143" s="255"/>
      <c r="BQ143" s="256"/>
      <c r="BR143" s="223" t="e">
        <f t="shared" si="90"/>
        <v>#DIV/0!</v>
      </c>
      <c r="BS143" s="255"/>
      <c r="BT143" s="255"/>
      <c r="BU143" s="223" t="e">
        <f t="shared" si="91"/>
        <v>#DIV/0!</v>
      </c>
      <c r="BV143" s="224">
        <f t="shared" si="110"/>
        <v>0</v>
      </c>
      <c r="BW143" s="224">
        <f t="shared" si="111"/>
        <v>0</v>
      </c>
      <c r="BX143" s="223" t="e">
        <f t="shared" si="112"/>
        <v>#DIV/0!</v>
      </c>
      <c r="BY143" s="223">
        <f t="shared" si="113"/>
        <v>0</v>
      </c>
      <c r="BZ143" s="223">
        <f t="shared" si="114"/>
        <v>0</v>
      </c>
      <c r="CA143" s="226"/>
      <c r="CB143" s="175"/>
      <c r="CC143" s="191"/>
      <c r="CD143" s="192"/>
      <c r="CE143" s="193" t="e">
        <f t="shared" si="92"/>
        <v>#DIV/0!</v>
      </c>
      <c r="CF143" s="191"/>
      <c r="CG143" s="192"/>
      <c r="CH143" s="193" t="e">
        <f t="shared" si="93"/>
        <v>#DIV/0!</v>
      </c>
      <c r="CI143" s="197"/>
      <c r="CJ143" s="198"/>
      <c r="CK143" s="193" t="e">
        <f t="shared" si="94"/>
        <v>#DIV/0!</v>
      </c>
      <c r="CL143" s="195">
        <f t="shared" si="95"/>
        <v>0</v>
      </c>
      <c r="CM143" s="194">
        <f t="shared" si="96"/>
        <v>0</v>
      </c>
      <c r="CN143" s="193" t="e">
        <f t="shared" si="97"/>
        <v>#DIV/0!</v>
      </c>
      <c r="CO143" s="175"/>
      <c r="CP143" s="196">
        <f t="shared" si="98"/>
        <v>0</v>
      </c>
      <c r="CQ143" s="196">
        <f t="shared" si="99"/>
        <v>0</v>
      </c>
      <c r="CR143" s="199" t="e">
        <f t="shared" si="100"/>
        <v>#DIV/0!</v>
      </c>
      <c r="CS143" s="261">
        <f t="shared" si="115"/>
        <v>4</v>
      </c>
      <c r="CT143" s="175"/>
      <c r="CU143" s="196">
        <f t="shared" si="116"/>
        <v>1.2</v>
      </c>
      <c r="CV143" s="259"/>
      <c r="CW143" s="199">
        <f t="shared" si="117"/>
        <v>0</v>
      </c>
      <c r="CX143" s="196">
        <f t="shared" si="118"/>
        <v>1.2</v>
      </c>
      <c r="CY143" s="259"/>
      <c r="CZ143" s="199">
        <f t="shared" si="119"/>
        <v>0</v>
      </c>
      <c r="DA143" s="196">
        <f t="shared" si="120"/>
        <v>1.2</v>
      </c>
      <c r="DB143" s="259"/>
      <c r="DC143" s="199">
        <f t="shared" si="121"/>
        <v>0</v>
      </c>
      <c r="DD143" s="196">
        <f t="shared" si="122"/>
        <v>0.4</v>
      </c>
      <c r="DE143" s="259"/>
      <c r="DF143" s="199">
        <f t="shared" si="123"/>
        <v>0</v>
      </c>
      <c r="DG143" s="175"/>
      <c r="DH143" s="196">
        <f t="shared" si="124"/>
        <v>4</v>
      </c>
      <c r="DI143" s="196">
        <f t="shared" si="125"/>
        <v>0</v>
      </c>
      <c r="DJ143" s="199">
        <f t="shared" si="126"/>
        <v>0</v>
      </c>
      <c r="DK143" s="265">
        <f t="shared" si="127"/>
        <v>4</v>
      </c>
      <c r="DL143" s="244">
        <v>139</v>
      </c>
      <c r="DM143">
        <f t="shared" si="103"/>
        <v>0</v>
      </c>
    </row>
    <row r="144" spans="1:117" ht="26.4" x14ac:dyDescent="0.3">
      <c r="A144" s="246">
        <v>140</v>
      </c>
      <c r="B144" s="91" t="s">
        <v>270</v>
      </c>
      <c r="C144" s="91" t="s">
        <v>133</v>
      </c>
      <c r="D144" s="91" t="s">
        <v>119</v>
      </c>
      <c r="E144" s="91" t="s">
        <v>155</v>
      </c>
      <c r="F144" s="91" t="s">
        <v>493</v>
      </c>
      <c r="G144" s="87" t="s">
        <v>489</v>
      </c>
      <c r="H144" s="87" t="s">
        <v>301</v>
      </c>
      <c r="I144" s="87" t="s">
        <v>224</v>
      </c>
      <c r="J144" s="87" t="s">
        <v>224</v>
      </c>
      <c r="K144" s="85" t="s">
        <v>104</v>
      </c>
      <c r="L144" s="85" t="s">
        <v>105</v>
      </c>
      <c r="M144" s="87" t="s">
        <v>106</v>
      </c>
      <c r="N144" s="87" t="s">
        <v>518</v>
      </c>
      <c r="O144" s="87" t="s">
        <v>127</v>
      </c>
      <c r="P144" s="242" t="s">
        <v>525</v>
      </c>
      <c r="Q144" s="87" t="s">
        <v>129</v>
      </c>
      <c r="R144" s="130">
        <v>1</v>
      </c>
      <c r="S144" s="88" t="s">
        <v>111</v>
      </c>
      <c r="T144" s="81">
        <v>0</v>
      </c>
      <c r="U144" s="81">
        <v>0</v>
      </c>
      <c r="V144" s="25" t="e">
        <f t="shared" si="129"/>
        <v>#DIV/0!</v>
      </c>
      <c r="W144" s="81">
        <v>0</v>
      </c>
      <c r="X144" s="81">
        <v>0</v>
      </c>
      <c r="Y144" s="25" t="e">
        <f t="shared" si="1"/>
        <v>#DIV/0!</v>
      </c>
      <c r="Z144" s="81">
        <v>1</v>
      </c>
      <c r="AA144" s="81"/>
      <c r="AB144" s="25">
        <f t="shared" si="2"/>
        <v>0</v>
      </c>
      <c r="AC144" s="81">
        <v>0</v>
      </c>
      <c r="AD144" s="81"/>
      <c r="AE144" s="25" t="e">
        <f t="shared" si="3"/>
        <v>#DIV/0!</v>
      </c>
      <c r="AF144" s="137">
        <f t="shared" si="87"/>
        <v>1</v>
      </c>
      <c r="AG144" s="137">
        <f t="shared" si="88"/>
        <v>0</v>
      </c>
      <c r="AH144" s="128" t="e">
        <f t="shared" si="130"/>
        <v>#DIV/0!</v>
      </c>
      <c r="AI144" s="90">
        <v>46054</v>
      </c>
      <c r="AJ144" s="90">
        <v>46477</v>
      </c>
      <c r="AK144" s="91" t="s">
        <v>112</v>
      </c>
      <c r="AL144" s="91" t="s">
        <v>113</v>
      </c>
      <c r="AM144" s="92" t="s">
        <v>114</v>
      </c>
      <c r="AN144" s="93">
        <v>20000000</v>
      </c>
      <c r="AO144" s="93">
        <v>20000000</v>
      </c>
      <c r="AP144" s="93">
        <v>20000000</v>
      </c>
      <c r="AQ144" s="94">
        <v>0</v>
      </c>
      <c r="AR144" s="91"/>
      <c r="AS144" s="91" t="s">
        <v>112</v>
      </c>
      <c r="AT144" s="150" t="s">
        <v>509</v>
      </c>
      <c r="AU144" s="165" t="s">
        <v>2264</v>
      </c>
      <c r="AV144" s="232" t="s">
        <v>2234</v>
      </c>
      <c r="BA144" s="255"/>
      <c r="BB144" s="256"/>
      <c r="BC144" s="223" t="e">
        <f t="shared" si="104"/>
        <v>#DIV/0!</v>
      </c>
      <c r="BD144" s="255"/>
      <c r="BE144" s="256"/>
      <c r="BF144" s="223" t="e">
        <f t="shared" si="105"/>
        <v>#DIV/0!</v>
      </c>
      <c r="BG144" s="255"/>
      <c r="BH144" s="256"/>
      <c r="BI144" s="223" t="e">
        <f t="shared" si="106"/>
        <v>#DIV/0!</v>
      </c>
      <c r="BJ144" s="224">
        <f t="shared" si="107"/>
        <v>0</v>
      </c>
      <c r="BK144" s="225">
        <f t="shared" si="108"/>
        <v>0</v>
      </c>
      <c r="BL144" s="223" t="e">
        <f t="shared" si="109"/>
        <v>#DIV/0!</v>
      </c>
      <c r="BM144" s="255"/>
      <c r="BN144" s="256"/>
      <c r="BO144" s="223" t="e">
        <f t="shared" si="89"/>
        <v>#DIV/0!</v>
      </c>
      <c r="BP144" s="255"/>
      <c r="BQ144" s="256"/>
      <c r="BR144" s="223" t="e">
        <f t="shared" si="90"/>
        <v>#DIV/0!</v>
      </c>
      <c r="BS144" s="255"/>
      <c r="BT144" s="255"/>
      <c r="BU144" s="223" t="e">
        <f t="shared" si="91"/>
        <v>#DIV/0!</v>
      </c>
      <c r="BV144" s="224">
        <f t="shared" si="110"/>
        <v>0</v>
      </c>
      <c r="BW144" s="224">
        <f t="shared" si="111"/>
        <v>0</v>
      </c>
      <c r="BX144" s="223" t="e">
        <f t="shared" si="112"/>
        <v>#DIV/0!</v>
      </c>
      <c r="BY144" s="223">
        <f t="shared" si="113"/>
        <v>0</v>
      </c>
      <c r="BZ144" s="223">
        <f t="shared" si="114"/>
        <v>0</v>
      </c>
      <c r="CA144" s="226"/>
      <c r="CB144" s="175"/>
      <c r="CC144" s="191"/>
      <c r="CD144" s="192"/>
      <c r="CE144" s="193" t="e">
        <f t="shared" si="92"/>
        <v>#DIV/0!</v>
      </c>
      <c r="CF144" s="191"/>
      <c r="CG144" s="192"/>
      <c r="CH144" s="193" t="e">
        <f t="shared" si="93"/>
        <v>#DIV/0!</v>
      </c>
      <c r="CI144" s="197"/>
      <c r="CJ144" s="198"/>
      <c r="CK144" s="193" t="e">
        <f t="shared" si="94"/>
        <v>#DIV/0!</v>
      </c>
      <c r="CL144" s="195">
        <f t="shared" si="95"/>
        <v>0</v>
      </c>
      <c r="CM144" s="194">
        <f t="shared" si="96"/>
        <v>0</v>
      </c>
      <c r="CN144" s="193" t="e">
        <f t="shared" si="97"/>
        <v>#DIV/0!</v>
      </c>
      <c r="CO144" s="175"/>
      <c r="CP144" s="196">
        <f t="shared" si="98"/>
        <v>0</v>
      </c>
      <c r="CQ144" s="196">
        <f t="shared" si="99"/>
        <v>0</v>
      </c>
      <c r="CR144" s="199" t="e">
        <f t="shared" si="100"/>
        <v>#DIV/0!</v>
      </c>
      <c r="CS144" s="261">
        <f t="shared" si="115"/>
        <v>1</v>
      </c>
      <c r="CT144" s="175"/>
      <c r="CU144" s="196">
        <f t="shared" si="116"/>
        <v>0.3</v>
      </c>
      <c r="CV144" s="259"/>
      <c r="CW144" s="199">
        <f t="shared" si="117"/>
        <v>0</v>
      </c>
      <c r="CX144" s="196">
        <f t="shared" si="118"/>
        <v>0.3</v>
      </c>
      <c r="CY144" s="259"/>
      <c r="CZ144" s="199">
        <f t="shared" si="119"/>
        <v>0</v>
      </c>
      <c r="DA144" s="196">
        <f t="shared" si="120"/>
        <v>0.3</v>
      </c>
      <c r="DB144" s="259"/>
      <c r="DC144" s="199">
        <f t="shared" si="121"/>
        <v>0</v>
      </c>
      <c r="DD144" s="196">
        <f t="shared" si="122"/>
        <v>0.1</v>
      </c>
      <c r="DE144" s="259"/>
      <c r="DF144" s="199">
        <f t="shared" si="123"/>
        <v>0</v>
      </c>
      <c r="DG144" s="175"/>
      <c r="DH144" s="196">
        <f t="shared" si="124"/>
        <v>1</v>
      </c>
      <c r="DI144" s="196">
        <f t="shared" si="125"/>
        <v>0</v>
      </c>
      <c r="DJ144" s="199">
        <f t="shared" si="126"/>
        <v>0</v>
      </c>
      <c r="DK144" s="265">
        <f t="shared" si="127"/>
        <v>1</v>
      </c>
      <c r="DL144" s="244">
        <v>140</v>
      </c>
      <c r="DM144">
        <f t="shared" si="103"/>
        <v>0</v>
      </c>
    </row>
    <row r="145" spans="1:117" x14ac:dyDescent="0.3">
      <c r="A145" s="246">
        <v>141</v>
      </c>
      <c r="B145" s="91" t="s">
        <v>270</v>
      </c>
      <c r="C145" s="91" t="s">
        <v>195</v>
      </c>
      <c r="D145" s="91" t="s">
        <v>196</v>
      </c>
      <c r="E145" s="91" t="s">
        <v>487</v>
      </c>
      <c r="F145" s="91" t="s">
        <v>526</v>
      </c>
      <c r="G145" s="87" t="s">
        <v>527</v>
      </c>
      <c r="H145" s="87" t="s">
        <v>301</v>
      </c>
      <c r="I145" s="87" t="s">
        <v>103</v>
      </c>
      <c r="J145" s="87" t="s">
        <v>103</v>
      </c>
      <c r="K145" s="85" t="s">
        <v>104</v>
      </c>
      <c r="L145" s="85" t="s">
        <v>105</v>
      </c>
      <c r="M145" s="87" t="s">
        <v>106</v>
      </c>
      <c r="N145" s="87" t="s">
        <v>107</v>
      </c>
      <c r="O145" s="87" t="s">
        <v>108</v>
      </c>
      <c r="P145" s="87" t="s">
        <v>528</v>
      </c>
      <c r="Q145" s="87" t="s">
        <v>110</v>
      </c>
      <c r="R145" s="130">
        <v>29</v>
      </c>
      <c r="S145" s="88" t="s">
        <v>111</v>
      </c>
      <c r="T145" s="81">
        <v>0</v>
      </c>
      <c r="U145" s="81">
        <v>0</v>
      </c>
      <c r="V145" s="25" t="e">
        <f t="shared" si="129"/>
        <v>#DIV/0!</v>
      </c>
      <c r="W145" s="81">
        <v>9</v>
      </c>
      <c r="X145" s="81">
        <v>0</v>
      </c>
      <c r="Y145" s="25">
        <f t="shared" si="1"/>
        <v>0</v>
      </c>
      <c r="Z145" s="81">
        <v>10</v>
      </c>
      <c r="AA145" s="81"/>
      <c r="AB145" s="25">
        <f t="shared" si="2"/>
        <v>0</v>
      </c>
      <c r="AC145" s="81">
        <v>10</v>
      </c>
      <c r="AD145" s="81"/>
      <c r="AE145" s="25">
        <f t="shared" si="3"/>
        <v>0</v>
      </c>
      <c r="AF145" s="137">
        <f t="shared" si="87"/>
        <v>29</v>
      </c>
      <c r="AG145" s="137">
        <f t="shared" si="88"/>
        <v>0</v>
      </c>
      <c r="AH145" s="128">
        <f t="shared" si="130"/>
        <v>0</v>
      </c>
      <c r="AI145" s="90">
        <v>46054</v>
      </c>
      <c r="AJ145" s="90">
        <v>46477</v>
      </c>
      <c r="AK145" s="91" t="s">
        <v>112</v>
      </c>
      <c r="AL145" s="91" t="s">
        <v>113</v>
      </c>
      <c r="AM145" s="92" t="s">
        <v>114</v>
      </c>
      <c r="AN145" s="93">
        <v>60000000</v>
      </c>
      <c r="AO145" s="93">
        <v>60000000</v>
      </c>
      <c r="AP145" s="93">
        <v>60000000</v>
      </c>
      <c r="AQ145" s="94">
        <v>0</v>
      </c>
      <c r="AR145" s="91"/>
      <c r="AS145" s="91" t="s">
        <v>112</v>
      </c>
      <c r="AT145" s="150" t="s">
        <v>509</v>
      </c>
      <c r="AU145" s="165" t="s">
        <v>2264</v>
      </c>
      <c r="AV145" s="232" t="s">
        <v>2234</v>
      </c>
      <c r="BA145" s="255"/>
      <c r="BB145" s="256"/>
      <c r="BC145" s="223" t="e">
        <f t="shared" si="104"/>
        <v>#DIV/0!</v>
      </c>
      <c r="BD145" s="255"/>
      <c r="BE145" s="256"/>
      <c r="BF145" s="223" t="e">
        <f t="shared" si="105"/>
        <v>#DIV/0!</v>
      </c>
      <c r="BG145" s="255"/>
      <c r="BH145" s="256"/>
      <c r="BI145" s="223" t="e">
        <f t="shared" si="106"/>
        <v>#DIV/0!</v>
      </c>
      <c r="BJ145" s="224">
        <f t="shared" si="107"/>
        <v>0</v>
      </c>
      <c r="BK145" s="225">
        <f t="shared" si="108"/>
        <v>0</v>
      </c>
      <c r="BL145" s="223" t="e">
        <f t="shared" si="109"/>
        <v>#DIV/0!</v>
      </c>
      <c r="BM145" s="255"/>
      <c r="BN145" s="256"/>
      <c r="BO145" s="223" t="e">
        <f t="shared" si="89"/>
        <v>#DIV/0!</v>
      </c>
      <c r="BP145" s="255"/>
      <c r="BQ145" s="256"/>
      <c r="BR145" s="223" t="e">
        <f t="shared" si="90"/>
        <v>#DIV/0!</v>
      </c>
      <c r="BS145" s="255"/>
      <c r="BT145" s="255"/>
      <c r="BU145" s="223" t="e">
        <f t="shared" si="91"/>
        <v>#DIV/0!</v>
      </c>
      <c r="BV145" s="224">
        <f t="shared" si="110"/>
        <v>0</v>
      </c>
      <c r="BW145" s="224">
        <f t="shared" si="111"/>
        <v>0</v>
      </c>
      <c r="BX145" s="223" t="e">
        <f t="shared" si="112"/>
        <v>#DIV/0!</v>
      </c>
      <c r="BY145" s="223">
        <f t="shared" si="113"/>
        <v>0</v>
      </c>
      <c r="BZ145" s="223">
        <f t="shared" si="114"/>
        <v>0</v>
      </c>
      <c r="CA145" s="226"/>
      <c r="CB145" s="175"/>
      <c r="CC145" s="191"/>
      <c r="CD145" s="192"/>
      <c r="CE145" s="193" t="e">
        <f t="shared" si="92"/>
        <v>#DIV/0!</v>
      </c>
      <c r="CF145" s="191"/>
      <c r="CG145" s="192"/>
      <c r="CH145" s="193" t="e">
        <f t="shared" si="93"/>
        <v>#DIV/0!</v>
      </c>
      <c r="CI145" s="197"/>
      <c r="CJ145" s="198"/>
      <c r="CK145" s="193" t="e">
        <f t="shared" si="94"/>
        <v>#DIV/0!</v>
      </c>
      <c r="CL145" s="195">
        <f t="shared" si="95"/>
        <v>0</v>
      </c>
      <c r="CM145" s="194">
        <f t="shared" si="96"/>
        <v>0</v>
      </c>
      <c r="CN145" s="193" t="e">
        <f t="shared" si="97"/>
        <v>#DIV/0!</v>
      </c>
      <c r="CO145" s="175"/>
      <c r="CP145" s="196">
        <f t="shared" si="98"/>
        <v>0</v>
      </c>
      <c r="CQ145" s="196">
        <f t="shared" si="99"/>
        <v>0</v>
      </c>
      <c r="CR145" s="199" t="e">
        <f t="shared" si="100"/>
        <v>#DIV/0!</v>
      </c>
      <c r="CS145" s="261">
        <f t="shared" si="115"/>
        <v>29</v>
      </c>
      <c r="CT145" s="175"/>
      <c r="CU145" s="196">
        <f t="shared" si="116"/>
        <v>8.6999999999999993</v>
      </c>
      <c r="CV145" s="259"/>
      <c r="CW145" s="199">
        <f t="shared" si="117"/>
        <v>0</v>
      </c>
      <c r="CX145" s="196">
        <f t="shared" si="118"/>
        <v>8.6999999999999993</v>
      </c>
      <c r="CY145" s="259"/>
      <c r="CZ145" s="199">
        <f t="shared" si="119"/>
        <v>0</v>
      </c>
      <c r="DA145" s="196">
        <f t="shared" si="120"/>
        <v>8.6999999999999993</v>
      </c>
      <c r="DB145" s="259"/>
      <c r="DC145" s="199">
        <f t="shared" si="121"/>
        <v>0</v>
      </c>
      <c r="DD145" s="196">
        <f t="shared" si="122"/>
        <v>2.9000000000000004</v>
      </c>
      <c r="DE145" s="259"/>
      <c r="DF145" s="199">
        <f t="shared" si="123"/>
        <v>0</v>
      </c>
      <c r="DG145" s="175"/>
      <c r="DH145" s="196">
        <f t="shared" si="124"/>
        <v>29</v>
      </c>
      <c r="DI145" s="196">
        <f t="shared" si="125"/>
        <v>0</v>
      </c>
      <c r="DJ145" s="199">
        <f t="shared" si="126"/>
        <v>0</v>
      </c>
      <c r="DK145" s="265">
        <f t="shared" si="127"/>
        <v>29</v>
      </c>
      <c r="DL145" s="244">
        <v>141</v>
      </c>
      <c r="DM145">
        <f t="shared" si="103"/>
        <v>0</v>
      </c>
    </row>
    <row r="146" spans="1:117" x14ac:dyDescent="0.3">
      <c r="A146" s="246">
        <v>142</v>
      </c>
      <c r="B146" s="91" t="s">
        <v>270</v>
      </c>
      <c r="C146" s="91" t="s">
        <v>118</v>
      </c>
      <c r="D146" s="91" t="s">
        <v>119</v>
      </c>
      <c r="E146" s="91" t="s">
        <v>120</v>
      </c>
      <c r="F146" s="91" t="s">
        <v>529</v>
      </c>
      <c r="G146" s="87" t="s">
        <v>456</v>
      </c>
      <c r="H146" s="87" t="s">
        <v>301</v>
      </c>
      <c r="I146" s="87" t="s">
        <v>103</v>
      </c>
      <c r="J146" s="87" t="s">
        <v>103</v>
      </c>
      <c r="K146" s="85" t="s">
        <v>104</v>
      </c>
      <c r="L146" s="85" t="s">
        <v>105</v>
      </c>
      <c r="M146" s="87" t="s">
        <v>106</v>
      </c>
      <c r="N146" s="87" t="s">
        <v>530</v>
      </c>
      <c r="O146" s="87" t="s">
        <v>127</v>
      </c>
      <c r="P146" s="87" t="s">
        <v>531</v>
      </c>
      <c r="Q146" s="87" t="s">
        <v>129</v>
      </c>
      <c r="R146" s="130">
        <v>29</v>
      </c>
      <c r="S146" s="88" t="s">
        <v>111</v>
      </c>
      <c r="T146" s="81">
        <v>0</v>
      </c>
      <c r="U146" s="81">
        <v>3</v>
      </c>
      <c r="V146" s="25" t="e">
        <f t="shared" si="129"/>
        <v>#DIV/0!</v>
      </c>
      <c r="W146" s="81">
        <v>0</v>
      </c>
      <c r="X146" s="81">
        <v>14</v>
      </c>
      <c r="Y146" s="25" t="e">
        <f t="shared" si="1"/>
        <v>#DIV/0!</v>
      </c>
      <c r="Z146" s="81">
        <v>10</v>
      </c>
      <c r="AA146" s="81"/>
      <c r="AB146" s="25">
        <f t="shared" si="2"/>
        <v>0</v>
      </c>
      <c r="AC146" s="81">
        <v>19</v>
      </c>
      <c r="AD146" s="81"/>
      <c r="AE146" s="25">
        <f t="shared" si="3"/>
        <v>0</v>
      </c>
      <c r="AF146" s="137">
        <f t="shared" si="87"/>
        <v>29</v>
      </c>
      <c r="AG146" s="137">
        <f t="shared" si="88"/>
        <v>17</v>
      </c>
      <c r="AH146" s="128" t="e">
        <f t="shared" si="130"/>
        <v>#DIV/0!</v>
      </c>
      <c r="AI146" s="90">
        <v>46054</v>
      </c>
      <c r="AJ146" s="90">
        <v>46477</v>
      </c>
      <c r="AK146" s="91" t="s">
        <v>112</v>
      </c>
      <c r="AL146" s="91" t="s">
        <v>113</v>
      </c>
      <c r="AM146" s="92" t="s">
        <v>114</v>
      </c>
      <c r="AN146" s="93"/>
      <c r="AO146" s="93"/>
      <c r="AP146" s="93"/>
      <c r="AQ146" s="94"/>
      <c r="AR146" s="91"/>
      <c r="AS146" s="91" t="s">
        <v>112</v>
      </c>
      <c r="AT146" s="150" t="s">
        <v>509</v>
      </c>
      <c r="AU146" s="165" t="s">
        <v>2264</v>
      </c>
      <c r="AV146" s="232" t="s">
        <v>2234</v>
      </c>
      <c r="BA146" s="255"/>
      <c r="BB146" s="256"/>
      <c r="BC146" s="223" t="e">
        <f t="shared" si="104"/>
        <v>#DIV/0!</v>
      </c>
      <c r="BD146" s="255"/>
      <c r="BE146" s="256"/>
      <c r="BF146" s="223" t="e">
        <f t="shared" si="105"/>
        <v>#DIV/0!</v>
      </c>
      <c r="BG146" s="255"/>
      <c r="BH146" s="256"/>
      <c r="BI146" s="223" t="e">
        <f t="shared" si="106"/>
        <v>#DIV/0!</v>
      </c>
      <c r="BJ146" s="224">
        <f t="shared" si="107"/>
        <v>0</v>
      </c>
      <c r="BK146" s="225">
        <f t="shared" si="108"/>
        <v>0</v>
      </c>
      <c r="BL146" s="223" t="e">
        <f t="shared" si="109"/>
        <v>#DIV/0!</v>
      </c>
      <c r="BM146" s="255"/>
      <c r="BN146" s="256"/>
      <c r="BO146" s="223" t="e">
        <f t="shared" si="89"/>
        <v>#DIV/0!</v>
      </c>
      <c r="BP146" s="255"/>
      <c r="BQ146" s="256"/>
      <c r="BR146" s="223" t="e">
        <f t="shared" si="90"/>
        <v>#DIV/0!</v>
      </c>
      <c r="BS146" s="255"/>
      <c r="BT146" s="255"/>
      <c r="BU146" s="223" t="e">
        <f t="shared" si="91"/>
        <v>#DIV/0!</v>
      </c>
      <c r="BV146" s="224">
        <f t="shared" si="110"/>
        <v>0</v>
      </c>
      <c r="BW146" s="224">
        <f t="shared" si="111"/>
        <v>0</v>
      </c>
      <c r="BX146" s="223" t="e">
        <f t="shared" si="112"/>
        <v>#DIV/0!</v>
      </c>
      <c r="BY146" s="223">
        <f t="shared" si="113"/>
        <v>0</v>
      </c>
      <c r="BZ146" s="223">
        <f t="shared" si="114"/>
        <v>0</v>
      </c>
      <c r="CA146" s="226"/>
      <c r="CB146" s="175"/>
      <c r="CC146" s="191"/>
      <c r="CD146" s="192"/>
      <c r="CE146" s="193" t="e">
        <f t="shared" si="92"/>
        <v>#DIV/0!</v>
      </c>
      <c r="CF146" s="191"/>
      <c r="CG146" s="192"/>
      <c r="CH146" s="193" t="e">
        <f t="shared" si="93"/>
        <v>#DIV/0!</v>
      </c>
      <c r="CI146" s="197"/>
      <c r="CJ146" s="198"/>
      <c r="CK146" s="193" t="e">
        <f t="shared" si="94"/>
        <v>#DIV/0!</v>
      </c>
      <c r="CL146" s="195">
        <f t="shared" si="95"/>
        <v>0</v>
      </c>
      <c r="CM146" s="194">
        <f t="shared" si="96"/>
        <v>0</v>
      </c>
      <c r="CN146" s="193" t="e">
        <f t="shared" si="97"/>
        <v>#DIV/0!</v>
      </c>
      <c r="CO146" s="175"/>
      <c r="CP146" s="196">
        <f t="shared" si="98"/>
        <v>0</v>
      </c>
      <c r="CQ146" s="196">
        <f t="shared" si="99"/>
        <v>0</v>
      </c>
      <c r="CR146" s="199" t="e">
        <f t="shared" si="100"/>
        <v>#DIV/0!</v>
      </c>
      <c r="CS146" s="261">
        <f t="shared" si="115"/>
        <v>29</v>
      </c>
      <c r="CT146" s="175"/>
      <c r="CU146" s="196">
        <f t="shared" si="116"/>
        <v>8.6999999999999993</v>
      </c>
      <c r="CV146" s="259"/>
      <c r="CW146" s="199">
        <f t="shared" si="117"/>
        <v>0</v>
      </c>
      <c r="CX146" s="196">
        <f t="shared" si="118"/>
        <v>8.6999999999999993</v>
      </c>
      <c r="CY146" s="259"/>
      <c r="CZ146" s="199">
        <f t="shared" si="119"/>
        <v>0</v>
      </c>
      <c r="DA146" s="196">
        <f t="shared" si="120"/>
        <v>8.6999999999999993</v>
      </c>
      <c r="DB146" s="259"/>
      <c r="DC146" s="199">
        <f t="shared" si="121"/>
        <v>0</v>
      </c>
      <c r="DD146" s="196">
        <f t="shared" si="122"/>
        <v>2.9000000000000004</v>
      </c>
      <c r="DE146" s="259"/>
      <c r="DF146" s="199">
        <f t="shared" si="123"/>
        <v>0</v>
      </c>
      <c r="DG146" s="175"/>
      <c r="DH146" s="196">
        <f t="shared" si="124"/>
        <v>29</v>
      </c>
      <c r="DI146" s="196">
        <f t="shared" si="125"/>
        <v>0</v>
      </c>
      <c r="DJ146" s="199">
        <f t="shared" si="126"/>
        <v>0</v>
      </c>
      <c r="DK146" s="265">
        <f t="shared" si="127"/>
        <v>29</v>
      </c>
      <c r="DL146" s="244">
        <v>142</v>
      </c>
      <c r="DM146">
        <f t="shared" si="103"/>
        <v>0</v>
      </c>
    </row>
    <row r="147" spans="1:117" x14ac:dyDescent="0.3">
      <c r="A147" s="246">
        <v>143</v>
      </c>
      <c r="B147" s="91" t="s">
        <v>270</v>
      </c>
      <c r="C147" s="91" t="s">
        <v>118</v>
      </c>
      <c r="D147" s="91" t="s">
        <v>119</v>
      </c>
      <c r="E147" s="91" t="s">
        <v>155</v>
      </c>
      <c r="F147" s="91" t="s">
        <v>493</v>
      </c>
      <c r="G147" s="87" t="s">
        <v>456</v>
      </c>
      <c r="H147" s="87" t="s">
        <v>301</v>
      </c>
      <c r="I147" s="87" t="s">
        <v>103</v>
      </c>
      <c r="J147" s="87" t="s">
        <v>103</v>
      </c>
      <c r="K147" s="85" t="s">
        <v>104</v>
      </c>
      <c r="L147" s="85" t="s">
        <v>105</v>
      </c>
      <c r="M147" s="87" t="s">
        <v>106</v>
      </c>
      <c r="N147" s="87" t="s">
        <v>530</v>
      </c>
      <c r="O147" s="87" t="s">
        <v>127</v>
      </c>
      <c r="P147" s="87" t="s">
        <v>532</v>
      </c>
      <c r="Q147" s="87" t="s">
        <v>129</v>
      </c>
      <c r="R147" s="130">
        <v>29</v>
      </c>
      <c r="S147" s="88" t="s">
        <v>111</v>
      </c>
      <c r="T147" s="81">
        <v>0</v>
      </c>
      <c r="U147" s="81">
        <v>3</v>
      </c>
      <c r="V147" s="25" t="e">
        <f t="shared" si="129"/>
        <v>#DIV/0!</v>
      </c>
      <c r="W147" s="81">
        <v>0</v>
      </c>
      <c r="X147" s="81">
        <v>14</v>
      </c>
      <c r="Y147" s="25" t="e">
        <f t="shared" si="1"/>
        <v>#DIV/0!</v>
      </c>
      <c r="Z147" s="81">
        <v>10</v>
      </c>
      <c r="AA147" s="81"/>
      <c r="AB147" s="25">
        <f t="shared" si="2"/>
        <v>0</v>
      </c>
      <c r="AC147" s="81">
        <v>19</v>
      </c>
      <c r="AD147" s="81"/>
      <c r="AE147" s="25">
        <f t="shared" si="3"/>
        <v>0</v>
      </c>
      <c r="AF147" s="137">
        <f t="shared" si="87"/>
        <v>29</v>
      </c>
      <c r="AG147" s="137">
        <f t="shared" si="88"/>
        <v>17</v>
      </c>
      <c r="AH147" s="128" t="e">
        <f t="shared" si="130"/>
        <v>#DIV/0!</v>
      </c>
      <c r="AI147" s="90">
        <v>46113</v>
      </c>
      <c r="AJ147" s="90">
        <v>46477</v>
      </c>
      <c r="AK147" s="91" t="s">
        <v>112</v>
      </c>
      <c r="AL147" s="91" t="s">
        <v>113</v>
      </c>
      <c r="AM147" s="92" t="s">
        <v>114</v>
      </c>
      <c r="AN147" s="93"/>
      <c r="AO147" s="93"/>
      <c r="AP147" s="93"/>
      <c r="AQ147" s="94"/>
      <c r="AR147" s="91" t="s">
        <v>533</v>
      </c>
      <c r="AS147" s="91" t="s">
        <v>112</v>
      </c>
      <c r="AT147" s="150" t="s">
        <v>509</v>
      </c>
      <c r="AU147" s="165" t="s">
        <v>2264</v>
      </c>
      <c r="AV147" s="232" t="s">
        <v>2234</v>
      </c>
      <c r="BA147" s="255"/>
      <c r="BB147" s="256"/>
      <c r="BC147" s="223" t="e">
        <f t="shared" si="104"/>
        <v>#DIV/0!</v>
      </c>
      <c r="BD147" s="255"/>
      <c r="BE147" s="256"/>
      <c r="BF147" s="223" t="e">
        <f t="shared" si="105"/>
        <v>#DIV/0!</v>
      </c>
      <c r="BG147" s="255"/>
      <c r="BH147" s="256"/>
      <c r="BI147" s="223" t="e">
        <f t="shared" si="106"/>
        <v>#DIV/0!</v>
      </c>
      <c r="BJ147" s="224">
        <f t="shared" si="107"/>
        <v>0</v>
      </c>
      <c r="BK147" s="225">
        <f t="shared" si="108"/>
        <v>0</v>
      </c>
      <c r="BL147" s="223" t="e">
        <f t="shared" si="109"/>
        <v>#DIV/0!</v>
      </c>
      <c r="BM147" s="255"/>
      <c r="BN147" s="256"/>
      <c r="BO147" s="223" t="e">
        <f t="shared" si="89"/>
        <v>#DIV/0!</v>
      </c>
      <c r="BP147" s="255"/>
      <c r="BQ147" s="256"/>
      <c r="BR147" s="223" t="e">
        <f t="shared" si="90"/>
        <v>#DIV/0!</v>
      </c>
      <c r="BS147" s="255"/>
      <c r="BT147" s="255"/>
      <c r="BU147" s="223" t="e">
        <f t="shared" si="91"/>
        <v>#DIV/0!</v>
      </c>
      <c r="BV147" s="224">
        <f t="shared" si="110"/>
        <v>0</v>
      </c>
      <c r="BW147" s="224">
        <f t="shared" si="111"/>
        <v>0</v>
      </c>
      <c r="BX147" s="223" t="e">
        <f t="shared" si="112"/>
        <v>#DIV/0!</v>
      </c>
      <c r="BY147" s="223">
        <f t="shared" si="113"/>
        <v>0</v>
      </c>
      <c r="BZ147" s="223">
        <f t="shared" si="114"/>
        <v>0</v>
      </c>
      <c r="CA147" s="226"/>
      <c r="CB147" s="175"/>
      <c r="CC147" s="191"/>
      <c r="CD147" s="192"/>
      <c r="CE147" s="193" t="e">
        <f t="shared" si="92"/>
        <v>#DIV/0!</v>
      </c>
      <c r="CF147" s="191"/>
      <c r="CG147" s="192"/>
      <c r="CH147" s="193" t="e">
        <f t="shared" si="93"/>
        <v>#DIV/0!</v>
      </c>
      <c r="CI147" s="197"/>
      <c r="CJ147" s="198"/>
      <c r="CK147" s="193" t="e">
        <f t="shared" si="94"/>
        <v>#DIV/0!</v>
      </c>
      <c r="CL147" s="195">
        <f t="shared" si="95"/>
        <v>0</v>
      </c>
      <c r="CM147" s="194">
        <f t="shared" si="96"/>
        <v>0</v>
      </c>
      <c r="CN147" s="193" t="e">
        <f t="shared" si="97"/>
        <v>#DIV/0!</v>
      </c>
      <c r="CO147" s="175"/>
      <c r="CP147" s="196">
        <f t="shared" si="98"/>
        <v>0</v>
      </c>
      <c r="CQ147" s="196">
        <f t="shared" si="99"/>
        <v>0</v>
      </c>
      <c r="CR147" s="199" t="e">
        <f t="shared" si="100"/>
        <v>#DIV/0!</v>
      </c>
      <c r="CS147" s="261">
        <f t="shared" si="115"/>
        <v>29</v>
      </c>
      <c r="CT147" s="175"/>
      <c r="CU147" s="196">
        <f t="shared" si="116"/>
        <v>8.6999999999999993</v>
      </c>
      <c r="CV147" s="259"/>
      <c r="CW147" s="199">
        <f t="shared" si="117"/>
        <v>0</v>
      </c>
      <c r="CX147" s="196">
        <f t="shared" si="118"/>
        <v>8.6999999999999993</v>
      </c>
      <c r="CY147" s="259"/>
      <c r="CZ147" s="199">
        <f t="shared" si="119"/>
        <v>0</v>
      </c>
      <c r="DA147" s="196">
        <f t="shared" si="120"/>
        <v>8.6999999999999993</v>
      </c>
      <c r="DB147" s="259"/>
      <c r="DC147" s="199">
        <f t="shared" si="121"/>
        <v>0</v>
      </c>
      <c r="DD147" s="196">
        <f t="shared" si="122"/>
        <v>2.9000000000000004</v>
      </c>
      <c r="DE147" s="259"/>
      <c r="DF147" s="199">
        <f t="shared" si="123"/>
        <v>0</v>
      </c>
      <c r="DG147" s="175"/>
      <c r="DH147" s="196">
        <f t="shared" si="124"/>
        <v>29</v>
      </c>
      <c r="DI147" s="196">
        <f t="shared" si="125"/>
        <v>0</v>
      </c>
      <c r="DJ147" s="199">
        <f t="shared" si="126"/>
        <v>0</v>
      </c>
      <c r="DK147" s="265">
        <f t="shared" si="127"/>
        <v>29</v>
      </c>
      <c r="DL147" s="244">
        <v>143</v>
      </c>
      <c r="DM147">
        <f t="shared" si="103"/>
        <v>0</v>
      </c>
    </row>
    <row r="148" spans="1:117" x14ac:dyDescent="0.3">
      <c r="A148" s="246">
        <v>144</v>
      </c>
      <c r="B148" s="91" t="s">
        <v>270</v>
      </c>
      <c r="C148" s="91" t="s">
        <v>118</v>
      </c>
      <c r="D148" s="91" t="s">
        <v>119</v>
      </c>
      <c r="E148" s="91" t="s">
        <v>155</v>
      </c>
      <c r="F148" s="91" t="s">
        <v>534</v>
      </c>
      <c r="G148" s="87" t="s">
        <v>456</v>
      </c>
      <c r="H148" s="87" t="s">
        <v>301</v>
      </c>
      <c r="I148" s="87" t="s">
        <v>103</v>
      </c>
      <c r="J148" s="87" t="s">
        <v>103</v>
      </c>
      <c r="K148" s="85" t="s">
        <v>104</v>
      </c>
      <c r="L148" s="85" t="s">
        <v>105</v>
      </c>
      <c r="M148" s="87" t="s">
        <v>106</v>
      </c>
      <c r="N148" s="87" t="s">
        <v>530</v>
      </c>
      <c r="O148" s="87" t="s">
        <v>127</v>
      </c>
      <c r="P148" s="267" t="s">
        <v>535</v>
      </c>
      <c r="Q148" s="87" t="s">
        <v>129</v>
      </c>
      <c r="R148" s="130">
        <v>1</v>
      </c>
      <c r="S148" s="88" t="s">
        <v>111</v>
      </c>
      <c r="T148" s="81">
        <v>0</v>
      </c>
      <c r="U148" s="81">
        <v>0</v>
      </c>
      <c r="V148" s="25" t="e">
        <f t="shared" si="129"/>
        <v>#DIV/0!</v>
      </c>
      <c r="W148" s="81">
        <v>0</v>
      </c>
      <c r="X148" s="81">
        <v>1</v>
      </c>
      <c r="Y148" s="25" t="e">
        <f t="shared" si="1"/>
        <v>#DIV/0!</v>
      </c>
      <c r="Z148" s="81">
        <v>1</v>
      </c>
      <c r="AA148" s="81"/>
      <c r="AB148" s="25">
        <f t="shared" si="2"/>
        <v>0</v>
      </c>
      <c r="AC148" s="81">
        <v>1</v>
      </c>
      <c r="AD148" s="81"/>
      <c r="AE148" s="25">
        <f t="shared" si="3"/>
        <v>0</v>
      </c>
      <c r="AF148" s="137">
        <f t="shared" si="87"/>
        <v>1</v>
      </c>
      <c r="AG148" s="137">
        <f t="shared" si="88"/>
        <v>1</v>
      </c>
      <c r="AH148" s="128" t="e">
        <f t="shared" si="130"/>
        <v>#DIV/0!</v>
      </c>
      <c r="AI148" s="90">
        <v>46113</v>
      </c>
      <c r="AJ148" s="90">
        <v>46477</v>
      </c>
      <c r="AK148" s="91" t="s">
        <v>112</v>
      </c>
      <c r="AL148" s="91" t="s">
        <v>113</v>
      </c>
      <c r="AM148" s="92" t="s">
        <v>114</v>
      </c>
      <c r="AN148" s="93">
        <v>10000000</v>
      </c>
      <c r="AO148" s="93">
        <v>10000000</v>
      </c>
      <c r="AP148" s="93">
        <v>10000000</v>
      </c>
      <c r="AQ148" s="94">
        <v>0</v>
      </c>
      <c r="AR148" s="91" t="s">
        <v>159</v>
      </c>
      <c r="AS148" s="91" t="s">
        <v>112</v>
      </c>
      <c r="AT148" s="150" t="s">
        <v>509</v>
      </c>
      <c r="AU148" s="165" t="s">
        <v>2264</v>
      </c>
      <c r="AV148" s="232" t="s">
        <v>2234</v>
      </c>
      <c r="BA148" s="255"/>
      <c r="BB148" s="256"/>
      <c r="BC148" s="223" t="e">
        <f t="shared" si="104"/>
        <v>#DIV/0!</v>
      </c>
      <c r="BD148" s="255"/>
      <c r="BE148" s="256"/>
      <c r="BF148" s="223" t="e">
        <f t="shared" si="105"/>
        <v>#DIV/0!</v>
      </c>
      <c r="BG148" s="255"/>
      <c r="BH148" s="256"/>
      <c r="BI148" s="223" t="e">
        <f t="shared" si="106"/>
        <v>#DIV/0!</v>
      </c>
      <c r="BJ148" s="224">
        <f t="shared" si="107"/>
        <v>0</v>
      </c>
      <c r="BK148" s="225">
        <f t="shared" si="108"/>
        <v>0</v>
      </c>
      <c r="BL148" s="223" t="e">
        <f t="shared" si="109"/>
        <v>#DIV/0!</v>
      </c>
      <c r="BM148" s="255"/>
      <c r="BN148" s="256"/>
      <c r="BO148" s="223" t="e">
        <f t="shared" si="89"/>
        <v>#DIV/0!</v>
      </c>
      <c r="BP148" s="255"/>
      <c r="BQ148" s="256"/>
      <c r="BR148" s="223" t="e">
        <f t="shared" si="90"/>
        <v>#DIV/0!</v>
      </c>
      <c r="BS148" s="255"/>
      <c r="BT148" s="255"/>
      <c r="BU148" s="223" t="e">
        <f t="shared" si="91"/>
        <v>#DIV/0!</v>
      </c>
      <c r="BV148" s="224">
        <f t="shared" si="110"/>
        <v>0</v>
      </c>
      <c r="BW148" s="224">
        <f t="shared" si="111"/>
        <v>0</v>
      </c>
      <c r="BX148" s="223" t="e">
        <f t="shared" si="112"/>
        <v>#DIV/0!</v>
      </c>
      <c r="BY148" s="223">
        <f t="shared" si="113"/>
        <v>0</v>
      </c>
      <c r="BZ148" s="223">
        <f t="shared" si="114"/>
        <v>0</v>
      </c>
      <c r="CA148" s="226"/>
      <c r="CB148" s="175"/>
      <c r="CC148" s="191"/>
      <c r="CD148" s="192"/>
      <c r="CE148" s="193" t="e">
        <f t="shared" si="92"/>
        <v>#DIV/0!</v>
      </c>
      <c r="CF148" s="191"/>
      <c r="CG148" s="192"/>
      <c r="CH148" s="193" t="e">
        <f t="shared" si="93"/>
        <v>#DIV/0!</v>
      </c>
      <c r="CI148" s="197"/>
      <c r="CJ148" s="198"/>
      <c r="CK148" s="193" t="e">
        <f t="shared" si="94"/>
        <v>#DIV/0!</v>
      </c>
      <c r="CL148" s="195">
        <f t="shared" si="95"/>
        <v>0</v>
      </c>
      <c r="CM148" s="194">
        <f t="shared" si="96"/>
        <v>0</v>
      </c>
      <c r="CN148" s="193" t="e">
        <f t="shared" si="97"/>
        <v>#DIV/0!</v>
      </c>
      <c r="CO148" s="175"/>
      <c r="CP148" s="196">
        <f t="shared" si="98"/>
        <v>0</v>
      </c>
      <c r="CQ148" s="196">
        <f t="shared" si="99"/>
        <v>0</v>
      </c>
      <c r="CR148" s="199" t="e">
        <f t="shared" si="100"/>
        <v>#DIV/0!</v>
      </c>
      <c r="CS148" s="261">
        <f t="shared" si="115"/>
        <v>1</v>
      </c>
      <c r="CT148" s="175"/>
      <c r="CU148" s="196">
        <f t="shared" si="116"/>
        <v>0.3</v>
      </c>
      <c r="CV148" s="259"/>
      <c r="CW148" s="199">
        <f t="shared" si="117"/>
        <v>0</v>
      </c>
      <c r="CX148" s="196">
        <f t="shared" si="118"/>
        <v>0.3</v>
      </c>
      <c r="CY148" s="259"/>
      <c r="CZ148" s="199">
        <f t="shared" si="119"/>
        <v>0</v>
      </c>
      <c r="DA148" s="196">
        <f t="shared" si="120"/>
        <v>0.3</v>
      </c>
      <c r="DB148" s="259"/>
      <c r="DC148" s="199">
        <f t="shared" si="121"/>
        <v>0</v>
      </c>
      <c r="DD148" s="196">
        <f t="shared" si="122"/>
        <v>0.1</v>
      </c>
      <c r="DE148" s="259"/>
      <c r="DF148" s="199">
        <f t="shared" si="123"/>
        <v>0</v>
      </c>
      <c r="DG148" s="175"/>
      <c r="DH148" s="196">
        <f t="shared" si="124"/>
        <v>1</v>
      </c>
      <c r="DI148" s="196">
        <f t="shared" si="125"/>
        <v>0</v>
      </c>
      <c r="DJ148" s="199">
        <f t="shared" si="126"/>
        <v>0</v>
      </c>
      <c r="DK148" s="265">
        <f t="shared" si="127"/>
        <v>1</v>
      </c>
      <c r="DL148" s="244">
        <v>144</v>
      </c>
      <c r="DM148">
        <f t="shared" si="103"/>
        <v>0</v>
      </c>
    </row>
    <row r="149" spans="1:117" x14ac:dyDescent="0.3">
      <c r="A149" s="246">
        <v>145</v>
      </c>
      <c r="B149" s="91" t="s">
        <v>270</v>
      </c>
      <c r="C149" s="91" t="s">
        <v>195</v>
      </c>
      <c r="D149" s="91" t="s">
        <v>196</v>
      </c>
      <c r="E149" s="91" t="s">
        <v>536</v>
      </c>
      <c r="F149" s="91" t="s">
        <v>537</v>
      </c>
      <c r="G149" s="87" t="s">
        <v>538</v>
      </c>
      <c r="H149" s="87" t="s">
        <v>539</v>
      </c>
      <c r="I149" s="87" t="s">
        <v>103</v>
      </c>
      <c r="J149" s="87" t="s">
        <v>103</v>
      </c>
      <c r="K149" s="85" t="s">
        <v>104</v>
      </c>
      <c r="L149" s="85" t="s">
        <v>105</v>
      </c>
      <c r="M149" s="87" t="s">
        <v>106</v>
      </c>
      <c r="N149" s="87" t="s">
        <v>107</v>
      </c>
      <c r="O149" s="87" t="s">
        <v>108</v>
      </c>
      <c r="P149" s="87" t="s">
        <v>540</v>
      </c>
      <c r="Q149" s="87" t="s">
        <v>110</v>
      </c>
      <c r="R149" s="130">
        <v>29</v>
      </c>
      <c r="S149" s="88" t="s">
        <v>111</v>
      </c>
      <c r="T149" s="81">
        <v>0</v>
      </c>
      <c r="U149" s="81">
        <v>0</v>
      </c>
      <c r="V149" s="25" t="e">
        <f t="shared" si="129"/>
        <v>#DIV/0!</v>
      </c>
      <c r="W149" s="81">
        <v>10</v>
      </c>
      <c r="X149" s="81">
        <v>0</v>
      </c>
      <c r="Y149" s="25">
        <f t="shared" si="1"/>
        <v>0</v>
      </c>
      <c r="Z149" s="81">
        <v>10</v>
      </c>
      <c r="AA149" s="81"/>
      <c r="AB149" s="25">
        <f t="shared" si="2"/>
        <v>0</v>
      </c>
      <c r="AC149" s="81">
        <v>9</v>
      </c>
      <c r="AD149" s="81"/>
      <c r="AE149" s="25">
        <f t="shared" si="3"/>
        <v>0</v>
      </c>
      <c r="AF149" s="137">
        <f t="shared" si="87"/>
        <v>29</v>
      </c>
      <c r="AG149" s="137">
        <f t="shared" si="88"/>
        <v>0</v>
      </c>
      <c r="AH149" s="128">
        <f t="shared" si="130"/>
        <v>0</v>
      </c>
      <c r="AI149" s="90">
        <v>46113</v>
      </c>
      <c r="AJ149" s="90">
        <v>46477</v>
      </c>
      <c r="AK149" s="91" t="s">
        <v>112</v>
      </c>
      <c r="AL149" s="91" t="s">
        <v>113</v>
      </c>
      <c r="AM149" s="92" t="s">
        <v>114</v>
      </c>
      <c r="AN149" s="93">
        <v>60000000</v>
      </c>
      <c r="AO149" s="93">
        <v>60000000</v>
      </c>
      <c r="AP149" s="93">
        <v>60000000</v>
      </c>
      <c r="AQ149" s="94">
        <v>0</v>
      </c>
      <c r="AR149" s="91" t="s">
        <v>533</v>
      </c>
      <c r="AS149" s="91" t="s">
        <v>112</v>
      </c>
      <c r="AT149" s="150" t="s">
        <v>509</v>
      </c>
      <c r="AU149" s="165" t="s">
        <v>2264</v>
      </c>
      <c r="AV149" s="232" t="s">
        <v>2234</v>
      </c>
      <c r="BA149" s="255"/>
      <c r="BB149" s="256"/>
      <c r="BC149" s="223" t="e">
        <f t="shared" si="104"/>
        <v>#DIV/0!</v>
      </c>
      <c r="BD149" s="255"/>
      <c r="BE149" s="256"/>
      <c r="BF149" s="223" t="e">
        <f t="shared" si="105"/>
        <v>#DIV/0!</v>
      </c>
      <c r="BG149" s="255"/>
      <c r="BH149" s="256"/>
      <c r="BI149" s="223" t="e">
        <f t="shared" si="106"/>
        <v>#DIV/0!</v>
      </c>
      <c r="BJ149" s="224">
        <f t="shared" si="107"/>
        <v>0</v>
      </c>
      <c r="BK149" s="225">
        <f t="shared" si="108"/>
        <v>0</v>
      </c>
      <c r="BL149" s="223" t="e">
        <f t="shared" si="109"/>
        <v>#DIV/0!</v>
      </c>
      <c r="BM149" s="255"/>
      <c r="BN149" s="256"/>
      <c r="BO149" s="223" t="e">
        <f t="shared" si="89"/>
        <v>#DIV/0!</v>
      </c>
      <c r="BP149" s="255"/>
      <c r="BQ149" s="256"/>
      <c r="BR149" s="223" t="e">
        <f t="shared" si="90"/>
        <v>#DIV/0!</v>
      </c>
      <c r="BS149" s="255"/>
      <c r="BT149" s="255"/>
      <c r="BU149" s="223" t="e">
        <f t="shared" si="91"/>
        <v>#DIV/0!</v>
      </c>
      <c r="BV149" s="224">
        <f t="shared" si="110"/>
        <v>0</v>
      </c>
      <c r="BW149" s="224">
        <f t="shared" si="111"/>
        <v>0</v>
      </c>
      <c r="BX149" s="223" t="e">
        <f t="shared" si="112"/>
        <v>#DIV/0!</v>
      </c>
      <c r="BY149" s="223">
        <f t="shared" si="113"/>
        <v>0</v>
      </c>
      <c r="BZ149" s="223">
        <f t="shared" si="114"/>
        <v>0</v>
      </c>
      <c r="CA149" s="226"/>
      <c r="CB149" s="175"/>
      <c r="CC149" s="191"/>
      <c r="CD149" s="192"/>
      <c r="CE149" s="193" t="e">
        <f t="shared" si="92"/>
        <v>#DIV/0!</v>
      </c>
      <c r="CF149" s="191"/>
      <c r="CG149" s="192"/>
      <c r="CH149" s="193" t="e">
        <f t="shared" si="93"/>
        <v>#DIV/0!</v>
      </c>
      <c r="CI149" s="197"/>
      <c r="CJ149" s="198"/>
      <c r="CK149" s="193" t="e">
        <f t="shared" si="94"/>
        <v>#DIV/0!</v>
      </c>
      <c r="CL149" s="195">
        <f t="shared" si="95"/>
        <v>0</v>
      </c>
      <c r="CM149" s="194">
        <f t="shared" si="96"/>
        <v>0</v>
      </c>
      <c r="CN149" s="193" t="e">
        <f t="shared" si="97"/>
        <v>#DIV/0!</v>
      </c>
      <c r="CO149" s="175"/>
      <c r="CP149" s="196">
        <f t="shared" si="98"/>
        <v>0</v>
      </c>
      <c r="CQ149" s="196">
        <f t="shared" si="99"/>
        <v>0</v>
      </c>
      <c r="CR149" s="199" t="e">
        <f t="shared" si="100"/>
        <v>#DIV/0!</v>
      </c>
      <c r="CS149" s="261">
        <f t="shared" si="115"/>
        <v>29</v>
      </c>
      <c r="CT149" s="175"/>
      <c r="CU149" s="196">
        <f t="shared" si="116"/>
        <v>8.6999999999999993</v>
      </c>
      <c r="CV149" s="259"/>
      <c r="CW149" s="199">
        <f t="shared" si="117"/>
        <v>0</v>
      </c>
      <c r="CX149" s="196">
        <f t="shared" si="118"/>
        <v>8.6999999999999993</v>
      </c>
      <c r="CY149" s="259"/>
      <c r="CZ149" s="199">
        <f t="shared" si="119"/>
        <v>0</v>
      </c>
      <c r="DA149" s="196">
        <f t="shared" si="120"/>
        <v>8.6999999999999993</v>
      </c>
      <c r="DB149" s="259"/>
      <c r="DC149" s="199">
        <f t="shared" si="121"/>
        <v>0</v>
      </c>
      <c r="DD149" s="196">
        <f t="shared" si="122"/>
        <v>2.9000000000000004</v>
      </c>
      <c r="DE149" s="259"/>
      <c r="DF149" s="199">
        <f t="shared" si="123"/>
        <v>0</v>
      </c>
      <c r="DG149" s="175"/>
      <c r="DH149" s="196">
        <f t="shared" si="124"/>
        <v>29</v>
      </c>
      <c r="DI149" s="196">
        <f t="shared" si="125"/>
        <v>0</v>
      </c>
      <c r="DJ149" s="199">
        <f t="shared" si="126"/>
        <v>0</v>
      </c>
      <c r="DK149" s="265">
        <f t="shared" si="127"/>
        <v>29</v>
      </c>
      <c r="DL149" s="244">
        <v>145</v>
      </c>
      <c r="DM149">
        <f t="shared" si="103"/>
        <v>0</v>
      </c>
    </row>
    <row r="150" spans="1:117" x14ac:dyDescent="0.3">
      <c r="A150" s="246">
        <v>146</v>
      </c>
      <c r="B150" s="91" t="s">
        <v>270</v>
      </c>
      <c r="C150" s="91" t="s">
        <v>118</v>
      </c>
      <c r="D150" s="91" t="s">
        <v>119</v>
      </c>
      <c r="E150" s="91" t="s">
        <v>155</v>
      </c>
      <c r="F150" s="91" t="s">
        <v>493</v>
      </c>
      <c r="G150" s="87" t="s">
        <v>456</v>
      </c>
      <c r="H150" s="87" t="s">
        <v>376</v>
      </c>
      <c r="I150" s="87" t="s">
        <v>254</v>
      </c>
      <c r="J150" s="87" t="s">
        <v>254</v>
      </c>
      <c r="K150" s="85" t="s">
        <v>104</v>
      </c>
      <c r="L150" s="85" t="s">
        <v>105</v>
      </c>
      <c r="M150" s="87" t="s">
        <v>106</v>
      </c>
      <c r="N150" s="87" t="s">
        <v>530</v>
      </c>
      <c r="O150" s="87" t="s">
        <v>127</v>
      </c>
      <c r="P150" s="87" t="s">
        <v>541</v>
      </c>
      <c r="Q150" s="87" t="s">
        <v>129</v>
      </c>
      <c r="R150" s="130">
        <v>29</v>
      </c>
      <c r="S150" s="88" t="s">
        <v>111</v>
      </c>
      <c r="T150" s="81">
        <v>0</v>
      </c>
      <c r="U150" s="81">
        <v>4</v>
      </c>
      <c r="V150" s="25" t="e">
        <f t="shared" si="129"/>
        <v>#DIV/0!</v>
      </c>
      <c r="W150" s="81">
        <v>10</v>
      </c>
      <c r="X150" s="81">
        <v>11</v>
      </c>
      <c r="Y150" s="25">
        <f t="shared" si="1"/>
        <v>110.00000000000001</v>
      </c>
      <c r="Z150" s="81">
        <v>10</v>
      </c>
      <c r="AA150" s="81"/>
      <c r="AB150" s="25">
        <f t="shared" si="2"/>
        <v>0</v>
      </c>
      <c r="AC150" s="81">
        <v>9</v>
      </c>
      <c r="AD150" s="81"/>
      <c r="AE150" s="25">
        <f t="shared" si="3"/>
        <v>0</v>
      </c>
      <c r="AF150" s="137">
        <f t="shared" si="87"/>
        <v>29</v>
      </c>
      <c r="AG150" s="137">
        <f t="shared" si="88"/>
        <v>15</v>
      </c>
      <c r="AH150" s="128">
        <f t="shared" si="130"/>
        <v>150</v>
      </c>
      <c r="AI150" s="90">
        <v>46054</v>
      </c>
      <c r="AJ150" s="90">
        <v>46477</v>
      </c>
      <c r="AK150" s="91" t="s">
        <v>112</v>
      </c>
      <c r="AL150" s="91" t="s">
        <v>113</v>
      </c>
      <c r="AM150" s="92" t="s">
        <v>114</v>
      </c>
      <c r="AN150" s="93"/>
      <c r="AO150" s="93"/>
      <c r="AP150" s="93"/>
      <c r="AQ150" s="94"/>
      <c r="AR150" s="91"/>
      <c r="AS150" s="91" t="s">
        <v>112</v>
      </c>
      <c r="AT150" s="150" t="s">
        <v>509</v>
      </c>
      <c r="AU150" s="165" t="s">
        <v>2264</v>
      </c>
      <c r="AV150" s="232" t="s">
        <v>2234</v>
      </c>
      <c r="BA150" s="255"/>
      <c r="BB150" s="256"/>
      <c r="BC150" s="223" t="e">
        <f t="shared" si="104"/>
        <v>#DIV/0!</v>
      </c>
      <c r="BD150" s="255"/>
      <c r="BE150" s="256"/>
      <c r="BF150" s="223" t="e">
        <f t="shared" si="105"/>
        <v>#DIV/0!</v>
      </c>
      <c r="BG150" s="255"/>
      <c r="BH150" s="256"/>
      <c r="BI150" s="223" t="e">
        <f t="shared" si="106"/>
        <v>#DIV/0!</v>
      </c>
      <c r="BJ150" s="224">
        <f t="shared" si="107"/>
        <v>0</v>
      </c>
      <c r="BK150" s="225">
        <f t="shared" si="108"/>
        <v>0</v>
      </c>
      <c r="BL150" s="223" t="e">
        <f t="shared" si="109"/>
        <v>#DIV/0!</v>
      </c>
      <c r="BM150" s="255"/>
      <c r="BN150" s="256"/>
      <c r="BO150" s="223" t="e">
        <f t="shared" si="89"/>
        <v>#DIV/0!</v>
      </c>
      <c r="BP150" s="255"/>
      <c r="BQ150" s="256"/>
      <c r="BR150" s="223" t="e">
        <f t="shared" si="90"/>
        <v>#DIV/0!</v>
      </c>
      <c r="BS150" s="255"/>
      <c r="BT150" s="255"/>
      <c r="BU150" s="223" t="e">
        <f t="shared" si="91"/>
        <v>#DIV/0!</v>
      </c>
      <c r="BV150" s="224">
        <f t="shared" si="110"/>
        <v>0</v>
      </c>
      <c r="BW150" s="224">
        <f t="shared" si="111"/>
        <v>0</v>
      </c>
      <c r="BX150" s="223" t="e">
        <f t="shared" si="112"/>
        <v>#DIV/0!</v>
      </c>
      <c r="BY150" s="223">
        <f t="shared" si="113"/>
        <v>0</v>
      </c>
      <c r="BZ150" s="223">
        <f t="shared" si="114"/>
        <v>0</v>
      </c>
      <c r="CA150" s="226"/>
      <c r="CB150" s="175"/>
      <c r="CC150" s="191"/>
      <c r="CD150" s="192"/>
      <c r="CE150" s="193" t="e">
        <f t="shared" si="92"/>
        <v>#DIV/0!</v>
      </c>
      <c r="CF150" s="191"/>
      <c r="CG150" s="192"/>
      <c r="CH150" s="193" t="e">
        <f t="shared" si="93"/>
        <v>#DIV/0!</v>
      </c>
      <c r="CI150" s="197"/>
      <c r="CJ150" s="198"/>
      <c r="CK150" s="193" t="e">
        <f t="shared" si="94"/>
        <v>#DIV/0!</v>
      </c>
      <c r="CL150" s="195">
        <f t="shared" si="95"/>
        <v>0</v>
      </c>
      <c r="CM150" s="194">
        <f t="shared" si="96"/>
        <v>0</v>
      </c>
      <c r="CN150" s="193" t="e">
        <f t="shared" si="97"/>
        <v>#DIV/0!</v>
      </c>
      <c r="CO150" s="175"/>
      <c r="CP150" s="196">
        <f t="shared" si="98"/>
        <v>0</v>
      </c>
      <c r="CQ150" s="196">
        <f t="shared" si="99"/>
        <v>0</v>
      </c>
      <c r="CR150" s="199" t="e">
        <f t="shared" si="100"/>
        <v>#DIV/0!</v>
      </c>
      <c r="CS150" s="261">
        <f t="shared" si="115"/>
        <v>29</v>
      </c>
      <c r="CT150" s="175"/>
      <c r="CU150" s="196">
        <f t="shared" si="116"/>
        <v>8.6999999999999993</v>
      </c>
      <c r="CV150" s="259"/>
      <c r="CW150" s="199">
        <f t="shared" si="117"/>
        <v>0</v>
      </c>
      <c r="CX150" s="196">
        <f t="shared" si="118"/>
        <v>8.6999999999999993</v>
      </c>
      <c r="CY150" s="259"/>
      <c r="CZ150" s="199">
        <f t="shared" si="119"/>
        <v>0</v>
      </c>
      <c r="DA150" s="196">
        <f t="shared" si="120"/>
        <v>8.6999999999999993</v>
      </c>
      <c r="DB150" s="259"/>
      <c r="DC150" s="199">
        <f t="shared" si="121"/>
        <v>0</v>
      </c>
      <c r="DD150" s="196">
        <f t="shared" si="122"/>
        <v>2.9000000000000004</v>
      </c>
      <c r="DE150" s="259"/>
      <c r="DF150" s="199">
        <f t="shared" si="123"/>
        <v>0</v>
      </c>
      <c r="DG150" s="175"/>
      <c r="DH150" s="196">
        <f t="shared" si="124"/>
        <v>29</v>
      </c>
      <c r="DI150" s="196">
        <f t="shared" si="125"/>
        <v>0</v>
      </c>
      <c r="DJ150" s="199">
        <f t="shared" si="126"/>
        <v>0</v>
      </c>
      <c r="DK150" s="265">
        <f t="shared" si="127"/>
        <v>29</v>
      </c>
      <c r="DL150" s="244">
        <v>146</v>
      </c>
      <c r="DM150">
        <f t="shared" si="103"/>
        <v>0</v>
      </c>
    </row>
    <row r="151" spans="1:117" x14ac:dyDescent="0.3">
      <c r="A151" s="246">
        <v>147</v>
      </c>
      <c r="B151" s="91" t="s">
        <v>270</v>
      </c>
      <c r="C151" s="91" t="s">
        <v>118</v>
      </c>
      <c r="D151" s="91" t="s">
        <v>119</v>
      </c>
      <c r="E151" s="91" t="s">
        <v>155</v>
      </c>
      <c r="F151" s="91" t="s">
        <v>493</v>
      </c>
      <c r="G151" s="87" t="s">
        <v>456</v>
      </c>
      <c r="H151" s="87" t="s">
        <v>376</v>
      </c>
      <c r="I151" s="87" t="s">
        <v>103</v>
      </c>
      <c r="J151" s="87" t="s">
        <v>103</v>
      </c>
      <c r="K151" s="85" t="s">
        <v>104</v>
      </c>
      <c r="L151" s="85" t="s">
        <v>105</v>
      </c>
      <c r="M151" s="87" t="s">
        <v>106</v>
      </c>
      <c r="N151" s="87" t="s">
        <v>530</v>
      </c>
      <c r="O151" s="87" t="s">
        <v>127</v>
      </c>
      <c r="P151" s="87" t="s">
        <v>542</v>
      </c>
      <c r="Q151" s="87" t="s">
        <v>129</v>
      </c>
      <c r="R151" s="130">
        <v>29</v>
      </c>
      <c r="S151" s="88" t="s">
        <v>111</v>
      </c>
      <c r="T151" s="81">
        <v>0</v>
      </c>
      <c r="U151" s="81">
        <v>4</v>
      </c>
      <c r="V151" s="25" t="e">
        <f t="shared" si="129"/>
        <v>#DIV/0!</v>
      </c>
      <c r="W151" s="81">
        <v>10</v>
      </c>
      <c r="X151" s="81">
        <v>12</v>
      </c>
      <c r="Y151" s="25">
        <f t="shared" si="1"/>
        <v>120</v>
      </c>
      <c r="Z151" s="81">
        <v>10</v>
      </c>
      <c r="AA151" s="81"/>
      <c r="AB151" s="25">
        <f t="shared" si="2"/>
        <v>0</v>
      </c>
      <c r="AC151" s="81">
        <v>9</v>
      </c>
      <c r="AD151" s="81"/>
      <c r="AE151" s="25">
        <f t="shared" si="3"/>
        <v>0</v>
      </c>
      <c r="AF151" s="137">
        <f t="shared" si="87"/>
        <v>29</v>
      </c>
      <c r="AG151" s="137">
        <f t="shared" si="88"/>
        <v>16</v>
      </c>
      <c r="AH151" s="128">
        <f t="shared" si="130"/>
        <v>160</v>
      </c>
      <c r="AI151" s="90">
        <v>46054</v>
      </c>
      <c r="AJ151" s="90">
        <v>46477</v>
      </c>
      <c r="AK151" s="91" t="s">
        <v>112</v>
      </c>
      <c r="AL151" s="91" t="s">
        <v>113</v>
      </c>
      <c r="AM151" s="92" t="s">
        <v>114</v>
      </c>
      <c r="AN151" s="93"/>
      <c r="AO151" s="93"/>
      <c r="AP151" s="93"/>
      <c r="AQ151" s="94"/>
      <c r="AR151" s="91"/>
      <c r="AS151" s="91" t="s">
        <v>112</v>
      </c>
      <c r="AT151" s="150" t="s">
        <v>509</v>
      </c>
      <c r="AU151" s="165" t="s">
        <v>2264</v>
      </c>
      <c r="AV151" s="232" t="s">
        <v>2234</v>
      </c>
      <c r="BA151" s="255"/>
      <c r="BB151" s="256"/>
      <c r="BC151" s="223" t="e">
        <f t="shared" si="104"/>
        <v>#DIV/0!</v>
      </c>
      <c r="BD151" s="255"/>
      <c r="BE151" s="256"/>
      <c r="BF151" s="223" t="e">
        <f t="shared" si="105"/>
        <v>#DIV/0!</v>
      </c>
      <c r="BG151" s="255"/>
      <c r="BH151" s="256"/>
      <c r="BI151" s="223" t="e">
        <f t="shared" si="106"/>
        <v>#DIV/0!</v>
      </c>
      <c r="BJ151" s="224">
        <f t="shared" si="107"/>
        <v>0</v>
      </c>
      <c r="BK151" s="225">
        <f t="shared" si="108"/>
        <v>0</v>
      </c>
      <c r="BL151" s="223" t="e">
        <f t="shared" si="109"/>
        <v>#DIV/0!</v>
      </c>
      <c r="BM151" s="255"/>
      <c r="BN151" s="256"/>
      <c r="BO151" s="223" t="e">
        <f t="shared" si="89"/>
        <v>#DIV/0!</v>
      </c>
      <c r="BP151" s="255"/>
      <c r="BQ151" s="256"/>
      <c r="BR151" s="223" t="e">
        <f t="shared" si="90"/>
        <v>#DIV/0!</v>
      </c>
      <c r="BS151" s="255"/>
      <c r="BT151" s="255"/>
      <c r="BU151" s="223" t="e">
        <f t="shared" si="91"/>
        <v>#DIV/0!</v>
      </c>
      <c r="BV151" s="224">
        <f t="shared" si="110"/>
        <v>0</v>
      </c>
      <c r="BW151" s="224">
        <f t="shared" si="111"/>
        <v>0</v>
      </c>
      <c r="BX151" s="223" t="e">
        <f t="shared" si="112"/>
        <v>#DIV/0!</v>
      </c>
      <c r="BY151" s="223">
        <f t="shared" si="113"/>
        <v>0</v>
      </c>
      <c r="BZ151" s="223">
        <f t="shared" si="114"/>
        <v>0</v>
      </c>
      <c r="CA151" s="226"/>
      <c r="CB151" s="175"/>
      <c r="CC151" s="191"/>
      <c r="CD151" s="192"/>
      <c r="CE151" s="193" t="e">
        <f t="shared" si="92"/>
        <v>#DIV/0!</v>
      </c>
      <c r="CF151" s="191"/>
      <c r="CG151" s="192"/>
      <c r="CH151" s="193" t="e">
        <f t="shared" si="93"/>
        <v>#DIV/0!</v>
      </c>
      <c r="CI151" s="197"/>
      <c r="CJ151" s="198"/>
      <c r="CK151" s="193" t="e">
        <f t="shared" si="94"/>
        <v>#DIV/0!</v>
      </c>
      <c r="CL151" s="195">
        <f t="shared" si="95"/>
        <v>0</v>
      </c>
      <c r="CM151" s="194">
        <f t="shared" si="96"/>
        <v>0</v>
      </c>
      <c r="CN151" s="193" t="e">
        <f t="shared" si="97"/>
        <v>#DIV/0!</v>
      </c>
      <c r="CO151" s="175"/>
      <c r="CP151" s="196">
        <f t="shared" si="98"/>
        <v>0</v>
      </c>
      <c r="CQ151" s="196">
        <f t="shared" si="99"/>
        <v>0</v>
      </c>
      <c r="CR151" s="199" t="e">
        <f t="shared" si="100"/>
        <v>#DIV/0!</v>
      </c>
      <c r="CS151" s="261">
        <f t="shared" si="115"/>
        <v>29</v>
      </c>
      <c r="CT151" s="175"/>
      <c r="CU151" s="196">
        <f t="shared" si="116"/>
        <v>8.6999999999999993</v>
      </c>
      <c r="CV151" s="259"/>
      <c r="CW151" s="199">
        <f t="shared" si="117"/>
        <v>0</v>
      </c>
      <c r="CX151" s="196">
        <f t="shared" si="118"/>
        <v>8.6999999999999993</v>
      </c>
      <c r="CY151" s="259"/>
      <c r="CZ151" s="199">
        <f t="shared" si="119"/>
        <v>0</v>
      </c>
      <c r="DA151" s="196">
        <f t="shared" si="120"/>
        <v>8.6999999999999993</v>
      </c>
      <c r="DB151" s="259"/>
      <c r="DC151" s="199">
        <f t="shared" si="121"/>
        <v>0</v>
      </c>
      <c r="DD151" s="196">
        <f t="shared" si="122"/>
        <v>2.9000000000000004</v>
      </c>
      <c r="DE151" s="259"/>
      <c r="DF151" s="199">
        <f t="shared" si="123"/>
        <v>0</v>
      </c>
      <c r="DG151" s="175"/>
      <c r="DH151" s="196">
        <f t="shared" si="124"/>
        <v>29</v>
      </c>
      <c r="DI151" s="196">
        <f t="shared" si="125"/>
        <v>0</v>
      </c>
      <c r="DJ151" s="199">
        <f t="shared" si="126"/>
        <v>0</v>
      </c>
      <c r="DK151" s="265">
        <f t="shared" si="127"/>
        <v>29</v>
      </c>
      <c r="DL151" s="244">
        <v>147</v>
      </c>
      <c r="DM151">
        <f t="shared" si="103"/>
        <v>0</v>
      </c>
    </row>
    <row r="152" spans="1:117" x14ac:dyDescent="0.3">
      <c r="A152" s="246">
        <v>148</v>
      </c>
      <c r="B152" s="91" t="s">
        <v>270</v>
      </c>
      <c r="C152" s="91" t="s">
        <v>195</v>
      </c>
      <c r="D152" s="91" t="s">
        <v>196</v>
      </c>
      <c r="E152" s="91" t="s">
        <v>536</v>
      </c>
      <c r="F152" s="91" t="s">
        <v>537</v>
      </c>
      <c r="G152" s="87" t="s">
        <v>456</v>
      </c>
      <c r="H152" s="87" t="s">
        <v>376</v>
      </c>
      <c r="I152" s="87" t="s">
        <v>254</v>
      </c>
      <c r="J152" s="87" t="s">
        <v>254</v>
      </c>
      <c r="K152" s="85" t="s">
        <v>104</v>
      </c>
      <c r="L152" s="85" t="s">
        <v>105</v>
      </c>
      <c r="M152" s="87" t="s">
        <v>106</v>
      </c>
      <c r="N152" s="87" t="s">
        <v>530</v>
      </c>
      <c r="O152" s="87" t="s">
        <v>108</v>
      </c>
      <c r="P152" s="87" t="s">
        <v>543</v>
      </c>
      <c r="Q152" s="87" t="s">
        <v>110</v>
      </c>
      <c r="R152" s="130">
        <v>1</v>
      </c>
      <c r="S152" s="88" t="s">
        <v>111</v>
      </c>
      <c r="T152" s="81">
        <v>0</v>
      </c>
      <c r="U152" s="81">
        <v>0</v>
      </c>
      <c r="V152" s="25" t="e">
        <f t="shared" si="129"/>
        <v>#DIV/0!</v>
      </c>
      <c r="W152" s="81">
        <v>0</v>
      </c>
      <c r="X152" s="81">
        <v>0</v>
      </c>
      <c r="Y152" s="25" t="e">
        <f t="shared" si="1"/>
        <v>#DIV/0!</v>
      </c>
      <c r="Z152" s="81">
        <v>1</v>
      </c>
      <c r="AA152" s="81"/>
      <c r="AB152" s="25">
        <f t="shared" si="2"/>
        <v>0</v>
      </c>
      <c r="AC152" s="81">
        <v>0</v>
      </c>
      <c r="AD152" s="81"/>
      <c r="AE152" s="25" t="e">
        <f t="shared" si="3"/>
        <v>#DIV/0!</v>
      </c>
      <c r="AF152" s="137">
        <f t="shared" ref="AF152:AF215" si="132">R152</f>
        <v>1</v>
      </c>
      <c r="AG152" s="137">
        <f t="shared" ref="AG152:AG215" si="133">U152+X152+AA152+AD152</f>
        <v>0</v>
      </c>
      <c r="AH152" s="128" t="e">
        <f t="shared" si="130"/>
        <v>#DIV/0!</v>
      </c>
      <c r="AI152" s="90">
        <v>46113</v>
      </c>
      <c r="AJ152" s="90">
        <v>46477</v>
      </c>
      <c r="AK152" s="91" t="s">
        <v>112</v>
      </c>
      <c r="AL152" s="91" t="s">
        <v>113</v>
      </c>
      <c r="AM152" s="92" t="s">
        <v>114</v>
      </c>
      <c r="AN152" s="93">
        <v>80000000</v>
      </c>
      <c r="AO152" s="93">
        <v>80000000</v>
      </c>
      <c r="AP152" s="93">
        <v>80000000</v>
      </c>
      <c r="AQ152" s="94">
        <v>0</v>
      </c>
      <c r="AR152" s="91" t="s">
        <v>159</v>
      </c>
      <c r="AS152" s="91" t="s">
        <v>112</v>
      </c>
      <c r="AT152" s="150" t="s">
        <v>509</v>
      </c>
      <c r="AU152" s="165" t="s">
        <v>2264</v>
      </c>
      <c r="AV152" s="232" t="s">
        <v>2234</v>
      </c>
      <c r="BA152" s="255"/>
      <c r="BB152" s="256"/>
      <c r="BC152" s="223" t="e">
        <f t="shared" si="104"/>
        <v>#DIV/0!</v>
      </c>
      <c r="BD152" s="255"/>
      <c r="BE152" s="256"/>
      <c r="BF152" s="223" t="e">
        <f t="shared" si="105"/>
        <v>#DIV/0!</v>
      </c>
      <c r="BG152" s="255"/>
      <c r="BH152" s="256"/>
      <c r="BI152" s="223" t="e">
        <f t="shared" si="106"/>
        <v>#DIV/0!</v>
      </c>
      <c r="BJ152" s="224">
        <f t="shared" si="107"/>
        <v>0</v>
      </c>
      <c r="BK152" s="225">
        <f t="shared" si="108"/>
        <v>0</v>
      </c>
      <c r="BL152" s="223" t="e">
        <f t="shared" si="109"/>
        <v>#DIV/0!</v>
      </c>
      <c r="BM152" s="255"/>
      <c r="BN152" s="256"/>
      <c r="BO152" s="223" t="e">
        <f t="shared" ref="BO152:BO215" si="134">+BN152/BM152</f>
        <v>#DIV/0!</v>
      </c>
      <c r="BP152" s="255"/>
      <c r="BQ152" s="256"/>
      <c r="BR152" s="223" t="e">
        <f t="shared" ref="BR152:BR215" si="135">+BQ152/BP152</f>
        <v>#DIV/0!</v>
      </c>
      <c r="BS152" s="255"/>
      <c r="BT152" s="255"/>
      <c r="BU152" s="223" t="e">
        <f t="shared" ref="BU152:BU215" si="136">+BT152/BS152</f>
        <v>#DIV/0!</v>
      </c>
      <c r="BV152" s="224">
        <f t="shared" si="110"/>
        <v>0</v>
      </c>
      <c r="BW152" s="224">
        <f t="shared" si="111"/>
        <v>0</v>
      </c>
      <c r="BX152" s="223" t="e">
        <f t="shared" si="112"/>
        <v>#DIV/0!</v>
      </c>
      <c r="BY152" s="223">
        <f t="shared" si="113"/>
        <v>0</v>
      </c>
      <c r="BZ152" s="223">
        <f t="shared" si="114"/>
        <v>0</v>
      </c>
      <c r="CA152" s="226"/>
      <c r="CB152" s="175"/>
      <c r="CC152" s="191"/>
      <c r="CD152" s="192"/>
      <c r="CE152" s="193" t="e">
        <f t="shared" ref="CE152:CE215" si="137">+CD152/CC152</f>
        <v>#DIV/0!</v>
      </c>
      <c r="CF152" s="191"/>
      <c r="CG152" s="192"/>
      <c r="CH152" s="193" t="e">
        <f t="shared" ref="CH152:CH215" si="138">+CG152/CF152</f>
        <v>#DIV/0!</v>
      </c>
      <c r="CI152" s="197"/>
      <c r="CJ152" s="198"/>
      <c r="CK152" s="193" t="e">
        <f t="shared" ref="CK152:CK215" si="139">+CJ152/CI152</f>
        <v>#DIV/0!</v>
      </c>
      <c r="CL152" s="195">
        <f t="shared" ref="CL152:CL215" si="140">+CC152+CF152+CI152</f>
        <v>0</v>
      </c>
      <c r="CM152" s="194">
        <f t="shared" ref="CM152:CM215" si="141">+CD152+CG152+CJ152</f>
        <v>0</v>
      </c>
      <c r="CN152" s="193" t="e">
        <f t="shared" ref="CN152:CN215" si="142">+CM152/CL152</f>
        <v>#DIV/0!</v>
      </c>
      <c r="CO152" s="175"/>
      <c r="CP152" s="196">
        <f t="shared" ref="CP152:CP215" si="143">+BJ152+BV152+CL152</f>
        <v>0</v>
      </c>
      <c r="CQ152" s="196">
        <f t="shared" ref="CQ152:CQ215" si="144">+BK152+BW152+CM152</f>
        <v>0</v>
      </c>
      <c r="CR152" s="199" t="e">
        <f t="shared" ref="CR152:CR215" si="145">+CQ152/CP152</f>
        <v>#DIV/0!</v>
      </c>
      <c r="CS152" s="261">
        <f t="shared" si="115"/>
        <v>1</v>
      </c>
      <c r="CT152" s="175"/>
      <c r="CU152" s="196">
        <f t="shared" si="116"/>
        <v>0.3</v>
      </c>
      <c r="CV152" s="259"/>
      <c r="CW152" s="199">
        <f t="shared" si="117"/>
        <v>0</v>
      </c>
      <c r="CX152" s="196">
        <f t="shared" si="118"/>
        <v>0.3</v>
      </c>
      <c r="CY152" s="259"/>
      <c r="CZ152" s="199">
        <f t="shared" si="119"/>
        <v>0</v>
      </c>
      <c r="DA152" s="196">
        <f t="shared" si="120"/>
        <v>0.3</v>
      </c>
      <c r="DB152" s="259"/>
      <c r="DC152" s="199">
        <f t="shared" si="121"/>
        <v>0</v>
      </c>
      <c r="DD152" s="196">
        <f t="shared" si="122"/>
        <v>0.1</v>
      </c>
      <c r="DE152" s="259"/>
      <c r="DF152" s="199">
        <f t="shared" si="123"/>
        <v>0</v>
      </c>
      <c r="DG152" s="175"/>
      <c r="DH152" s="196">
        <f t="shared" si="124"/>
        <v>1</v>
      </c>
      <c r="DI152" s="196">
        <f t="shared" si="125"/>
        <v>0</v>
      </c>
      <c r="DJ152" s="199">
        <f t="shared" si="126"/>
        <v>0</v>
      </c>
      <c r="DK152" s="265">
        <f t="shared" si="127"/>
        <v>1</v>
      </c>
      <c r="DL152" s="244">
        <v>148</v>
      </c>
      <c r="DM152">
        <f t="shared" si="103"/>
        <v>0</v>
      </c>
    </row>
    <row r="153" spans="1:117" x14ac:dyDescent="0.3">
      <c r="A153" s="246">
        <v>149</v>
      </c>
      <c r="B153" s="91" t="s">
        <v>270</v>
      </c>
      <c r="C153" s="91" t="s">
        <v>195</v>
      </c>
      <c r="D153" s="91" t="s">
        <v>196</v>
      </c>
      <c r="E153" s="91" t="s">
        <v>536</v>
      </c>
      <c r="F153" s="91" t="s">
        <v>537</v>
      </c>
      <c r="G153" s="87" t="s">
        <v>538</v>
      </c>
      <c r="H153" s="87" t="s">
        <v>544</v>
      </c>
      <c r="I153" s="87" t="s">
        <v>254</v>
      </c>
      <c r="J153" s="87" t="s">
        <v>254</v>
      </c>
      <c r="K153" s="85" t="s">
        <v>104</v>
      </c>
      <c r="L153" s="85" t="s">
        <v>105</v>
      </c>
      <c r="M153" s="87" t="s">
        <v>106</v>
      </c>
      <c r="N153" s="87" t="s">
        <v>107</v>
      </c>
      <c r="O153" s="87" t="s">
        <v>108</v>
      </c>
      <c r="P153" s="87" t="s">
        <v>545</v>
      </c>
      <c r="Q153" s="87" t="s">
        <v>129</v>
      </c>
      <c r="R153" s="130">
        <v>29</v>
      </c>
      <c r="S153" s="88" t="s">
        <v>111</v>
      </c>
      <c r="T153" s="81">
        <v>0</v>
      </c>
      <c r="U153" s="81">
        <v>0</v>
      </c>
      <c r="V153" s="25" t="e">
        <f t="shared" si="129"/>
        <v>#DIV/0!</v>
      </c>
      <c r="W153" s="81">
        <v>0</v>
      </c>
      <c r="X153" s="81">
        <v>0</v>
      </c>
      <c r="Y153" s="25" t="e">
        <f t="shared" si="1"/>
        <v>#DIV/0!</v>
      </c>
      <c r="Z153" s="81">
        <v>14</v>
      </c>
      <c r="AA153" s="81">
        <v>15</v>
      </c>
      <c r="AB153" s="25">
        <f t="shared" si="2"/>
        <v>107.14285714285714</v>
      </c>
      <c r="AC153" s="81">
        <v>29</v>
      </c>
      <c r="AD153" s="81"/>
      <c r="AE153" s="25">
        <f t="shared" si="3"/>
        <v>0</v>
      </c>
      <c r="AF153" s="137">
        <f t="shared" si="132"/>
        <v>29</v>
      </c>
      <c r="AG153" s="137">
        <f t="shared" si="133"/>
        <v>15</v>
      </c>
      <c r="AH153" s="128">
        <f t="shared" si="130"/>
        <v>107.14285714285714</v>
      </c>
      <c r="AI153" s="90">
        <v>46113</v>
      </c>
      <c r="AJ153" s="90">
        <v>46477</v>
      </c>
      <c r="AK153" s="91" t="s">
        <v>112</v>
      </c>
      <c r="AL153" s="91" t="s">
        <v>113</v>
      </c>
      <c r="AM153" s="92" t="s">
        <v>114</v>
      </c>
      <c r="AN153" s="93">
        <v>60000000</v>
      </c>
      <c r="AO153" s="93">
        <v>60000000</v>
      </c>
      <c r="AP153" s="93">
        <v>60000000</v>
      </c>
      <c r="AQ153" s="94">
        <v>0</v>
      </c>
      <c r="AR153" s="91" t="s">
        <v>546</v>
      </c>
      <c r="AS153" s="91" t="s">
        <v>112</v>
      </c>
      <c r="AT153" s="150" t="s">
        <v>509</v>
      </c>
      <c r="AU153" s="165" t="s">
        <v>2264</v>
      </c>
      <c r="AV153" s="232" t="s">
        <v>2234</v>
      </c>
      <c r="BA153" s="255"/>
      <c r="BB153" s="256"/>
      <c r="BC153" s="223" t="e">
        <f t="shared" si="104"/>
        <v>#DIV/0!</v>
      </c>
      <c r="BD153" s="255"/>
      <c r="BE153" s="256"/>
      <c r="BF153" s="223" t="e">
        <f t="shared" si="105"/>
        <v>#DIV/0!</v>
      </c>
      <c r="BG153" s="255"/>
      <c r="BH153" s="256"/>
      <c r="BI153" s="223" t="e">
        <f t="shared" si="106"/>
        <v>#DIV/0!</v>
      </c>
      <c r="BJ153" s="224">
        <f t="shared" si="107"/>
        <v>0</v>
      </c>
      <c r="BK153" s="225">
        <f t="shared" si="108"/>
        <v>0</v>
      </c>
      <c r="BL153" s="223" t="e">
        <f t="shared" si="109"/>
        <v>#DIV/0!</v>
      </c>
      <c r="BM153" s="255"/>
      <c r="BN153" s="256"/>
      <c r="BO153" s="223" t="e">
        <f t="shared" si="134"/>
        <v>#DIV/0!</v>
      </c>
      <c r="BP153" s="255"/>
      <c r="BQ153" s="256"/>
      <c r="BR153" s="223" t="e">
        <f t="shared" si="135"/>
        <v>#DIV/0!</v>
      </c>
      <c r="BS153" s="255"/>
      <c r="BT153" s="255"/>
      <c r="BU153" s="223" t="e">
        <f t="shared" si="136"/>
        <v>#DIV/0!</v>
      </c>
      <c r="BV153" s="224">
        <f t="shared" si="110"/>
        <v>0</v>
      </c>
      <c r="BW153" s="224">
        <f t="shared" si="111"/>
        <v>0</v>
      </c>
      <c r="BX153" s="223" t="e">
        <f t="shared" si="112"/>
        <v>#DIV/0!</v>
      </c>
      <c r="BY153" s="223">
        <f t="shared" si="113"/>
        <v>0</v>
      </c>
      <c r="BZ153" s="223">
        <f t="shared" si="114"/>
        <v>0</v>
      </c>
      <c r="CA153" s="226"/>
      <c r="CB153" s="175"/>
      <c r="CC153" s="191"/>
      <c r="CD153" s="192"/>
      <c r="CE153" s="193" t="e">
        <f t="shared" si="137"/>
        <v>#DIV/0!</v>
      </c>
      <c r="CF153" s="191"/>
      <c r="CG153" s="192"/>
      <c r="CH153" s="193" t="e">
        <f t="shared" si="138"/>
        <v>#DIV/0!</v>
      </c>
      <c r="CI153" s="197"/>
      <c r="CJ153" s="198"/>
      <c r="CK153" s="193" t="e">
        <f t="shared" si="139"/>
        <v>#DIV/0!</v>
      </c>
      <c r="CL153" s="195">
        <f t="shared" si="140"/>
        <v>0</v>
      </c>
      <c r="CM153" s="194">
        <f t="shared" si="141"/>
        <v>0</v>
      </c>
      <c r="CN153" s="193" t="e">
        <f t="shared" si="142"/>
        <v>#DIV/0!</v>
      </c>
      <c r="CO153" s="175"/>
      <c r="CP153" s="196">
        <f t="shared" si="143"/>
        <v>0</v>
      </c>
      <c r="CQ153" s="196">
        <f t="shared" si="144"/>
        <v>0</v>
      </c>
      <c r="CR153" s="199" t="e">
        <f t="shared" si="145"/>
        <v>#DIV/0!</v>
      </c>
      <c r="CS153" s="261">
        <f t="shared" si="115"/>
        <v>29</v>
      </c>
      <c r="CT153" s="175"/>
      <c r="CU153" s="196">
        <f t="shared" si="116"/>
        <v>8.6999999999999993</v>
      </c>
      <c r="CV153" s="259"/>
      <c r="CW153" s="199">
        <f t="shared" si="117"/>
        <v>0</v>
      </c>
      <c r="CX153" s="196">
        <f t="shared" si="118"/>
        <v>8.6999999999999993</v>
      </c>
      <c r="CY153" s="259"/>
      <c r="CZ153" s="199">
        <f t="shared" si="119"/>
        <v>0</v>
      </c>
      <c r="DA153" s="196">
        <f t="shared" si="120"/>
        <v>8.6999999999999993</v>
      </c>
      <c r="DB153" s="259"/>
      <c r="DC153" s="199">
        <f t="shared" si="121"/>
        <v>0</v>
      </c>
      <c r="DD153" s="196">
        <f t="shared" si="122"/>
        <v>2.9000000000000004</v>
      </c>
      <c r="DE153" s="259"/>
      <c r="DF153" s="199">
        <f t="shared" si="123"/>
        <v>0</v>
      </c>
      <c r="DG153" s="175"/>
      <c r="DH153" s="196">
        <f t="shared" si="124"/>
        <v>29</v>
      </c>
      <c r="DI153" s="196">
        <f t="shared" si="125"/>
        <v>0</v>
      </c>
      <c r="DJ153" s="199">
        <f t="shared" si="126"/>
        <v>0</v>
      </c>
      <c r="DK153" s="265">
        <f t="shared" si="127"/>
        <v>29</v>
      </c>
      <c r="DL153" s="244">
        <v>149</v>
      </c>
      <c r="DM153">
        <f t="shared" si="103"/>
        <v>0</v>
      </c>
    </row>
    <row r="154" spans="1:117" x14ac:dyDescent="0.3">
      <c r="A154" s="246">
        <v>150</v>
      </c>
      <c r="B154" s="91" t="s">
        <v>270</v>
      </c>
      <c r="C154" s="91" t="s">
        <v>118</v>
      </c>
      <c r="D154" s="91" t="s">
        <v>119</v>
      </c>
      <c r="E154" s="91" t="s">
        <v>547</v>
      </c>
      <c r="F154" s="91" t="s">
        <v>548</v>
      </c>
      <c r="G154" s="87" t="s">
        <v>549</v>
      </c>
      <c r="H154" s="87" t="s">
        <v>550</v>
      </c>
      <c r="I154" s="87" t="s">
        <v>103</v>
      </c>
      <c r="J154" s="87" t="s">
        <v>103</v>
      </c>
      <c r="K154" s="85" t="s">
        <v>104</v>
      </c>
      <c r="L154" s="85" t="s">
        <v>105</v>
      </c>
      <c r="M154" s="87" t="s">
        <v>106</v>
      </c>
      <c r="N154" s="87" t="s">
        <v>107</v>
      </c>
      <c r="O154" s="87" t="s">
        <v>127</v>
      </c>
      <c r="P154" s="87" t="s">
        <v>551</v>
      </c>
      <c r="Q154" s="87" t="s">
        <v>129</v>
      </c>
      <c r="R154" s="130">
        <v>1</v>
      </c>
      <c r="S154" s="88" t="s">
        <v>111</v>
      </c>
      <c r="T154" s="81">
        <v>0</v>
      </c>
      <c r="U154" s="81">
        <v>0</v>
      </c>
      <c r="V154" s="25" t="e">
        <f t="shared" si="129"/>
        <v>#DIV/0!</v>
      </c>
      <c r="W154" s="81">
        <v>0</v>
      </c>
      <c r="X154" s="81">
        <v>0</v>
      </c>
      <c r="Y154" s="25" t="e">
        <f t="shared" si="1"/>
        <v>#DIV/0!</v>
      </c>
      <c r="Z154" s="81">
        <v>0</v>
      </c>
      <c r="AA154" s="81"/>
      <c r="AB154" s="25" t="e">
        <f t="shared" si="2"/>
        <v>#DIV/0!</v>
      </c>
      <c r="AC154" s="81">
        <v>1</v>
      </c>
      <c r="AD154" s="81"/>
      <c r="AE154" s="25">
        <f t="shared" si="3"/>
        <v>0</v>
      </c>
      <c r="AF154" s="137">
        <f t="shared" si="132"/>
        <v>1</v>
      </c>
      <c r="AG154" s="137">
        <f t="shared" si="133"/>
        <v>0</v>
      </c>
      <c r="AH154" s="128" t="e">
        <f t="shared" si="130"/>
        <v>#DIV/0!</v>
      </c>
      <c r="AI154" s="90">
        <v>46054</v>
      </c>
      <c r="AJ154" s="90">
        <v>46477</v>
      </c>
      <c r="AK154" s="91" t="s">
        <v>112</v>
      </c>
      <c r="AL154" s="91" t="s">
        <v>113</v>
      </c>
      <c r="AM154" s="92" t="s">
        <v>114</v>
      </c>
      <c r="AN154" s="93"/>
      <c r="AO154" s="93"/>
      <c r="AP154" s="93"/>
      <c r="AQ154" s="94"/>
      <c r="AR154" s="91"/>
      <c r="AS154" s="91" t="s">
        <v>112</v>
      </c>
      <c r="AT154" s="150" t="s">
        <v>509</v>
      </c>
      <c r="AU154" s="165" t="s">
        <v>2264</v>
      </c>
      <c r="AV154" s="232" t="s">
        <v>2234</v>
      </c>
      <c r="BA154" s="255"/>
      <c r="BB154" s="256"/>
      <c r="BC154" s="223" t="e">
        <f t="shared" si="104"/>
        <v>#DIV/0!</v>
      </c>
      <c r="BD154" s="255"/>
      <c r="BE154" s="256"/>
      <c r="BF154" s="223" t="e">
        <f t="shared" si="105"/>
        <v>#DIV/0!</v>
      </c>
      <c r="BG154" s="255"/>
      <c r="BH154" s="256"/>
      <c r="BI154" s="223" t="e">
        <f t="shared" si="106"/>
        <v>#DIV/0!</v>
      </c>
      <c r="BJ154" s="224">
        <f t="shared" si="107"/>
        <v>0</v>
      </c>
      <c r="BK154" s="225">
        <f t="shared" si="108"/>
        <v>0</v>
      </c>
      <c r="BL154" s="223" t="e">
        <f t="shared" si="109"/>
        <v>#DIV/0!</v>
      </c>
      <c r="BM154" s="255"/>
      <c r="BN154" s="256"/>
      <c r="BO154" s="223" t="e">
        <f t="shared" si="134"/>
        <v>#DIV/0!</v>
      </c>
      <c r="BP154" s="255"/>
      <c r="BQ154" s="256"/>
      <c r="BR154" s="223" t="e">
        <f t="shared" si="135"/>
        <v>#DIV/0!</v>
      </c>
      <c r="BS154" s="255"/>
      <c r="BT154" s="255"/>
      <c r="BU154" s="223" t="e">
        <f t="shared" si="136"/>
        <v>#DIV/0!</v>
      </c>
      <c r="BV154" s="224">
        <f t="shared" si="110"/>
        <v>0</v>
      </c>
      <c r="BW154" s="224">
        <f t="shared" si="111"/>
        <v>0</v>
      </c>
      <c r="BX154" s="223" t="e">
        <f t="shared" si="112"/>
        <v>#DIV/0!</v>
      </c>
      <c r="BY154" s="223">
        <f t="shared" si="113"/>
        <v>0</v>
      </c>
      <c r="BZ154" s="223">
        <f t="shared" si="114"/>
        <v>0</v>
      </c>
      <c r="CA154" s="226"/>
      <c r="CB154" s="175"/>
      <c r="CC154" s="191"/>
      <c r="CD154" s="192"/>
      <c r="CE154" s="193" t="e">
        <f t="shared" si="137"/>
        <v>#DIV/0!</v>
      </c>
      <c r="CF154" s="191"/>
      <c r="CG154" s="192"/>
      <c r="CH154" s="193" t="e">
        <f t="shared" si="138"/>
        <v>#DIV/0!</v>
      </c>
      <c r="CI154" s="197"/>
      <c r="CJ154" s="198"/>
      <c r="CK154" s="193" t="e">
        <f t="shared" si="139"/>
        <v>#DIV/0!</v>
      </c>
      <c r="CL154" s="195">
        <f t="shared" si="140"/>
        <v>0</v>
      </c>
      <c r="CM154" s="194">
        <f t="shared" si="141"/>
        <v>0</v>
      </c>
      <c r="CN154" s="193" t="e">
        <f t="shared" si="142"/>
        <v>#DIV/0!</v>
      </c>
      <c r="CO154" s="175"/>
      <c r="CP154" s="196">
        <f t="shared" si="143"/>
        <v>0</v>
      </c>
      <c r="CQ154" s="196">
        <f t="shared" si="144"/>
        <v>0</v>
      </c>
      <c r="CR154" s="199" t="e">
        <f t="shared" si="145"/>
        <v>#DIV/0!</v>
      </c>
      <c r="CS154" s="261">
        <f t="shared" si="115"/>
        <v>1</v>
      </c>
      <c r="CT154" s="175"/>
      <c r="CU154" s="196">
        <f t="shared" si="116"/>
        <v>0.3</v>
      </c>
      <c r="CV154" s="259"/>
      <c r="CW154" s="199">
        <f t="shared" si="117"/>
        <v>0</v>
      </c>
      <c r="CX154" s="196">
        <f t="shared" si="118"/>
        <v>0.3</v>
      </c>
      <c r="CY154" s="259"/>
      <c r="CZ154" s="199">
        <f t="shared" si="119"/>
        <v>0</v>
      </c>
      <c r="DA154" s="196">
        <f t="shared" si="120"/>
        <v>0.3</v>
      </c>
      <c r="DB154" s="259"/>
      <c r="DC154" s="199">
        <f t="shared" si="121"/>
        <v>0</v>
      </c>
      <c r="DD154" s="196">
        <f t="shared" si="122"/>
        <v>0.1</v>
      </c>
      <c r="DE154" s="259"/>
      <c r="DF154" s="199">
        <f t="shared" si="123"/>
        <v>0</v>
      </c>
      <c r="DG154" s="175"/>
      <c r="DH154" s="196">
        <f t="shared" si="124"/>
        <v>1</v>
      </c>
      <c r="DI154" s="196">
        <f t="shared" si="125"/>
        <v>0</v>
      </c>
      <c r="DJ154" s="199">
        <f t="shared" si="126"/>
        <v>0</v>
      </c>
      <c r="DK154" s="265">
        <f t="shared" si="127"/>
        <v>1</v>
      </c>
      <c r="DL154" s="244">
        <v>150</v>
      </c>
      <c r="DM154">
        <f t="shared" si="103"/>
        <v>0</v>
      </c>
    </row>
    <row r="155" spans="1:117" x14ac:dyDescent="0.3">
      <c r="A155" s="246">
        <v>151</v>
      </c>
      <c r="B155" s="91" t="s">
        <v>270</v>
      </c>
      <c r="C155" s="91" t="s">
        <v>195</v>
      </c>
      <c r="D155" s="91" t="s">
        <v>196</v>
      </c>
      <c r="E155" s="91" t="s">
        <v>536</v>
      </c>
      <c r="F155" s="91" t="s">
        <v>271</v>
      </c>
      <c r="G155" s="87" t="s">
        <v>279</v>
      </c>
      <c r="H155" s="87" t="s">
        <v>280</v>
      </c>
      <c r="I155" s="87" t="s">
        <v>285</v>
      </c>
      <c r="J155" s="87" t="s">
        <v>285</v>
      </c>
      <c r="K155" s="85" t="s">
        <v>104</v>
      </c>
      <c r="L155" s="85" t="s">
        <v>105</v>
      </c>
      <c r="M155" s="87" t="s">
        <v>106</v>
      </c>
      <c r="N155" s="87" t="s">
        <v>275</v>
      </c>
      <c r="O155" s="87" t="s">
        <v>108</v>
      </c>
      <c r="P155" s="87" t="s">
        <v>552</v>
      </c>
      <c r="Q155" s="87" t="s">
        <v>110</v>
      </c>
      <c r="R155" s="130">
        <v>12</v>
      </c>
      <c r="S155" s="88" t="s">
        <v>111</v>
      </c>
      <c r="T155" s="81">
        <v>3</v>
      </c>
      <c r="U155" s="81">
        <v>0</v>
      </c>
      <c r="V155" s="25">
        <f t="shared" si="129"/>
        <v>0</v>
      </c>
      <c r="W155" s="81">
        <v>3</v>
      </c>
      <c r="X155" s="81">
        <v>0</v>
      </c>
      <c r="Y155" s="25">
        <f t="shared" si="1"/>
        <v>0</v>
      </c>
      <c r="Z155" s="81">
        <v>3</v>
      </c>
      <c r="AA155" s="81"/>
      <c r="AB155" s="25">
        <f t="shared" si="2"/>
        <v>0</v>
      </c>
      <c r="AC155" s="81">
        <v>3</v>
      </c>
      <c r="AD155" s="81"/>
      <c r="AE155" s="25">
        <f t="shared" si="3"/>
        <v>0</v>
      </c>
      <c r="AF155" s="137">
        <f t="shared" si="132"/>
        <v>12</v>
      </c>
      <c r="AG155" s="137">
        <f t="shared" si="133"/>
        <v>0</v>
      </c>
      <c r="AH155" s="128">
        <f t="shared" si="130"/>
        <v>0</v>
      </c>
      <c r="AI155" s="90">
        <v>46054</v>
      </c>
      <c r="AJ155" s="90">
        <v>46477</v>
      </c>
      <c r="AK155" s="91" t="s">
        <v>112</v>
      </c>
      <c r="AL155" s="91" t="s">
        <v>113</v>
      </c>
      <c r="AM155" s="92" t="s">
        <v>114</v>
      </c>
      <c r="AN155" s="93">
        <v>40000000</v>
      </c>
      <c r="AO155" s="93">
        <v>40000000</v>
      </c>
      <c r="AP155" s="93">
        <v>40000000</v>
      </c>
      <c r="AQ155" s="94">
        <v>0</v>
      </c>
      <c r="AR155" s="91"/>
      <c r="AS155" s="91" t="s">
        <v>112</v>
      </c>
      <c r="AT155" s="150" t="s">
        <v>509</v>
      </c>
      <c r="AU155" s="165" t="s">
        <v>2264</v>
      </c>
      <c r="AV155" s="232" t="s">
        <v>2234</v>
      </c>
      <c r="BA155" s="255"/>
      <c r="BB155" s="256"/>
      <c r="BC155" s="223" t="e">
        <f t="shared" si="104"/>
        <v>#DIV/0!</v>
      </c>
      <c r="BD155" s="255"/>
      <c r="BE155" s="256"/>
      <c r="BF155" s="223" t="e">
        <f t="shared" si="105"/>
        <v>#DIV/0!</v>
      </c>
      <c r="BG155" s="255"/>
      <c r="BH155" s="256"/>
      <c r="BI155" s="223" t="e">
        <f t="shared" si="106"/>
        <v>#DIV/0!</v>
      </c>
      <c r="BJ155" s="224">
        <f t="shared" si="107"/>
        <v>0</v>
      </c>
      <c r="BK155" s="225">
        <f t="shared" si="108"/>
        <v>0</v>
      </c>
      <c r="BL155" s="223" t="e">
        <f t="shared" si="109"/>
        <v>#DIV/0!</v>
      </c>
      <c r="BM155" s="255"/>
      <c r="BN155" s="256"/>
      <c r="BO155" s="223" t="e">
        <f t="shared" si="134"/>
        <v>#DIV/0!</v>
      </c>
      <c r="BP155" s="255"/>
      <c r="BQ155" s="256"/>
      <c r="BR155" s="223" t="e">
        <f t="shared" si="135"/>
        <v>#DIV/0!</v>
      </c>
      <c r="BS155" s="255"/>
      <c r="BT155" s="255"/>
      <c r="BU155" s="223" t="e">
        <f t="shared" si="136"/>
        <v>#DIV/0!</v>
      </c>
      <c r="BV155" s="224">
        <f t="shared" si="110"/>
        <v>0</v>
      </c>
      <c r="BW155" s="224">
        <f t="shared" si="111"/>
        <v>0</v>
      </c>
      <c r="BX155" s="223" t="e">
        <f t="shared" si="112"/>
        <v>#DIV/0!</v>
      </c>
      <c r="BY155" s="223">
        <f t="shared" si="113"/>
        <v>0</v>
      </c>
      <c r="BZ155" s="223">
        <f t="shared" si="114"/>
        <v>0</v>
      </c>
      <c r="CA155" s="226"/>
      <c r="CB155" s="175"/>
      <c r="CC155" s="191"/>
      <c r="CD155" s="192"/>
      <c r="CE155" s="193" t="e">
        <f t="shared" si="137"/>
        <v>#DIV/0!</v>
      </c>
      <c r="CF155" s="191"/>
      <c r="CG155" s="192"/>
      <c r="CH155" s="193" t="e">
        <f t="shared" si="138"/>
        <v>#DIV/0!</v>
      </c>
      <c r="CI155" s="197"/>
      <c r="CJ155" s="198"/>
      <c r="CK155" s="193" t="e">
        <f t="shared" si="139"/>
        <v>#DIV/0!</v>
      </c>
      <c r="CL155" s="195">
        <f t="shared" si="140"/>
        <v>0</v>
      </c>
      <c r="CM155" s="194">
        <f t="shared" si="141"/>
        <v>0</v>
      </c>
      <c r="CN155" s="193" t="e">
        <f t="shared" si="142"/>
        <v>#DIV/0!</v>
      </c>
      <c r="CO155" s="175"/>
      <c r="CP155" s="196">
        <f t="shared" si="143"/>
        <v>0</v>
      </c>
      <c r="CQ155" s="196">
        <f t="shared" si="144"/>
        <v>0</v>
      </c>
      <c r="CR155" s="199" t="e">
        <f t="shared" si="145"/>
        <v>#DIV/0!</v>
      </c>
      <c r="CS155" s="261">
        <f t="shared" si="115"/>
        <v>12</v>
      </c>
      <c r="CT155" s="175"/>
      <c r="CU155" s="196">
        <f t="shared" si="116"/>
        <v>3.5999999999999996</v>
      </c>
      <c r="CV155" s="259"/>
      <c r="CW155" s="199">
        <f t="shared" si="117"/>
        <v>0</v>
      </c>
      <c r="CX155" s="196">
        <f t="shared" si="118"/>
        <v>3.5999999999999996</v>
      </c>
      <c r="CY155" s="259"/>
      <c r="CZ155" s="199">
        <f t="shared" si="119"/>
        <v>0</v>
      </c>
      <c r="DA155" s="196">
        <f t="shared" si="120"/>
        <v>3.5999999999999996</v>
      </c>
      <c r="DB155" s="259"/>
      <c r="DC155" s="199">
        <f t="shared" si="121"/>
        <v>0</v>
      </c>
      <c r="DD155" s="196">
        <f t="shared" si="122"/>
        <v>1.2000000000000002</v>
      </c>
      <c r="DE155" s="259"/>
      <c r="DF155" s="199">
        <f t="shared" si="123"/>
        <v>0</v>
      </c>
      <c r="DG155" s="175"/>
      <c r="DH155" s="196">
        <f t="shared" si="124"/>
        <v>12</v>
      </c>
      <c r="DI155" s="196">
        <f t="shared" si="125"/>
        <v>0</v>
      </c>
      <c r="DJ155" s="199">
        <f t="shared" si="126"/>
        <v>0</v>
      </c>
      <c r="DK155" s="265">
        <f t="shared" si="127"/>
        <v>12</v>
      </c>
      <c r="DL155" s="244">
        <v>151</v>
      </c>
      <c r="DM155">
        <f t="shared" si="103"/>
        <v>0</v>
      </c>
    </row>
    <row r="156" spans="1:117" x14ac:dyDescent="0.3">
      <c r="A156" s="246">
        <v>152</v>
      </c>
      <c r="B156" s="91" t="s">
        <v>270</v>
      </c>
      <c r="C156" s="91" t="s">
        <v>118</v>
      </c>
      <c r="D156" s="91" t="s">
        <v>119</v>
      </c>
      <c r="E156" s="91" t="s">
        <v>536</v>
      </c>
      <c r="F156" s="91" t="s">
        <v>548</v>
      </c>
      <c r="G156" s="87" t="s">
        <v>549</v>
      </c>
      <c r="H156" s="87" t="s">
        <v>550</v>
      </c>
      <c r="I156" s="87" t="s">
        <v>103</v>
      </c>
      <c r="J156" s="87" t="s">
        <v>103</v>
      </c>
      <c r="K156" s="85" t="s">
        <v>104</v>
      </c>
      <c r="L156" s="85" t="s">
        <v>105</v>
      </c>
      <c r="M156" s="87" t="s">
        <v>106</v>
      </c>
      <c r="N156" s="87" t="s">
        <v>107</v>
      </c>
      <c r="O156" s="87" t="s">
        <v>108</v>
      </c>
      <c r="P156" s="241" t="s">
        <v>553</v>
      </c>
      <c r="Q156" s="87" t="s">
        <v>110</v>
      </c>
      <c r="R156" s="130">
        <v>4</v>
      </c>
      <c r="S156" s="88" t="s">
        <v>111</v>
      </c>
      <c r="T156" s="81">
        <v>0</v>
      </c>
      <c r="U156" s="81">
        <v>0</v>
      </c>
      <c r="V156" s="25" t="e">
        <f t="shared" si="129"/>
        <v>#DIV/0!</v>
      </c>
      <c r="W156" s="81">
        <v>0</v>
      </c>
      <c r="X156" s="81">
        <v>4</v>
      </c>
      <c r="Y156" s="25" t="e">
        <f t="shared" si="1"/>
        <v>#DIV/0!</v>
      </c>
      <c r="Z156" s="81">
        <v>2</v>
      </c>
      <c r="AA156" s="81"/>
      <c r="AB156" s="25">
        <f t="shared" si="2"/>
        <v>0</v>
      </c>
      <c r="AC156" s="81">
        <v>2</v>
      </c>
      <c r="AD156" s="81"/>
      <c r="AE156" s="25">
        <f t="shared" si="3"/>
        <v>0</v>
      </c>
      <c r="AF156" s="137">
        <f t="shared" si="132"/>
        <v>4</v>
      </c>
      <c r="AG156" s="137">
        <f t="shared" si="133"/>
        <v>4</v>
      </c>
      <c r="AH156" s="128" t="e">
        <f t="shared" si="130"/>
        <v>#DIV/0!</v>
      </c>
      <c r="AI156" s="90">
        <v>46113</v>
      </c>
      <c r="AJ156" s="90">
        <v>46477</v>
      </c>
      <c r="AK156" s="91" t="s">
        <v>112</v>
      </c>
      <c r="AL156" s="91" t="s">
        <v>113</v>
      </c>
      <c r="AM156" s="92" t="s">
        <v>114</v>
      </c>
      <c r="AN156" s="93">
        <v>40000000</v>
      </c>
      <c r="AO156" s="93">
        <v>40000000</v>
      </c>
      <c r="AP156" s="93">
        <v>40000000</v>
      </c>
      <c r="AQ156" s="94">
        <v>0</v>
      </c>
      <c r="AR156" s="91" t="s">
        <v>115</v>
      </c>
      <c r="AS156" s="91" t="s">
        <v>112</v>
      </c>
      <c r="AT156" s="150" t="s">
        <v>509</v>
      </c>
      <c r="AU156" s="165" t="s">
        <v>2264</v>
      </c>
      <c r="AV156" s="232" t="s">
        <v>2234</v>
      </c>
      <c r="BA156" s="255"/>
      <c r="BB156" s="256"/>
      <c r="BC156" s="223" t="e">
        <f t="shared" si="104"/>
        <v>#DIV/0!</v>
      </c>
      <c r="BD156" s="255"/>
      <c r="BE156" s="256"/>
      <c r="BF156" s="223" t="e">
        <f t="shared" si="105"/>
        <v>#DIV/0!</v>
      </c>
      <c r="BG156" s="255"/>
      <c r="BH156" s="256"/>
      <c r="BI156" s="223" t="e">
        <f t="shared" si="106"/>
        <v>#DIV/0!</v>
      </c>
      <c r="BJ156" s="224">
        <f t="shared" si="107"/>
        <v>0</v>
      </c>
      <c r="BK156" s="225">
        <f t="shared" si="108"/>
        <v>0</v>
      </c>
      <c r="BL156" s="223" t="e">
        <f t="shared" si="109"/>
        <v>#DIV/0!</v>
      </c>
      <c r="BM156" s="255"/>
      <c r="BN156" s="256"/>
      <c r="BO156" s="223" t="e">
        <f t="shared" si="134"/>
        <v>#DIV/0!</v>
      </c>
      <c r="BP156" s="255"/>
      <c r="BQ156" s="256"/>
      <c r="BR156" s="223" t="e">
        <f t="shared" si="135"/>
        <v>#DIV/0!</v>
      </c>
      <c r="BS156" s="255"/>
      <c r="BT156" s="255"/>
      <c r="BU156" s="223" t="e">
        <f t="shared" si="136"/>
        <v>#DIV/0!</v>
      </c>
      <c r="BV156" s="224">
        <f t="shared" si="110"/>
        <v>0</v>
      </c>
      <c r="BW156" s="224">
        <f t="shared" si="111"/>
        <v>0</v>
      </c>
      <c r="BX156" s="223" t="e">
        <f t="shared" si="112"/>
        <v>#DIV/0!</v>
      </c>
      <c r="BY156" s="223">
        <f t="shared" si="113"/>
        <v>0</v>
      </c>
      <c r="BZ156" s="223">
        <f t="shared" si="114"/>
        <v>0</v>
      </c>
      <c r="CA156" s="226"/>
      <c r="CB156" s="175"/>
      <c r="CC156" s="191"/>
      <c r="CD156" s="192"/>
      <c r="CE156" s="193" t="e">
        <f t="shared" si="137"/>
        <v>#DIV/0!</v>
      </c>
      <c r="CF156" s="191"/>
      <c r="CG156" s="192"/>
      <c r="CH156" s="193" t="e">
        <f t="shared" si="138"/>
        <v>#DIV/0!</v>
      </c>
      <c r="CI156" s="197"/>
      <c r="CJ156" s="198"/>
      <c r="CK156" s="193" t="e">
        <f t="shared" si="139"/>
        <v>#DIV/0!</v>
      </c>
      <c r="CL156" s="195">
        <f t="shared" si="140"/>
        <v>0</v>
      </c>
      <c r="CM156" s="194">
        <f t="shared" si="141"/>
        <v>0</v>
      </c>
      <c r="CN156" s="193" t="e">
        <f t="shared" si="142"/>
        <v>#DIV/0!</v>
      </c>
      <c r="CO156" s="175"/>
      <c r="CP156" s="196">
        <f t="shared" si="143"/>
        <v>0</v>
      </c>
      <c r="CQ156" s="196">
        <f t="shared" si="144"/>
        <v>0</v>
      </c>
      <c r="CR156" s="199" t="e">
        <f t="shared" si="145"/>
        <v>#DIV/0!</v>
      </c>
      <c r="CS156" s="261">
        <f t="shared" si="115"/>
        <v>4</v>
      </c>
      <c r="CT156" s="175"/>
      <c r="CU156" s="196">
        <f t="shared" si="116"/>
        <v>1.2</v>
      </c>
      <c r="CV156" s="259"/>
      <c r="CW156" s="199">
        <f t="shared" si="117"/>
        <v>0</v>
      </c>
      <c r="CX156" s="196">
        <f t="shared" si="118"/>
        <v>1.2</v>
      </c>
      <c r="CY156" s="259"/>
      <c r="CZ156" s="199">
        <f t="shared" si="119"/>
        <v>0</v>
      </c>
      <c r="DA156" s="196">
        <f t="shared" si="120"/>
        <v>1.2</v>
      </c>
      <c r="DB156" s="259"/>
      <c r="DC156" s="199">
        <f t="shared" si="121"/>
        <v>0</v>
      </c>
      <c r="DD156" s="196">
        <f t="shared" si="122"/>
        <v>0.4</v>
      </c>
      <c r="DE156" s="259"/>
      <c r="DF156" s="199">
        <f t="shared" si="123"/>
        <v>0</v>
      </c>
      <c r="DG156" s="175"/>
      <c r="DH156" s="196">
        <f t="shared" si="124"/>
        <v>4</v>
      </c>
      <c r="DI156" s="196">
        <f t="shared" si="125"/>
        <v>0</v>
      </c>
      <c r="DJ156" s="199">
        <f t="shared" si="126"/>
        <v>0</v>
      </c>
      <c r="DK156" s="265">
        <f t="shared" si="127"/>
        <v>4</v>
      </c>
      <c r="DL156" s="244">
        <v>152</v>
      </c>
      <c r="DM156">
        <f t="shared" si="103"/>
        <v>0</v>
      </c>
    </row>
    <row r="157" spans="1:117" x14ac:dyDescent="0.3">
      <c r="A157" s="246">
        <v>153</v>
      </c>
      <c r="B157" s="91" t="s">
        <v>270</v>
      </c>
      <c r="C157" s="91" t="s">
        <v>195</v>
      </c>
      <c r="D157" s="91" t="s">
        <v>196</v>
      </c>
      <c r="E157" s="91" t="s">
        <v>536</v>
      </c>
      <c r="F157" s="91" t="s">
        <v>271</v>
      </c>
      <c r="G157" s="87" t="s">
        <v>279</v>
      </c>
      <c r="H157" s="87" t="s">
        <v>554</v>
      </c>
      <c r="I157" s="87" t="s">
        <v>103</v>
      </c>
      <c r="J157" s="87" t="s">
        <v>103</v>
      </c>
      <c r="K157" s="85" t="s">
        <v>104</v>
      </c>
      <c r="L157" s="85" t="s">
        <v>105</v>
      </c>
      <c r="M157" s="87" t="s">
        <v>106</v>
      </c>
      <c r="N157" s="87" t="s">
        <v>107</v>
      </c>
      <c r="O157" s="87" t="s">
        <v>108</v>
      </c>
      <c r="P157" s="87" t="s">
        <v>555</v>
      </c>
      <c r="Q157" s="87" t="s">
        <v>110</v>
      </c>
      <c r="R157" s="130">
        <v>2</v>
      </c>
      <c r="S157" s="88" t="s">
        <v>111</v>
      </c>
      <c r="T157" s="81">
        <v>0</v>
      </c>
      <c r="U157" s="81">
        <v>0</v>
      </c>
      <c r="V157" s="25" t="e">
        <f t="shared" si="129"/>
        <v>#DIV/0!</v>
      </c>
      <c r="W157" s="81">
        <v>0</v>
      </c>
      <c r="X157" s="81">
        <v>0</v>
      </c>
      <c r="Y157" s="25" t="e">
        <f t="shared" si="1"/>
        <v>#DIV/0!</v>
      </c>
      <c r="Z157" s="81">
        <v>1</v>
      </c>
      <c r="AA157" s="81"/>
      <c r="AB157" s="25">
        <f t="shared" si="2"/>
        <v>0</v>
      </c>
      <c r="AC157" s="81">
        <v>1</v>
      </c>
      <c r="AD157" s="81"/>
      <c r="AE157" s="25">
        <f t="shared" si="3"/>
        <v>0</v>
      </c>
      <c r="AF157" s="137">
        <f t="shared" si="132"/>
        <v>2</v>
      </c>
      <c r="AG157" s="137">
        <f t="shared" si="133"/>
        <v>0</v>
      </c>
      <c r="AH157" s="128" t="e">
        <f t="shared" si="130"/>
        <v>#DIV/0!</v>
      </c>
      <c r="AI157" s="90">
        <v>46113</v>
      </c>
      <c r="AJ157" s="90">
        <v>46477</v>
      </c>
      <c r="AK157" s="91" t="s">
        <v>112</v>
      </c>
      <c r="AL157" s="91" t="s">
        <v>113</v>
      </c>
      <c r="AM157" s="92" t="s">
        <v>114</v>
      </c>
      <c r="AN157" s="93">
        <v>40000000</v>
      </c>
      <c r="AO157" s="93">
        <v>40000000</v>
      </c>
      <c r="AP157" s="93">
        <v>40000000</v>
      </c>
      <c r="AQ157" s="94">
        <v>0</v>
      </c>
      <c r="AR157" s="91" t="s">
        <v>115</v>
      </c>
      <c r="AS157" s="91" t="s">
        <v>112</v>
      </c>
      <c r="AT157" s="150" t="s">
        <v>509</v>
      </c>
      <c r="AU157" s="165" t="s">
        <v>2264</v>
      </c>
      <c r="AV157" s="232" t="s">
        <v>2234</v>
      </c>
      <c r="BA157" s="255"/>
      <c r="BB157" s="256"/>
      <c r="BC157" s="223" t="e">
        <f t="shared" si="104"/>
        <v>#DIV/0!</v>
      </c>
      <c r="BD157" s="255"/>
      <c r="BE157" s="256"/>
      <c r="BF157" s="223" t="e">
        <f t="shared" si="105"/>
        <v>#DIV/0!</v>
      </c>
      <c r="BG157" s="255"/>
      <c r="BH157" s="256"/>
      <c r="BI157" s="223" t="e">
        <f t="shared" si="106"/>
        <v>#DIV/0!</v>
      </c>
      <c r="BJ157" s="224">
        <f t="shared" si="107"/>
        <v>0</v>
      </c>
      <c r="BK157" s="225">
        <f t="shared" si="108"/>
        <v>0</v>
      </c>
      <c r="BL157" s="223" t="e">
        <f t="shared" si="109"/>
        <v>#DIV/0!</v>
      </c>
      <c r="BM157" s="255"/>
      <c r="BN157" s="256"/>
      <c r="BO157" s="223" t="e">
        <f t="shared" si="134"/>
        <v>#DIV/0!</v>
      </c>
      <c r="BP157" s="255"/>
      <c r="BQ157" s="256"/>
      <c r="BR157" s="223" t="e">
        <f t="shared" si="135"/>
        <v>#DIV/0!</v>
      </c>
      <c r="BS157" s="255"/>
      <c r="BT157" s="255"/>
      <c r="BU157" s="223" t="e">
        <f t="shared" si="136"/>
        <v>#DIV/0!</v>
      </c>
      <c r="BV157" s="224">
        <f t="shared" si="110"/>
        <v>0</v>
      </c>
      <c r="BW157" s="224">
        <f t="shared" si="111"/>
        <v>0</v>
      </c>
      <c r="BX157" s="223" t="e">
        <f t="shared" si="112"/>
        <v>#DIV/0!</v>
      </c>
      <c r="BY157" s="223">
        <f t="shared" si="113"/>
        <v>0</v>
      </c>
      <c r="BZ157" s="223">
        <f t="shared" si="114"/>
        <v>0</v>
      </c>
      <c r="CA157" s="226"/>
      <c r="CB157" s="175"/>
      <c r="CC157" s="191"/>
      <c r="CD157" s="192"/>
      <c r="CE157" s="193" t="e">
        <f t="shared" si="137"/>
        <v>#DIV/0!</v>
      </c>
      <c r="CF157" s="191"/>
      <c r="CG157" s="192"/>
      <c r="CH157" s="193" t="e">
        <f t="shared" si="138"/>
        <v>#DIV/0!</v>
      </c>
      <c r="CI157" s="197"/>
      <c r="CJ157" s="198"/>
      <c r="CK157" s="193" t="e">
        <f t="shared" si="139"/>
        <v>#DIV/0!</v>
      </c>
      <c r="CL157" s="195">
        <f t="shared" si="140"/>
        <v>0</v>
      </c>
      <c r="CM157" s="194">
        <f t="shared" si="141"/>
        <v>0</v>
      </c>
      <c r="CN157" s="193" t="e">
        <f t="shared" si="142"/>
        <v>#DIV/0!</v>
      </c>
      <c r="CO157" s="175"/>
      <c r="CP157" s="196">
        <f t="shared" si="143"/>
        <v>0</v>
      </c>
      <c r="CQ157" s="196">
        <f t="shared" si="144"/>
        <v>0</v>
      </c>
      <c r="CR157" s="199" t="e">
        <f t="shared" si="145"/>
        <v>#DIV/0!</v>
      </c>
      <c r="CS157" s="261">
        <f t="shared" si="115"/>
        <v>2</v>
      </c>
      <c r="CT157" s="175"/>
      <c r="CU157" s="196">
        <f t="shared" si="116"/>
        <v>0.6</v>
      </c>
      <c r="CV157" s="259"/>
      <c r="CW157" s="199">
        <f t="shared" si="117"/>
        <v>0</v>
      </c>
      <c r="CX157" s="196">
        <f t="shared" si="118"/>
        <v>0.6</v>
      </c>
      <c r="CY157" s="259"/>
      <c r="CZ157" s="199">
        <f t="shared" si="119"/>
        <v>0</v>
      </c>
      <c r="DA157" s="196">
        <f t="shared" si="120"/>
        <v>0.6</v>
      </c>
      <c r="DB157" s="259"/>
      <c r="DC157" s="199">
        <f t="shared" si="121"/>
        <v>0</v>
      </c>
      <c r="DD157" s="196">
        <f t="shared" si="122"/>
        <v>0.2</v>
      </c>
      <c r="DE157" s="259"/>
      <c r="DF157" s="199">
        <f t="shared" si="123"/>
        <v>0</v>
      </c>
      <c r="DG157" s="175"/>
      <c r="DH157" s="196">
        <f t="shared" si="124"/>
        <v>2</v>
      </c>
      <c r="DI157" s="196">
        <f t="shared" si="125"/>
        <v>0</v>
      </c>
      <c r="DJ157" s="199">
        <f t="shared" si="126"/>
        <v>0</v>
      </c>
      <c r="DK157" s="265">
        <f t="shared" si="127"/>
        <v>2</v>
      </c>
      <c r="DL157" s="244">
        <v>153</v>
      </c>
      <c r="DM157">
        <f t="shared" si="103"/>
        <v>0</v>
      </c>
    </row>
    <row r="158" spans="1:117" x14ac:dyDescent="0.3">
      <c r="A158" s="246">
        <v>154</v>
      </c>
      <c r="B158" s="91" t="s">
        <v>270</v>
      </c>
      <c r="C158" s="91" t="s">
        <v>195</v>
      </c>
      <c r="D158" s="91" t="s">
        <v>196</v>
      </c>
      <c r="E158" s="91" t="s">
        <v>536</v>
      </c>
      <c r="F158" s="91" t="s">
        <v>271</v>
      </c>
      <c r="G158" s="87" t="s">
        <v>279</v>
      </c>
      <c r="H158" s="87" t="s">
        <v>554</v>
      </c>
      <c r="I158" s="87" t="s">
        <v>103</v>
      </c>
      <c r="J158" s="87" t="s">
        <v>103</v>
      </c>
      <c r="K158" s="85" t="s">
        <v>104</v>
      </c>
      <c r="L158" s="85" t="s">
        <v>105</v>
      </c>
      <c r="M158" s="87" t="s">
        <v>106</v>
      </c>
      <c r="N158" s="87" t="s">
        <v>107</v>
      </c>
      <c r="O158" s="87" t="s">
        <v>108</v>
      </c>
      <c r="P158" s="87" t="s">
        <v>556</v>
      </c>
      <c r="Q158" s="87" t="s">
        <v>110</v>
      </c>
      <c r="R158" s="130">
        <v>2</v>
      </c>
      <c r="S158" s="88" t="s">
        <v>111</v>
      </c>
      <c r="T158" s="81">
        <v>0</v>
      </c>
      <c r="U158" s="81">
        <v>0</v>
      </c>
      <c r="V158" s="25">
        <v>0</v>
      </c>
      <c r="W158" s="81">
        <v>0</v>
      </c>
      <c r="X158" s="81">
        <v>0</v>
      </c>
      <c r="Y158" s="25" t="e">
        <f t="shared" si="1"/>
        <v>#DIV/0!</v>
      </c>
      <c r="Z158" s="81">
        <v>0</v>
      </c>
      <c r="AA158" s="81"/>
      <c r="AB158" s="25" t="e">
        <f t="shared" si="2"/>
        <v>#DIV/0!</v>
      </c>
      <c r="AC158" s="81">
        <v>1</v>
      </c>
      <c r="AD158" s="81"/>
      <c r="AE158" s="25">
        <f t="shared" si="3"/>
        <v>0</v>
      </c>
      <c r="AF158" s="137">
        <f t="shared" si="132"/>
        <v>2</v>
      </c>
      <c r="AG158" s="137">
        <f t="shared" si="133"/>
        <v>0</v>
      </c>
      <c r="AH158" s="128" t="e">
        <f t="shared" si="130"/>
        <v>#DIV/0!</v>
      </c>
      <c r="AI158" s="90">
        <v>46054</v>
      </c>
      <c r="AJ158" s="90">
        <v>46477</v>
      </c>
      <c r="AK158" s="91" t="s">
        <v>112</v>
      </c>
      <c r="AL158" s="91" t="s">
        <v>113</v>
      </c>
      <c r="AM158" s="92" t="s">
        <v>114</v>
      </c>
      <c r="AN158" s="93">
        <v>40000000</v>
      </c>
      <c r="AO158" s="93">
        <v>40000000</v>
      </c>
      <c r="AP158" s="93">
        <v>40000000</v>
      </c>
      <c r="AQ158" s="94">
        <v>0</v>
      </c>
      <c r="AR158" s="91" t="s">
        <v>159</v>
      </c>
      <c r="AS158" s="91" t="s">
        <v>112</v>
      </c>
      <c r="AT158" s="150" t="s">
        <v>509</v>
      </c>
      <c r="AU158" s="165" t="s">
        <v>2264</v>
      </c>
      <c r="AV158" s="232" t="s">
        <v>2234</v>
      </c>
      <c r="BA158" s="255"/>
      <c r="BB158" s="256"/>
      <c r="BC158" s="223" t="e">
        <f t="shared" si="104"/>
        <v>#DIV/0!</v>
      </c>
      <c r="BD158" s="255"/>
      <c r="BE158" s="256"/>
      <c r="BF158" s="223" t="e">
        <f t="shared" si="105"/>
        <v>#DIV/0!</v>
      </c>
      <c r="BG158" s="255"/>
      <c r="BH158" s="256"/>
      <c r="BI158" s="223" t="e">
        <f t="shared" si="106"/>
        <v>#DIV/0!</v>
      </c>
      <c r="BJ158" s="224">
        <f t="shared" si="107"/>
        <v>0</v>
      </c>
      <c r="BK158" s="225">
        <f t="shared" si="108"/>
        <v>0</v>
      </c>
      <c r="BL158" s="223" t="e">
        <f t="shared" si="109"/>
        <v>#DIV/0!</v>
      </c>
      <c r="BM158" s="255"/>
      <c r="BN158" s="256"/>
      <c r="BO158" s="223" t="e">
        <f t="shared" si="134"/>
        <v>#DIV/0!</v>
      </c>
      <c r="BP158" s="255"/>
      <c r="BQ158" s="256"/>
      <c r="BR158" s="223" t="e">
        <f t="shared" si="135"/>
        <v>#DIV/0!</v>
      </c>
      <c r="BS158" s="255"/>
      <c r="BT158" s="255"/>
      <c r="BU158" s="223" t="e">
        <f t="shared" si="136"/>
        <v>#DIV/0!</v>
      </c>
      <c r="BV158" s="224">
        <f t="shared" si="110"/>
        <v>0</v>
      </c>
      <c r="BW158" s="224">
        <f t="shared" si="111"/>
        <v>0</v>
      </c>
      <c r="BX158" s="223" t="e">
        <f t="shared" si="112"/>
        <v>#DIV/0!</v>
      </c>
      <c r="BY158" s="223">
        <f t="shared" si="113"/>
        <v>0</v>
      </c>
      <c r="BZ158" s="223">
        <f t="shared" si="114"/>
        <v>0</v>
      </c>
      <c r="CA158" s="226"/>
      <c r="CB158" s="175"/>
      <c r="CC158" s="191"/>
      <c r="CD158" s="192"/>
      <c r="CE158" s="193" t="e">
        <f t="shared" si="137"/>
        <v>#DIV/0!</v>
      </c>
      <c r="CF158" s="191"/>
      <c r="CG158" s="192"/>
      <c r="CH158" s="193" t="e">
        <f t="shared" si="138"/>
        <v>#DIV/0!</v>
      </c>
      <c r="CI158" s="197"/>
      <c r="CJ158" s="198"/>
      <c r="CK158" s="193" t="e">
        <f t="shared" si="139"/>
        <v>#DIV/0!</v>
      </c>
      <c r="CL158" s="195">
        <f t="shared" si="140"/>
        <v>0</v>
      </c>
      <c r="CM158" s="194">
        <f t="shared" si="141"/>
        <v>0</v>
      </c>
      <c r="CN158" s="193" t="e">
        <f t="shared" si="142"/>
        <v>#DIV/0!</v>
      </c>
      <c r="CO158" s="175"/>
      <c r="CP158" s="196">
        <f t="shared" si="143"/>
        <v>0</v>
      </c>
      <c r="CQ158" s="196">
        <f t="shared" si="144"/>
        <v>0</v>
      </c>
      <c r="CR158" s="199" t="e">
        <f t="shared" si="145"/>
        <v>#DIV/0!</v>
      </c>
      <c r="CS158" s="261">
        <f t="shared" si="115"/>
        <v>2</v>
      </c>
      <c r="CT158" s="175"/>
      <c r="CU158" s="196">
        <f t="shared" si="116"/>
        <v>0.6</v>
      </c>
      <c r="CV158" s="259"/>
      <c r="CW158" s="199">
        <f t="shared" si="117"/>
        <v>0</v>
      </c>
      <c r="CX158" s="196">
        <f t="shared" si="118"/>
        <v>0.6</v>
      </c>
      <c r="CY158" s="259"/>
      <c r="CZ158" s="199">
        <f t="shared" si="119"/>
        <v>0</v>
      </c>
      <c r="DA158" s="196">
        <f t="shared" si="120"/>
        <v>0.6</v>
      </c>
      <c r="DB158" s="259"/>
      <c r="DC158" s="199">
        <f t="shared" si="121"/>
        <v>0</v>
      </c>
      <c r="DD158" s="196">
        <f t="shared" si="122"/>
        <v>0.2</v>
      </c>
      <c r="DE158" s="259"/>
      <c r="DF158" s="199">
        <f t="shared" si="123"/>
        <v>0</v>
      </c>
      <c r="DG158" s="175"/>
      <c r="DH158" s="196">
        <f t="shared" si="124"/>
        <v>2</v>
      </c>
      <c r="DI158" s="196">
        <f t="shared" si="125"/>
        <v>0</v>
      </c>
      <c r="DJ158" s="199">
        <f t="shared" si="126"/>
        <v>0</v>
      </c>
      <c r="DK158" s="265">
        <f t="shared" si="127"/>
        <v>2</v>
      </c>
      <c r="DL158" s="244">
        <v>154</v>
      </c>
      <c r="DM158">
        <f t="shared" si="103"/>
        <v>0</v>
      </c>
    </row>
    <row r="159" spans="1:117" x14ac:dyDescent="0.3">
      <c r="A159" s="246">
        <v>155</v>
      </c>
      <c r="B159" s="91" t="s">
        <v>270</v>
      </c>
      <c r="C159" s="91" t="s">
        <v>195</v>
      </c>
      <c r="D159" s="91" t="s">
        <v>196</v>
      </c>
      <c r="E159" s="91" t="s">
        <v>536</v>
      </c>
      <c r="F159" s="91" t="s">
        <v>271</v>
      </c>
      <c r="G159" s="87" t="s">
        <v>279</v>
      </c>
      <c r="H159" s="87" t="s">
        <v>554</v>
      </c>
      <c r="I159" s="87" t="s">
        <v>103</v>
      </c>
      <c r="J159" s="87" t="s">
        <v>103</v>
      </c>
      <c r="K159" s="85" t="s">
        <v>104</v>
      </c>
      <c r="L159" s="85" t="s">
        <v>105</v>
      </c>
      <c r="M159" s="87" t="s">
        <v>106</v>
      </c>
      <c r="N159" s="87" t="s">
        <v>107</v>
      </c>
      <c r="O159" s="87" t="s">
        <v>108</v>
      </c>
      <c r="P159" s="87" t="s">
        <v>557</v>
      </c>
      <c r="Q159" s="87" t="s">
        <v>110</v>
      </c>
      <c r="R159" s="130">
        <v>2</v>
      </c>
      <c r="S159" s="88" t="s">
        <v>111</v>
      </c>
      <c r="T159" s="81">
        <v>0</v>
      </c>
      <c r="U159" s="81">
        <v>0</v>
      </c>
      <c r="V159" s="25" t="e">
        <f t="shared" ref="V159:V163" si="146">U159/T159*100</f>
        <v>#DIV/0!</v>
      </c>
      <c r="W159" s="81">
        <v>0</v>
      </c>
      <c r="X159" s="81">
        <v>0</v>
      </c>
      <c r="Y159" s="25" t="e">
        <f t="shared" si="1"/>
        <v>#DIV/0!</v>
      </c>
      <c r="Z159" s="81">
        <v>1</v>
      </c>
      <c r="AA159" s="81"/>
      <c r="AB159" s="25">
        <f t="shared" si="2"/>
        <v>0</v>
      </c>
      <c r="AC159" s="81">
        <v>1</v>
      </c>
      <c r="AD159" s="81"/>
      <c r="AE159" s="25">
        <f t="shared" si="3"/>
        <v>0</v>
      </c>
      <c r="AF159" s="137">
        <f t="shared" si="132"/>
        <v>2</v>
      </c>
      <c r="AG159" s="137">
        <f t="shared" si="133"/>
        <v>0</v>
      </c>
      <c r="AH159" s="128" t="e">
        <f t="shared" si="130"/>
        <v>#DIV/0!</v>
      </c>
      <c r="AI159" s="90">
        <v>46113</v>
      </c>
      <c r="AJ159" s="90">
        <v>46477</v>
      </c>
      <c r="AK159" s="91" t="s">
        <v>112</v>
      </c>
      <c r="AL159" s="91" t="s">
        <v>113</v>
      </c>
      <c r="AM159" s="92" t="s">
        <v>114</v>
      </c>
      <c r="AN159" s="93">
        <v>40000000</v>
      </c>
      <c r="AO159" s="93">
        <v>40000000</v>
      </c>
      <c r="AP159" s="93">
        <v>40000000</v>
      </c>
      <c r="AQ159" s="94">
        <v>0</v>
      </c>
      <c r="AR159" s="91" t="s">
        <v>558</v>
      </c>
      <c r="AS159" s="91" t="s">
        <v>112</v>
      </c>
      <c r="AT159" s="150" t="s">
        <v>509</v>
      </c>
      <c r="AU159" s="165" t="s">
        <v>2264</v>
      </c>
      <c r="AV159" s="232" t="s">
        <v>2234</v>
      </c>
      <c r="BA159" s="255"/>
      <c r="BB159" s="256"/>
      <c r="BC159" s="223" t="e">
        <f t="shared" si="104"/>
        <v>#DIV/0!</v>
      </c>
      <c r="BD159" s="255"/>
      <c r="BE159" s="256"/>
      <c r="BF159" s="223" t="e">
        <f t="shared" si="105"/>
        <v>#DIV/0!</v>
      </c>
      <c r="BG159" s="255"/>
      <c r="BH159" s="256"/>
      <c r="BI159" s="223" t="e">
        <f t="shared" si="106"/>
        <v>#DIV/0!</v>
      </c>
      <c r="BJ159" s="224">
        <f t="shared" si="107"/>
        <v>0</v>
      </c>
      <c r="BK159" s="225">
        <f t="shared" si="108"/>
        <v>0</v>
      </c>
      <c r="BL159" s="223" t="e">
        <f t="shared" si="109"/>
        <v>#DIV/0!</v>
      </c>
      <c r="BM159" s="255"/>
      <c r="BN159" s="256"/>
      <c r="BO159" s="223" t="e">
        <f t="shared" si="134"/>
        <v>#DIV/0!</v>
      </c>
      <c r="BP159" s="255"/>
      <c r="BQ159" s="256"/>
      <c r="BR159" s="223" t="e">
        <f t="shared" si="135"/>
        <v>#DIV/0!</v>
      </c>
      <c r="BS159" s="255"/>
      <c r="BT159" s="255"/>
      <c r="BU159" s="223" t="e">
        <f t="shared" si="136"/>
        <v>#DIV/0!</v>
      </c>
      <c r="BV159" s="224">
        <f t="shared" si="110"/>
        <v>0</v>
      </c>
      <c r="BW159" s="224">
        <f t="shared" si="111"/>
        <v>0</v>
      </c>
      <c r="BX159" s="223" t="e">
        <f t="shared" si="112"/>
        <v>#DIV/0!</v>
      </c>
      <c r="BY159" s="223">
        <f t="shared" si="113"/>
        <v>0</v>
      </c>
      <c r="BZ159" s="223">
        <f t="shared" si="114"/>
        <v>0</v>
      </c>
      <c r="CA159" s="226"/>
      <c r="CB159" s="175"/>
      <c r="CC159" s="191"/>
      <c r="CD159" s="192"/>
      <c r="CE159" s="193" t="e">
        <f t="shared" si="137"/>
        <v>#DIV/0!</v>
      </c>
      <c r="CF159" s="191"/>
      <c r="CG159" s="192"/>
      <c r="CH159" s="193" t="e">
        <f t="shared" si="138"/>
        <v>#DIV/0!</v>
      </c>
      <c r="CI159" s="197"/>
      <c r="CJ159" s="198"/>
      <c r="CK159" s="193" t="e">
        <f t="shared" si="139"/>
        <v>#DIV/0!</v>
      </c>
      <c r="CL159" s="195">
        <f t="shared" si="140"/>
        <v>0</v>
      </c>
      <c r="CM159" s="194">
        <f t="shared" si="141"/>
        <v>0</v>
      </c>
      <c r="CN159" s="193" t="e">
        <f t="shared" si="142"/>
        <v>#DIV/0!</v>
      </c>
      <c r="CO159" s="175"/>
      <c r="CP159" s="196">
        <f t="shared" si="143"/>
        <v>0</v>
      </c>
      <c r="CQ159" s="196">
        <f t="shared" si="144"/>
        <v>0</v>
      </c>
      <c r="CR159" s="199" t="e">
        <f t="shared" si="145"/>
        <v>#DIV/0!</v>
      </c>
      <c r="CS159" s="261">
        <f t="shared" si="115"/>
        <v>2</v>
      </c>
      <c r="CT159" s="175"/>
      <c r="CU159" s="196">
        <f t="shared" si="116"/>
        <v>0.6</v>
      </c>
      <c r="CV159" s="259"/>
      <c r="CW159" s="199">
        <f t="shared" si="117"/>
        <v>0</v>
      </c>
      <c r="CX159" s="196">
        <f t="shared" si="118"/>
        <v>0.6</v>
      </c>
      <c r="CY159" s="259"/>
      <c r="CZ159" s="199">
        <f t="shared" si="119"/>
        <v>0</v>
      </c>
      <c r="DA159" s="196">
        <f t="shared" si="120"/>
        <v>0.6</v>
      </c>
      <c r="DB159" s="259"/>
      <c r="DC159" s="199">
        <f t="shared" si="121"/>
        <v>0</v>
      </c>
      <c r="DD159" s="196">
        <f t="shared" si="122"/>
        <v>0.2</v>
      </c>
      <c r="DE159" s="259"/>
      <c r="DF159" s="199">
        <f t="shared" si="123"/>
        <v>0</v>
      </c>
      <c r="DG159" s="175"/>
      <c r="DH159" s="196">
        <f t="shared" si="124"/>
        <v>2</v>
      </c>
      <c r="DI159" s="196">
        <f t="shared" si="125"/>
        <v>0</v>
      </c>
      <c r="DJ159" s="199">
        <f t="shared" si="126"/>
        <v>0</v>
      </c>
      <c r="DK159" s="265">
        <f t="shared" si="127"/>
        <v>2</v>
      </c>
      <c r="DL159" s="244">
        <v>155</v>
      </c>
      <c r="DM159">
        <f t="shared" si="103"/>
        <v>0</v>
      </c>
    </row>
    <row r="160" spans="1:117" x14ac:dyDescent="0.3">
      <c r="A160" s="246">
        <v>156</v>
      </c>
      <c r="B160" s="91" t="s">
        <v>270</v>
      </c>
      <c r="C160" s="91" t="s">
        <v>195</v>
      </c>
      <c r="D160" s="91" t="s">
        <v>196</v>
      </c>
      <c r="E160" s="91" t="s">
        <v>536</v>
      </c>
      <c r="F160" s="91" t="s">
        <v>271</v>
      </c>
      <c r="G160" s="87" t="s">
        <v>279</v>
      </c>
      <c r="H160" s="87" t="s">
        <v>554</v>
      </c>
      <c r="I160" s="87" t="s">
        <v>103</v>
      </c>
      <c r="J160" s="87" t="s">
        <v>103</v>
      </c>
      <c r="K160" s="85" t="s">
        <v>104</v>
      </c>
      <c r="L160" s="85" t="s">
        <v>105</v>
      </c>
      <c r="M160" s="87" t="s">
        <v>106</v>
      </c>
      <c r="N160" s="87" t="s">
        <v>107</v>
      </c>
      <c r="O160" s="87" t="s">
        <v>108</v>
      </c>
      <c r="P160" s="87" t="s">
        <v>559</v>
      </c>
      <c r="Q160" s="87" t="s">
        <v>110</v>
      </c>
      <c r="R160" s="130">
        <v>2</v>
      </c>
      <c r="S160" s="88" t="s">
        <v>111</v>
      </c>
      <c r="T160" s="81">
        <v>1</v>
      </c>
      <c r="U160" s="81">
        <v>0</v>
      </c>
      <c r="V160" s="25">
        <f t="shared" si="146"/>
        <v>0</v>
      </c>
      <c r="W160" s="81">
        <v>1</v>
      </c>
      <c r="X160" s="81"/>
      <c r="Y160" s="25">
        <f t="shared" si="1"/>
        <v>0</v>
      </c>
      <c r="Z160" s="81">
        <v>0</v>
      </c>
      <c r="AA160" s="81"/>
      <c r="AB160" s="25" t="e">
        <f t="shared" si="2"/>
        <v>#DIV/0!</v>
      </c>
      <c r="AC160" s="81">
        <v>1</v>
      </c>
      <c r="AD160" s="81"/>
      <c r="AE160" s="25">
        <f t="shared" si="3"/>
        <v>0</v>
      </c>
      <c r="AF160" s="137">
        <f t="shared" si="132"/>
        <v>2</v>
      </c>
      <c r="AG160" s="137">
        <f t="shared" si="133"/>
        <v>0</v>
      </c>
      <c r="AH160" s="128">
        <f t="shared" si="130"/>
        <v>0</v>
      </c>
      <c r="AI160" s="90">
        <v>46113</v>
      </c>
      <c r="AJ160" s="90">
        <v>46477</v>
      </c>
      <c r="AK160" s="91" t="s">
        <v>112</v>
      </c>
      <c r="AL160" s="91" t="s">
        <v>113</v>
      </c>
      <c r="AM160" s="92" t="s">
        <v>114</v>
      </c>
      <c r="AN160" s="93">
        <v>40000000</v>
      </c>
      <c r="AO160" s="93">
        <v>40000000</v>
      </c>
      <c r="AP160" s="93">
        <v>40000000</v>
      </c>
      <c r="AQ160" s="94">
        <v>0</v>
      </c>
      <c r="AR160" s="91" t="s">
        <v>558</v>
      </c>
      <c r="AS160" s="91" t="s">
        <v>112</v>
      </c>
      <c r="AT160" s="150" t="s">
        <v>509</v>
      </c>
      <c r="AU160" s="165" t="s">
        <v>2264</v>
      </c>
      <c r="AV160" s="232" t="s">
        <v>2234</v>
      </c>
      <c r="BA160" s="255"/>
      <c r="BB160" s="256"/>
      <c r="BC160" s="223" t="e">
        <f t="shared" si="104"/>
        <v>#DIV/0!</v>
      </c>
      <c r="BD160" s="255"/>
      <c r="BE160" s="256"/>
      <c r="BF160" s="223" t="e">
        <f t="shared" si="105"/>
        <v>#DIV/0!</v>
      </c>
      <c r="BG160" s="255"/>
      <c r="BH160" s="256"/>
      <c r="BI160" s="223" t="e">
        <f t="shared" si="106"/>
        <v>#DIV/0!</v>
      </c>
      <c r="BJ160" s="224">
        <f t="shared" si="107"/>
        <v>0</v>
      </c>
      <c r="BK160" s="225">
        <f t="shared" si="108"/>
        <v>0</v>
      </c>
      <c r="BL160" s="223" t="e">
        <f t="shared" si="109"/>
        <v>#DIV/0!</v>
      </c>
      <c r="BM160" s="255"/>
      <c r="BN160" s="256"/>
      <c r="BO160" s="223" t="e">
        <f t="shared" si="134"/>
        <v>#DIV/0!</v>
      </c>
      <c r="BP160" s="255"/>
      <c r="BQ160" s="256"/>
      <c r="BR160" s="223" t="e">
        <f t="shared" si="135"/>
        <v>#DIV/0!</v>
      </c>
      <c r="BS160" s="255"/>
      <c r="BT160" s="255"/>
      <c r="BU160" s="223" t="e">
        <f t="shared" si="136"/>
        <v>#DIV/0!</v>
      </c>
      <c r="BV160" s="224">
        <f t="shared" si="110"/>
        <v>0</v>
      </c>
      <c r="BW160" s="224">
        <f t="shared" si="111"/>
        <v>0</v>
      </c>
      <c r="BX160" s="223" t="e">
        <f t="shared" si="112"/>
        <v>#DIV/0!</v>
      </c>
      <c r="BY160" s="223">
        <f t="shared" si="113"/>
        <v>0</v>
      </c>
      <c r="BZ160" s="223">
        <f t="shared" si="114"/>
        <v>0</v>
      </c>
      <c r="CA160" s="226"/>
      <c r="CB160" s="175"/>
      <c r="CC160" s="191"/>
      <c r="CD160" s="192"/>
      <c r="CE160" s="193" t="e">
        <f t="shared" si="137"/>
        <v>#DIV/0!</v>
      </c>
      <c r="CF160" s="191"/>
      <c r="CG160" s="192"/>
      <c r="CH160" s="193" t="e">
        <f t="shared" si="138"/>
        <v>#DIV/0!</v>
      </c>
      <c r="CI160" s="197"/>
      <c r="CJ160" s="198"/>
      <c r="CK160" s="193" t="e">
        <f t="shared" si="139"/>
        <v>#DIV/0!</v>
      </c>
      <c r="CL160" s="195">
        <f t="shared" si="140"/>
        <v>0</v>
      </c>
      <c r="CM160" s="194">
        <f t="shared" si="141"/>
        <v>0</v>
      </c>
      <c r="CN160" s="193" t="e">
        <f t="shared" si="142"/>
        <v>#DIV/0!</v>
      </c>
      <c r="CO160" s="175"/>
      <c r="CP160" s="196">
        <f t="shared" si="143"/>
        <v>0</v>
      </c>
      <c r="CQ160" s="196">
        <f t="shared" si="144"/>
        <v>0</v>
      </c>
      <c r="CR160" s="199" t="e">
        <f t="shared" si="145"/>
        <v>#DIV/0!</v>
      </c>
      <c r="CS160" s="261">
        <f t="shared" si="115"/>
        <v>2</v>
      </c>
      <c r="CT160" s="175"/>
      <c r="CU160" s="196">
        <f t="shared" si="116"/>
        <v>0.6</v>
      </c>
      <c r="CV160" s="259"/>
      <c r="CW160" s="199">
        <f t="shared" si="117"/>
        <v>0</v>
      </c>
      <c r="CX160" s="196">
        <f t="shared" si="118"/>
        <v>0.6</v>
      </c>
      <c r="CY160" s="259"/>
      <c r="CZ160" s="199">
        <f t="shared" si="119"/>
        <v>0</v>
      </c>
      <c r="DA160" s="196">
        <f t="shared" si="120"/>
        <v>0.6</v>
      </c>
      <c r="DB160" s="259"/>
      <c r="DC160" s="199">
        <f t="shared" si="121"/>
        <v>0</v>
      </c>
      <c r="DD160" s="196">
        <f t="shared" si="122"/>
        <v>0.2</v>
      </c>
      <c r="DE160" s="259"/>
      <c r="DF160" s="199">
        <f t="shared" si="123"/>
        <v>0</v>
      </c>
      <c r="DG160" s="175"/>
      <c r="DH160" s="196">
        <f t="shared" si="124"/>
        <v>2</v>
      </c>
      <c r="DI160" s="196">
        <f t="shared" si="125"/>
        <v>0</v>
      </c>
      <c r="DJ160" s="199">
        <f t="shared" si="126"/>
        <v>0</v>
      </c>
      <c r="DK160" s="265">
        <f t="shared" si="127"/>
        <v>2</v>
      </c>
      <c r="DL160" s="244">
        <v>156</v>
      </c>
      <c r="DM160">
        <f t="shared" si="103"/>
        <v>0</v>
      </c>
    </row>
    <row r="161" spans="1:117" x14ac:dyDescent="0.3">
      <c r="A161" s="246">
        <v>157</v>
      </c>
      <c r="B161" s="91" t="s">
        <v>270</v>
      </c>
      <c r="C161" s="91" t="s">
        <v>195</v>
      </c>
      <c r="D161" s="91" t="s">
        <v>196</v>
      </c>
      <c r="E161" s="91" t="s">
        <v>536</v>
      </c>
      <c r="F161" s="91" t="s">
        <v>560</v>
      </c>
      <c r="G161" s="87" t="s">
        <v>549</v>
      </c>
      <c r="H161" s="87" t="s">
        <v>554</v>
      </c>
      <c r="I161" s="87" t="s">
        <v>103</v>
      </c>
      <c r="J161" s="87" t="s">
        <v>103</v>
      </c>
      <c r="K161" s="85" t="s">
        <v>104</v>
      </c>
      <c r="L161" s="85" t="s">
        <v>105</v>
      </c>
      <c r="M161" s="87" t="s">
        <v>106</v>
      </c>
      <c r="N161" s="87" t="s">
        <v>107</v>
      </c>
      <c r="O161" s="87" t="s">
        <v>108</v>
      </c>
      <c r="P161" s="87" t="s">
        <v>561</v>
      </c>
      <c r="Q161" s="87" t="s">
        <v>110</v>
      </c>
      <c r="R161" s="130">
        <v>1</v>
      </c>
      <c r="S161" s="88" t="s">
        <v>111</v>
      </c>
      <c r="T161" s="81">
        <v>0</v>
      </c>
      <c r="U161" s="81">
        <v>0</v>
      </c>
      <c r="V161" s="25" t="e">
        <f t="shared" si="146"/>
        <v>#DIV/0!</v>
      </c>
      <c r="W161" s="81">
        <v>0</v>
      </c>
      <c r="X161" s="81">
        <v>0</v>
      </c>
      <c r="Y161" s="25" t="e">
        <f t="shared" si="1"/>
        <v>#DIV/0!</v>
      </c>
      <c r="Z161" s="81">
        <v>0</v>
      </c>
      <c r="AA161" s="81">
        <v>0</v>
      </c>
      <c r="AB161" s="25" t="e">
        <f t="shared" si="2"/>
        <v>#DIV/0!</v>
      </c>
      <c r="AC161" s="81">
        <v>1</v>
      </c>
      <c r="AD161" s="81"/>
      <c r="AE161" s="25">
        <f t="shared" si="3"/>
        <v>0</v>
      </c>
      <c r="AF161" s="137">
        <f t="shared" si="132"/>
        <v>1</v>
      </c>
      <c r="AG161" s="137">
        <f t="shared" si="133"/>
        <v>0</v>
      </c>
      <c r="AH161" s="128" t="e">
        <f t="shared" si="130"/>
        <v>#DIV/0!</v>
      </c>
      <c r="AI161" s="90">
        <v>46113</v>
      </c>
      <c r="AJ161" s="90">
        <v>46477</v>
      </c>
      <c r="AK161" s="91" t="s">
        <v>112</v>
      </c>
      <c r="AL161" s="91" t="s">
        <v>113</v>
      </c>
      <c r="AM161" s="92" t="s">
        <v>114</v>
      </c>
      <c r="AN161" s="93">
        <v>129400000</v>
      </c>
      <c r="AO161" s="93">
        <v>129400000</v>
      </c>
      <c r="AP161" s="93">
        <v>129400000</v>
      </c>
      <c r="AQ161" s="94">
        <v>0</v>
      </c>
      <c r="AR161" s="91" t="s">
        <v>558</v>
      </c>
      <c r="AS161" s="91" t="s">
        <v>112</v>
      </c>
      <c r="AT161" s="150" t="s">
        <v>509</v>
      </c>
      <c r="AU161" s="165" t="s">
        <v>2264</v>
      </c>
      <c r="AV161" s="232" t="s">
        <v>2234</v>
      </c>
      <c r="BA161" s="255"/>
      <c r="BB161" s="256"/>
      <c r="BC161" s="223" t="e">
        <f t="shared" si="104"/>
        <v>#DIV/0!</v>
      </c>
      <c r="BD161" s="255"/>
      <c r="BE161" s="256"/>
      <c r="BF161" s="223" t="e">
        <f t="shared" si="105"/>
        <v>#DIV/0!</v>
      </c>
      <c r="BG161" s="255"/>
      <c r="BH161" s="256"/>
      <c r="BI161" s="223" t="e">
        <f t="shared" si="106"/>
        <v>#DIV/0!</v>
      </c>
      <c r="BJ161" s="224">
        <f t="shared" si="107"/>
        <v>0</v>
      </c>
      <c r="BK161" s="225">
        <f t="shared" si="108"/>
        <v>0</v>
      </c>
      <c r="BL161" s="223" t="e">
        <f t="shared" si="109"/>
        <v>#DIV/0!</v>
      </c>
      <c r="BM161" s="255"/>
      <c r="BN161" s="256"/>
      <c r="BO161" s="223" t="e">
        <f t="shared" si="134"/>
        <v>#DIV/0!</v>
      </c>
      <c r="BP161" s="255"/>
      <c r="BQ161" s="256"/>
      <c r="BR161" s="223" t="e">
        <f t="shared" si="135"/>
        <v>#DIV/0!</v>
      </c>
      <c r="BS161" s="255"/>
      <c r="BT161" s="255"/>
      <c r="BU161" s="223" t="e">
        <f t="shared" si="136"/>
        <v>#DIV/0!</v>
      </c>
      <c r="BV161" s="224">
        <f t="shared" si="110"/>
        <v>0</v>
      </c>
      <c r="BW161" s="224">
        <f t="shared" si="111"/>
        <v>0</v>
      </c>
      <c r="BX161" s="223" t="e">
        <f t="shared" si="112"/>
        <v>#DIV/0!</v>
      </c>
      <c r="BY161" s="223">
        <f t="shared" si="113"/>
        <v>0</v>
      </c>
      <c r="BZ161" s="223">
        <f t="shared" si="114"/>
        <v>0</v>
      </c>
      <c r="CA161" s="226"/>
      <c r="CB161" s="175"/>
      <c r="CC161" s="191"/>
      <c r="CD161" s="192"/>
      <c r="CE161" s="193" t="e">
        <f t="shared" si="137"/>
        <v>#DIV/0!</v>
      </c>
      <c r="CF161" s="191"/>
      <c r="CG161" s="192"/>
      <c r="CH161" s="193" t="e">
        <f t="shared" si="138"/>
        <v>#DIV/0!</v>
      </c>
      <c r="CI161" s="197"/>
      <c r="CJ161" s="198"/>
      <c r="CK161" s="193" t="e">
        <f t="shared" si="139"/>
        <v>#DIV/0!</v>
      </c>
      <c r="CL161" s="195">
        <f t="shared" si="140"/>
        <v>0</v>
      </c>
      <c r="CM161" s="194">
        <f t="shared" si="141"/>
        <v>0</v>
      </c>
      <c r="CN161" s="193" t="e">
        <f t="shared" si="142"/>
        <v>#DIV/0!</v>
      </c>
      <c r="CO161" s="175"/>
      <c r="CP161" s="196">
        <f t="shared" si="143"/>
        <v>0</v>
      </c>
      <c r="CQ161" s="196">
        <f t="shared" si="144"/>
        <v>0</v>
      </c>
      <c r="CR161" s="199" t="e">
        <f t="shared" si="145"/>
        <v>#DIV/0!</v>
      </c>
      <c r="CS161" s="261">
        <f t="shared" si="115"/>
        <v>1</v>
      </c>
      <c r="CT161" s="175"/>
      <c r="CU161" s="196">
        <f t="shared" si="116"/>
        <v>0.3</v>
      </c>
      <c r="CV161" s="259"/>
      <c r="CW161" s="199">
        <f t="shared" si="117"/>
        <v>0</v>
      </c>
      <c r="CX161" s="196">
        <f t="shared" si="118"/>
        <v>0.3</v>
      </c>
      <c r="CY161" s="259"/>
      <c r="CZ161" s="199">
        <f t="shared" si="119"/>
        <v>0</v>
      </c>
      <c r="DA161" s="196">
        <f t="shared" si="120"/>
        <v>0.3</v>
      </c>
      <c r="DB161" s="259"/>
      <c r="DC161" s="199">
        <f t="shared" si="121"/>
        <v>0</v>
      </c>
      <c r="DD161" s="196">
        <f t="shared" si="122"/>
        <v>0.1</v>
      </c>
      <c r="DE161" s="259"/>
      <c r="DF161" s="199">
        <f t="shared" si="123"/>
        <v>0</v>
      </c>
      <c r="DG161" s="175"/>
      <c r="DH161" s="196">
        <f t="shared" si="124"/>
        <v>1</v>
      </c>
      <c r="DI161" s="196">
        <f t="shared" si="125"/>
        <v>0</v>
      </c>
      <c r="DJ161" s="199">
        <f t="shared" si="126"/>
        <v>0</v>
      </c>
      <c r="DK161" s="265">
        <f t="shared" si="127"/>
        <v>1</v>
      </c>
      <c r="DL161" s="244">
        <v>157</v>
      </c>
      <c r="DM161">
        <f t="shared" si="103"/>
        <v>0</v>
      </c>
    </row>
    <row r="162" spans="1:117" x14ac:dyDescent="0.3">
      <c r="A162" s="246">
        <v>158</v>
      </c>
      <c r="B162" s="91" t="s">
        <v>270</v>
      </c>
      <c r="C162" s="91" t="s">
        <v>133</v>
      </c>
      <c r="D162" s="91" t="s">
        <v>119</v>
      </c>
      <c r="E162" s="91" t="s">
        <v>562</v>
      </c>
      <c r="F162" s="91" t="s">
        <v>563</v>
      </c>
      <c r="G162" s="87" t="s">
        <v>549</v>
      </c>
      <c r="H162" s="87" t="s">
        <v>550</v>
      </c>
      <c r="I162" s="87" t="s">
        <v>103</v>
      </c>
      <c r="J162" s="87" t="s">
        <v>103</v>
      </c>
      <c r="K162" s="85" t="s">
        <v>104</v>
      </c>
      <c r="L162" s="85" t="s">
        <v>105</v>
      </c>
      <c r="M162" s="87" t="s">
        <v>106</v>
      </c>
      <c r="N162" s="87" t="s">
        <v>107</v>
      </c>
      <c r="O162" s="87" t="s">
        <v>127</v>
      </c>
      <c r="P162" s="87" t="s">
        <v>564</v>
      </c>
      <c r="Q162" s="87" t="s">
        <v>129</v>
      </c>
      <c r="R162" s="130">
        <v>1</v>
      </c>
      <c r="S162" s="88" t="s">
        <v>111</v>
      </c>
      <c r="T162" s="81">
        <v>0</v>
      </c>
      <c r="U162" s="81">
        <v>1</v>
      </c>
      <c r="V162" s="25" t="e">
        <f t="shared" si="146"/>
        <v>#DIV/0!</v>
      </c>
      <c r="W162" s="81">
        <v>0</v>
      </c>
      <c r="X162" s="81">
        <v>1</v>
      </c>
      <c r="Y162" s="25" t="e">
        <f t="shared" si="1"/>
        <v>#DIV/0!</v>
      </c>
      <c r="Z162" s="81">
        <v>1</v>
      </c>
      <c r="AA162" s="81"/>
      <c r="AB162" s="25">
        <f t="shared" si="2"/>
        <v>0</v>
      </c>
      <c r="AC162" s="81">
        <v>0</v>
      </c>
      <c r="AD162" s="81"/>
      <c r="AE162" s="25" t="e">
        <f t="shared" si="3"/>
        <v>#DIV/0!</v>
      </c>
      <c r="AF162" s="137">
        <f t="shared" si="132"/>
        <v>1</v>
      </c>
      <c r="AG162" s="137">
        <f t="shared" si="133"/>
        <v>2</v>
      </c>
      <c r="AH162" s="128" t="e">
        <f t="shared" si="130"/>
        <v>#DIV/0!</v>
      </c>
      <c r="AI162" s="90">
        <v>46113</v>
      </c>
      <c r="AJ162" s="90">
        <v>46477</v>
      </c>
      <c r="AK162" s="91" t="s">
        <v>112</v>
      </c>
      <c r="AL162" s="91" t="s">
        <v>113</v>
      </c>
      <c r="AM162" s="92" t="s">
        <v>114</v>
      </c>
      <c r="AN162" s="93"/>
      <c r="AO162" s="93"/>
      <c r="AP162" s="93"/>
      <c r="AQ162" s="94"/>
      <c r="AR162" s="91" t="s">
        <v>558</v>
      </c>
      <c r="AS162" s="91" t="s">
        <v>112</v>
      </c>
      <c r="AT162" s="150" t="s">
        <v>509</v>
      </c>
      <c r="AU162" s="165" t="s">
        <v>2264</v>
      </c>
      <c r="AV162" s="232" t="s">
        <v>2234</v>
      </c>
      <c r="BA162" s="255"/>
      <c r="BB162" s="256"/>
      <c r="BC162" s="223" t="e">
        <f t="shared" si="104"/>
        <v>#DIV/0!</v>
      </c>
      <c r="BD162" s="255"/>
      <c r="BE162" s="256"/>
      <c r="BF162" s="223" t="e">
        <f t="shared" si="105"/>
        <v>#DIV/0!</v>
      </c>
      <c r="BG162" s="255"/>
      <c r="BH162" s="256"/>
      <c r="BI162" s="223" t="e">
        <f t="shared" si="106"/>
        <v>#DIV/0!</v>
      </c>
      <c r="BJ162" s="224">
        <f t="shared" si="107"/>
        <v>0</v>
      </c>
      <c r="BK162" s="225">
        <f t="shared" si="108"/>
        <v>0</v>
      </c>
      <c r="BL162" s="223" t="e">
        <f t="shared" si="109"/>
        <v>#DIV/0!</v>
      </c>
      <c r="BM162" s="255"/>
      <c r="BN162" s="256"/>
      <c r="BO162" s="223" t="e">
        <f t="shared" si="134"/>
        <v>#DIV/0!</v>
      </c>
      <c r="BP162" s="255"/>
      <c r="BQ162" s="256"/>
      <c r="BR162" s="223" t="e">
        <f t="shared" si="135"/>
        <v>#DIV/0!</v>
      </c>
      <c r="BS162" s="255"/>
      <c r="BT162" s="255"/>
      <c r="BU162" s="223" t="e">
        <f t="shared" si="136"/>
        <v>#DIV/0!</v>
      </c>
      <c r="BV162" s="224">
        <f t="shared" si="110"/>
        <v>0</v>
      </c>
      <c r="BW162" s="224">
        <f t="shared" si="111"/>
        <v>0</v>
      </c>
      <c r="BX162" s="223" t="e">
        <f t="shared" si="112"/>
        <v>#DIV/0!</v>
      </c>
      <c r="BY162" s="223">
        <f t="shared" si="113"/>
        <v>0</v>
      </c>
      <c r="BZ162" s="223">
        <f t="shared" si="114"/>
        <v>0</v>
      </c>
      <c r="CA162" s="226"/>
      <c r="CB162" s="175"/>
      <c r="CC162" s="191"/>
      <c r="CD162" s="192"/>
      <c r="CE162" s="193" t="e">
        <f t="shared" si="137"/>
        <v>#DIV/0!</v>
      </c>
      <c r="CF162" s="191"/>
      <c r="CG162" s="192"/>
      <c r="CH162" s="193" t="e">
        <f t="shared" si="138"/>
        <v>#DIV/0!</v>
      </c>
      <c r="CI162" s="197"/>
      <c r="CJ162" s="198"/>
      <c r="CK162" s="193" t="e">
        <f t="shared" si="139"/>
        <v>#DIV/0!</v>
      </c>
      <c r="CL162" s="195">
        <f t="shared" si="140"/>
        <v>0</v>
      </c>
      <c r="CM162" s="194">
        <f t="shared" si="141"/>
        <v>0</v>
      </c>
      <c r="CN162" s="193" t="e">
        <f t="shared" si="142"/>
        <v>#DIV/0!</v>
      </c>
      <c r="CO162" s="175"/>
      <c r="CP162" s="196">
        <f t="shared" si="143"/>
        <v>0</v>
      </c>
      <c r="CQ162" s="196">
        <f t="shared" si="144"/>
        <v>0</v>
      </c>
      <c r="CR162" s="199" t="e">
        <f t="shared" si="145"/>
        <v>#DIV/0!</v>
      </c>
      <c r="CS162" s="261">
        <f t="shared" si="115"/>
        <v>1</v>
      </c>
      <c r="CT162" s="175"/>
      <c r="CU162" s="196">
        <f t="shared" si="116"/>
        <v>0.3</v>
      </c>
      <c r="CV162" s="259"/>
      <c r="CW162" s="199">
        <f t="shared" si="117"/>
        <v>0</v>
      </c>
      <c r="CX162" s="196">
        <f t="shared" si="118"/>
        <v>0.3</v>
      </c>
      <c r="CY162" s="259"/>
      <c r="CZ162" s="199">
        <f t="shared" si="119"/>
        <v>0</v>
      </c>
      <c r="DA162" s="196">
        <f t="shared" si="120"/>
        <v>0.3</v>
      </c>
      <c r="DB162" s="259"/>
      <c r="DC162" s="199">
        <f t="shared" si="121"/>
        <v>0</v>
      </c>
      <c r="DD162" s="196">
        <f t="shared" si="122"/>
        <v>0.1</v>
      </c>
      <c r="DE162" s="259"/>
      <c r="DF162" s="199">
        <f t="shared" si="123"/>
        <v>0</v>
      </c>
      <c r="DG162" s="175"/>
      <c r="DH162" s="196">
        <f t="shared" si="124"/>
        <v>1</v>
      </c>
      <c r="DI162" s="196">
        <f t="shared" si="125"/>
        <v>0</v>
      </c>
      <c r="DJ162" s="199">
        <f t="shared" si="126"/>
        <v>0</v>
      </c>
      <c r="DK162" s="265">
        <f t="shared" si="127"/>
        <v>1</v>
      </c>
      <c r="DL162" s="244">
        <v>158</v>
      </c>
      <c r="DM162">
        <f t="shared" si="103"/>
        <v>0</v>
      </c>
    </row>
    <row r="163" spans="1:117" x14ac:dyDescent="0.3">
      <c r="A163" s="246">
        <v>159</v>
      </c>
      <c r="B163" s="91" t="s">
        <v>270</v>
      </c>
      <c r="C163" s="91" t="s">
        <v>118</v>
      </c>
      <c r="D163" s="91" t="s">
        <v>119</v>
      </c>
      <c r="E163" s="91" t="s">
        <v>155</v>
      </c>
      <c r="F163" s="91" t="s">
        <v>563</v>
      </c>
      <c r="G163" s="87" t="s">
        <v>549</v>
      </c>
      <c r="H163" s="87" t="s">
        <v>550</v>
      </c>
      <c r="I163" s="87" t="s">
        <v>103</v>
      </c>
      <c r="J163" s="87" t="s">
        <v>103</v>
      </c>
      <c r="K163" s="85" t="s">
        <v>104</v>
      </c>
      <c r="L163" s="85" t="s">
        <v>105</v>
      </c>
      <c r="M163" s="87" t="s">
        <v>106</v>
      </c>
      <c r="N163" s="87" t="s">
        <v>107</v>
      </c>
      <c r="O163" s="87" t="s">
        <v>127</v>
      </c>
      <c r="P163" s="241" t="s">
        <v>565</v>
      </c>
      <c r="Q163" s="87" t="s">
        <v>129</v>
      </c>
      <c r="R163" s="130">
        <v>2</v>
      </c>
      <c r="S163" s="88" t="s">
        <v>111</v>
      </c>
      <c r="T163" s="81">
        <v>0</v>
      </c>
      <c r="U163" s="81">
        <v>0</v>
      </c>
      <c r="V163" s="25" t="e">
        <f t="shared" si="146"/>
        <v>#DIV/0!</v>
      </c>
      <c r="W163" s="81">
        <v>1</v>
      </c>
      <c r="X163" s="81">
        <v>0</v>
      </c>
      <c r="Y163" s="25">
        <f t="shared" si="1"/>
        <v>0</v>
      </c>
      <c r="Z163" s="81">
        <v>1</v>
      </c>
      <c r="AA163" s="81"/>
      <c r="AB163" s="25">
        <f t="shared" si="2"/>
        <v>0</v>
      </c>
      <c r="AC163" s="81">
        <v>0</v>
      </c>
      <c r="AD163" s="81"/>
      <c r="AE163" s="25" t="e">
        <f t="shared" si="3"/>
        <v>#DIV/0!</v>
      </c>
      <c r="AF163" s="137">
        <f t="shared" si="132"/>
        <v>2</v>
      </c>
      <c r="AG163" s="137">
        <f t="shared" si="133"/>
        <v>0</v>
      </c>
      <c r="AH163" s="128">
        <f t="shared" si="130"/>
        <v>0</v>
      </c>
      <c r="AI163" s="90">
        <v>46113</v>
      </c>
      <c r="AJ163" s="90">
        <v>46477</v>
      </c>
      <c r="AK163" s="91" t="s">
        <v>112</v>
      </c>
      <c r="AL163" s="91" t="s">
        <v>113</v>
      </c>
      <c r="AM163" s="92" t="s">
        <v>114</v>
      </c>
      <c r="AN163" s="93">
        <v>10000000</v>
      </c>
      <c r="AO163" s="93">
        <v>10000000</v>
      </c>
      <c r="AP163" s="93">
        <v>10000000</v>
      </c>
      <c r="AQ163" s="94">
        <v>0</v>
      </c>
      <c r="AR163" s="91" t="s">
        <v>558</v>
      </c>
      <c r="AS163" s="91" t="s">
        <v>112</v>
      </c>
      <c r="AT163" s="150" t="s">
        <v>509</v>
      </c>
      <c r="AU163" s="165" t="s">
        <v>2264</v>
      </c>
      <c r="AV163" s="232" t="s">
        <v>2234</v>
      </c>
      <c r="BA163" s="255"/>
      <c r="BB163" s="256"/>
      <c r="BC163" s="223" t="e">
        <f t="shared" si="104"/>
        <v>#DIV/0!</v>
      </c>
      <c r="BD163" s="255"/>
      <c r="BE163" s="256"/>
      <c r="BF163" s="223" t="e">
        <f t="shared" si="105"/>
        <v>#DIV/0!</v>
      </c>
      <c r="BG163" s="255"/>
      <c r="BH163" s="256"/>
      <c r="BI163" s="223" t="e">
        <f t="shared" si="106"/>
        <v>#DIV/0!</v>
      </c>
      <c r="BJ163" s="224">
        <f t="shared" si="107"/>
        <v>0</v>
      </c>
      <c r="BK163" s="225">
        <f t="shared" si="108"/>
        <v>0</v>
      </c>
      <c r="BL163" s="223" t="e">
        <f t="shared" si="109"/>
        <v>#DIV/0!</v>
      </c>
      <c r="BM163" s="255"/>
      <c r="BN163" s="256"/>
      <c r="BO163" s="223" t="e">
        <f t="shared" si="134"/>
        <v>#DIV/0!</v>
      </c>
      <c r="BP163" s="255"/>
      <c r="BQ163" s="256"/>
      <c r="BR163" s="223" t="e">
        <f t="shared" si="135"/>
        <v>#DIV/0!</v>
      </c>
      <c r="BS163" s="255"/>
      <c r="BT163" s="255"/>
      <c r="BU163" s="223" t="e">
        <f t="shared" si="136"/>
        <v>#DIV/0!</v>
      </c>
      <c r="BV163" s="224">
        <f t="shared" si="110"/>
        <v>0</v>
      </c>
      <c r="BW163" s="224">
        <f t="shared" si="111"/>
        <v>0</v>
      </c>
      <c r="BX163" s="223" t="e">
        <f t="shared" si="112"/>
        <v>#DIV/0!</v>
      </c>
      <c r="BY163" s="223">
        <f t="shared" si="113"/>
        <v>0</v>
      </c>
      <c r="BZ163" s="223">
        <f t="shared" si="114"/>
        <v>0</v>
      </c>
      <c r="CA163" s="226"/>
      <c r="CB163" s="175"/>
      <c r="CC163" s="191"/>
      <c r="CD163" s="192"/>
      <c r="CE163" s="193" t="e">
        <f t="shared" si="137"/>
        <v>#DIV/0!</v>
      </c>
      <c r="CF163" s="191"/>
      <c r="CG163" s="192"/>
      <c r="CH163" s="193" t="e">
        <f t="shared" si="138"/>
        <v>#DIV/0!</v>
      </c>
      <c r="CI163" s="197"/>
      <c r="CJ163" s="198"/>
      <c r="CK163" s="193" t="e">
        <f t="shared" si="139"/>
        <v>#DIV/0!</v>
      </c>
      <c r="CL163" s="195">
        <f t="shared" si="140"/>
        <v>0</v>
      </c>
      <c r="CM163" s="194">
        <f t="shared" si="141"/>
        <v>0</v>
      </c>
      <c r="CN163" s="193" t="e">
        <f t="shared" si="142"/>
        <v>#DIV/0!</v>
      </c>
      <c r="CO163" s="175"/>
      <c r="CP163" s="196">
        <f t="shared" si="143"/>
        <v>0</v>
      </c>
      <c r="CQ163" s="196">
        <f t="shared" si="144"/>
        <v>0</v>
      </c>
      <c r="CR163" s="199" t="e">
        <f t="shared" si="145"/>
        <v>#DIV/0!</v>
      </c>
      <c r="CS163" s="261">
        <f t="shared" si="115"/>
        <v>2</v>
      </c>
      <c r="CT163" s="175"/>
      <c r="CU163" s="196">
        <f t="shared" si="116"/>
        <v>0.6</v>
      </c>
      <c r="CV163" s="259"/>
      <c r="CW163" s="199">
        <f t="shared" si="117"/>
        <v>0</v>
      </c>
      <c r="CX163" s="196">
        <f t="shared" si="118"/>
        <v>0.6</v>
      </c>
      <c r="CY163" s="259"/>
      <c r="CZ163" s="199">
        <f t="shared" si="119"/>
        <v>0</v>
      </c>
      <c r="DA163" s="196">
        <f t="shared" si="120"/>
        <v>0.6</v>
      </c>
      <c r="DB163" s="259"/>
      <c r="DC163" s="199">
        <f t="shared" si="121"/>
        <v>0</v>
      </c>
      <c r="DD163" s="196">
        <f t="shared" si="122"/>
        <v>0.2</v>
      </c>
      <c r="DE163" s="259"/>
      <c r="DF163" s="199">
        <f t="shared" si="123"/>
        <v>0</v>
      </c>
      <c r="DG163" s="175"/>
      <c r="DH163" s="196">
        <f t="shared" si="124"/>
        <v>2</v>
      </c>
      <c r="DI163" s="196">
        <f t="shared" si="125"/>
        <v>0</v>
      </c>
      <c r="DJ163" s="199">
        <f t="shared" si="126"/>
        <v>0</v>
      </c>
      <c r="DK163" s="265">
        <f t="shared" si="127"/>
        <v>2</v>
      </c>
      <c r="DL163" s="244">
        <v>159</v>
      </c>
      <c r="DM163">
        <f t="shared" si="103"/>
        <v>0</v>
      </c>
    </row>
    <row r="164" spans="1:117" x14ac:dyDescent="0.3">
      <c r="A164" s="246">
        <v>160</v>
      </c>
      <c r="B164" s="91" t="s">
        <v>270</v>
      </c>
      <c r="C164" s="91" t="s">
        <v>133</v>
      </c>
      <c r="D164" s="91" t="s">
        <v>119</v>
      </c>
      <c r="E164" s="91" t="s">
        <v>562</v>
      </c>
      <c r="F164" s="91" t="s">
        <v>566</v>
      </c>
      <c r="G164" s="87" t="s">
        <v>549</v>
      </c>
      <c r="H164" s="87" t="s">
        <v>550</v>
      </c>
      <c r="I164" s="87" t="s">
        <v>103</v>
      </c>
      <c r="J164" s="87" t="s">
        <v>103</v>
      </c>
      <c r="K164" s="85" t="s">
        <v>104</v>
      </c>
      <c r="L164" s="85" t="s">
        <v>105</v>
      </c>
      <c r="M164" s="87" t="s">
        <v>106</v>
      </c>
      <c r="N164" s="87" t="s">
        <v>567</v>
      </c>
      <c r="O164" s="87" t="s">
        <v>127</v>
      </c>
      <c r="P164" s="87" t="s">
        <v>568</v>
      </c>
      <c r="Q164" s="87" t="s">
        <v>129</v>
      </c>
      <c r="R164" s="130">
        <v>1</v>
      </c>
      <c r="S164" s="88" t="s">
        <v>111</v>
      </c>
      <c r="T164" s="81">
        <v>0</v>
      </c>
      <c r="U164" s="81">
        <v>0</v>
      </c>
      <c r="V164" s="25">
        <v>0</v>
      </c>
      <c r="W164" s="81">
        <v>0</v>
      </c>
      <c r="X164" s="81">
        <v>0</v>
      </c>
      <c r="Y164" s="25" t="e">
        <f t="shared" si="1"/>
        <v>#DIV/0!</v>
      </c>
      <c r="Z164" s="81">
        <v>1</v>
      </c>
      <c r="AA164" s="81"/>
      <c r="AB164" s="25">
        <f t="shared" si="2"/>
        <v>0</v>
      </c>
      <c r="AC164" s="81">
        <v>1</v>
      </c>
      <c r="AD164" s="81"/>
      <c r="AE164" s="25">
        <f t="shared" si="3"/>
        <v>0</v>
      </c>
      <c r="AF164" s="137">
        <f t="shared" si="132"/>
        <v>1</v>
      </c>
      <c r="AG164" s="137">
        <f t="shared" si="133"/>
        <v>0</v>
      </c>
      <c r="AH164" s="128" t="e">
        <f t="shared" si="130"/>
        <v>#DIV/0!</v>
      </c>
      <c r="AI164" s="90">
        <v>46113</v>
      </c>
      <c r="AJ164" s="90">
        <v>46477</v>
      </c>
      <c r="AK164" s="91" t="s">
        <v>112</v>
      </c>
      <c r="AL164" s="91" t="s">
        <v>113</v>
      </c>
      <c r="AM164" s="92" t="s">
        <v>114</v>
      </c>
      <c r="AN164" s="93">
        <v>30000000</v>
      </c>
      <c r="AO164" s="93">
        <v>30000000</v>
      </c>
      <c r="AP164" s="93">
        <v>30000000</v>
      </c>
      <c r="AQ164" s="94">
        <v>0</v>
      </c>
      <c r="AR164" s="91" t="s">
        <v>558</v>
      </c>
      <c r="AS164" s="91" t="s">
        <v>112</v>
      </c>
      <c r="AT164" s="150" t="s">
        <v>509</v>
      </c>
      <c r="AU164" s="165" t="s">
        <v>2264</v>
      </c>
      <c r="AV164" s="232" t="s">
        <v>2234</v>
      </c>
      <c r="BA164" s="255"/>
      <c r="BB164" s="256"/>
      <c r="BC164" s="223" t="e">
        <f t="shared" si="104"/>
        <v>#DIV/0!</v>
      </c>
      <c r="BD164" s="255"/>
      <c r="BE164" s="256"/>
      <c r="BF164" s="223" t="e">
        <f t="shared" si="105"/>
        <v>#DIV/0!</v>
      </c>
      <c r="BG164" s="255"/>
      <c r="BH164" s="256"/>
      <c r="BI164" s="223" t="e">
        <f t="shared" si="106"/>
        <v>#DIV/0!</v>
      </c>
      <c r="BJ164" s="224">
        <f t="shared" si="107"/>
        <v>0</v>
      </c>
      <c r="BK164" s="225">
        <f t="shared" si="108"/>
        <v>0</v>
      </c>
      <c r="BL164" s="223" t="e">
        <f t="shared" si="109"/>
        <v>#DIV/0!</v>
      </c>
      <c r="BM164" s="255"/>
      <c r="BN164" s="256"/>
      <c r="BO164" s="223" t="e">
        <f t="shared" si="134"/>
        <v>#DIV/0!</v>
      </c>
      <c r="BP164" s="255"/>
      <c r="BQ164" s="256"/>
      <c r="BR164" s="223" t="e">
        <f t="shared" si="135"/>
        <v>#DIV/0!</v>
      </c>
      <c r="BS164" s="255"/>
      <c r="BT164" s="255"/>
      <c r="BU164" s="223" t="e">
        <f t="shared" si="136"/>
        <v>#DIV/0!</v>
      </c>
      <c r="BV164" s="224">
        <f t="shared" si="110"/>
        <v>0</v>
      </c>
      <c r="BW164" s="224">
        <f t="shared" si="111"/>
        <v>0</v>
      </c>
      <c r="BX164" s="223" t="e">
        <f t="shared" si="112"/>
        <v>#DIV/0!</v>
      </c>
      <c r="BY164" s="223">
        <f t="shared" si="113"/>
        <v>0</v>
      </c>
      <c r="BZ164" s="223">
        <f t="shared" si="114"/>
        <v>0</v>
      </c>
      <c r="CA164" s="226"/>
      <c r="CB164" s="175"/>
      <c r="CC164" s="191"/>
      <c r="CD164" s="192"/>
      <c r="CE164" s="193" t="e">
        <f t="shared" si="137"/>
        <v>#DIV/0!</v>
      </c>
      <c r="CF164" s="191"/>
      <c r="CG164" s="192"/>
      <c r="CH164" s="193" t="e">
        <f t="shared" si="138"/>
        <v>#DIV/0!</v>
      </c>
      <c r="CI164" s="197"/>
      <c r="CJ164" s="198"/>
      <c r="CK164" s="193" t="e">
        <f t="shared" si="139"/>
        <v>#DIV/0!</v>
      </c>
      <c r="CL164" s="195">
        <f t="shared" si="140"/>
        <v>0</v>
      </c>
      <c r="CM164" s="194">
        <f t="shared" si="141"/>
        <v>0</v>
      </c>
      <c r="CN164" s="193" t="e">
        <f t="shared" si="142"/>
        <v>#DIV/0!</v>
      </c>
      <c r="CO164" s="175"/>
      <c r="CP164" s="196">
        <f t="shared" si="143"/>
        <v>0</v>
      </c>
      <c r="CQ164" s="196">
        <f t="shared" si="144"/>
        <v>0</v>
      </c>
      <c r="CR164" s="199" t="e">
        <f t="shared" si="145"/>
        <v>#DIV/0!</v>
      </c>
      <c r="CS164" s="261">
        <f t="shared" si="115"/>
        <v>1</v>
      </c>
      <c r="CT164" s="175"/>
      <c r="CU164" s="196">
        <f t="shared" si="116"/>
        <v>0.3</v>
      </c>
      <c r="CV164" s="259"/>
      <c r="CW164" s="199">
        <f t="shared" si="117"/>
        <v>0</v>
      </c>
      <c r="CX164" s="196">
        <f t="shared" si="118"/>
        <v>0.3</v>
      </c>
      <c r="CY164" s="259"/>
      <c r="CZ164" s="199">
        <f t="shared" si="119"/>
        <v>0</v>
      </c>
      <c r="DA164" s="196">
        <f t="shared" si="120"/>
        <v>0.3</v>
      </c>
      <c r="DB164" s="259"/>
      <c r="DC164" s="199">
        <f t="shared" si="121"/>
        <v>0</v>
      </c>
      <c r="DD164" s="196">
        <f t="shared" si="122"/>
        <v>0.1</v>
      </c>
      <c r="DE164" s="259"/>
      <c r="DF164" s="199">
        <f t="shared" si="123"/>
        <v>0</v>
      </c>
      <c r="DG164" s="175"/>
      <c r="DH164" s="196">
        <f t="shared" si="124"/>
        <v>1</v>
      </c>
      <c r="DI164" s="196">
        <f t="shared" si="125"/>
        <v>0</v>
      </c>
      <c r="DJ164" s="199">
        <f t="shared" si="126"/>
        <v>0</v>
      </c>
      <c r="DK164" s="265">
        <f t="shared" si="127"/>
        <v>1</v>
      </c>
      <c r="DL164" s="244">
        <v>160</v>
      </c>
      <c r="DM164">
        <f t="shared" si="103"/>
        <v>0</v>
      </c>
    </row>
    <row r="165" spans="1:117" x14ac:dyDescent="0.3">
      <c r="A165" s="246">
        <v>161</v>
      </c>
      <c r="B165" s="91" t="s">
        <v>270</v>
      </c>
      <c r="C165" s="91" t="s">
        <v>118</v>
      </c>
      <c r="D165" s="91" t="s">
        <v>119</v>
      </c>
      <c r="E165" s="91" t="s">
        <v>155</v>
      </c>
      <c r="F165" s="91" t="s">
        <v>548</v>
      </c>
      <c r="G165" s="87" t="s">
        <v>569</v>
      </c>
      <c r="H165" s="87" t="s">
        <v>570</v>
      </c>
      <c r="I165" s="87" t="s">
        <v>103</v>
      </c>
      <c r="J165" s="87" t="s">
        <v>103</v>
      </c>
      <c r="K165" s="85" t="s">
        <v>104</v>
      </c>
      <c r="L165" s="85" t="s">
        <v>105</v>
      </c>
      <c r="M165" s="87" t="s">
        <v>106</v>
      </c>
      <c r="N165" s="87" t="s">
        <v>107</v>
      </c>
      <c r="O165" s="87" t="s">
        <v>127</v>
      </c>
      <c r="P165" s="87" t="s">
        <v>571</v>
      </c>
      <c r="Q165" s="87" t="s">
        <v>129</v>
      </c>
      <c r="R165" s="130">
        <v>4</v>
      </c>
      <c r="S165" s="88" t="s">
        <v>111</v>
      </c>
      <c r="T165" s="81">
        <v>0</v>
      </c>
      <c r="U165" s="81">
        <v>0</v>
      </c>
      <c r="V165" s="25">
        <v>0</v>
      </c>
      <c r="W165" s="81">
        <v>0</v>
      </c>
      <c r="X165" s="81">
        <v>1</v>
      </c>
      <c r="Y165" s="25" t="e">
        <f t="shared" si="1"/>
        <v>#DIV/0!</v>
      </c>
      <c r="Z165" s="81">
        <v>2</v>
      </c>
      <c r="AA165" s="81"/>
      <c r="AB165" s="25">
        <f t="shared" si="2"/>
        <v>0</v>
      </c>
      <c r="AC165" s="81">
        <v>2</v>
      </c>
      <c r="AD165" s="81"/>
      <c r="AE165" s="25">
        <f t="shared" si="3"/>
        <v>0</v>
      </c>
      <c r="AF165" s="137">
        <f t="shared" si="132"/>
        <v>4</v>
      </c>
      <c r="AG165" s="137">
        <f t="shared" si="133"/>
        <v>1</v>
      </c>
      <c r="AH165" s="128" t="e">
        <f t="shared" si="130"/>
        <v>#DIV/0!</v>
      </c>
      <c r="AI165" s="90">
        <v>46113</v>
      </c>
      <c r="AJ165" s="90">
        <v>46477</v>
      </c>
      <c r="AK165" s="91" t="s">
        <v>112</v>
      </c>
      <c r="AL165" s="91" t="s">
        <v>113</v>
      </c>
      <c r="AM165" s="92" t="s">
        <v>114</v>
      </c>
      <c r="AN165" s="93">
        <v>40000000</v>
      </c>
      <c r="AO165" s="93">
        <v>40000000</v>
      </c>
      <c r="AP165" s="93">
        <v>40000000</v>
      </c>
      <c r="AQ165" s="94">
        <v>0</v>
      </c>
      <c r="AR165" s="91" t="s">
        <v>558</v>
      </c>
      <c r="AS165" s="91" t="s">
        <v>112</v>
      </c>
      <c r="AT165" s="150" t="s">
        <v>509</v>
      </c>
      <c r="AU165" s="165" t="s">
        <v>2264</v>
      </c>
      <c r="AV165" s="232" t="s">
        <v>2234</v>
      </c>
      <c r="BA165" s="255"/>
      <c r="BB165" s="256"/>
      <c r="BC165" s="223" t="e">
        <f t="shared" si="104"/>
        <v>#DIV/0!</v>
      </c>
      <c r="BD165" s="255"/>
      <c r="BE165" s="256"/>
      <c r="BF165" s="223" t="e">
        <f t="shared" si="105"/>
        <v>#DIV/0!</v>
      </c>
      <c r="BG165" s="255"/>
      <c r="BH165" s="256"/>
      <c r="BI165" s="223" t="e">
        <f t="shared" si="106"/>
        <v>#DIV/0!</v>
      </c>
      <c r="BJ165" s="224">
        <f t="shared" si="107"/>
        <v>0</v>
      </c>
      <c r="BK165" s="225">
        <f t="shared" si="108"/>
        <v>0</v>
      </c>
      <c r="BL165" s="223" t="e">
        <f t="shared" si="109"/>
        <v>#DIV/0!</v>
      </c>
      <c r="BM165" s="255"/>
      <c r="BN165" s="256"/>
      <c r="BO165" s="223" t="e">
        <f t="shared" si="134"/>
        <v>#DIV/0!</v>
      </c>
      <c r="BP165" s="255"/>
      <c r="BQ165" s="256"/>
      <c r="BR165" s="223" t="e">
        <f t="shared" si="135"/>
        <v>#DIV/0!</v>
      </c>
      <c r="BS165" s="255"/>
      <c r="BT165" s="255"/>
      <c r="BU165" s="223" t="e">
        <f t="shared" si="136"/>
        <v>#DIV/0!</v>
      </c>
      <c r="BV165" s="224">
        <f t="shared" si="110"/>
        <v>0</v>
      </c>
      <c r="BW165" s="224">
        <f t="shared" si="111"/>
        <v>0</v>
      </c>
      <c r="BX165" s="223" t="e">
        <f t="shared" si="112"/>
        <v>#DIV/0!</v>
      </c>
      <c r="BY165" s="223">
        <f t="shared" si="113"/>
        <v>0</v>
      </c>
      <c r="BZ165" s="223">
        <f t="shared" si="114"/>
        <v>0</v>
      </c>
      <c r="CA165" s="226"/>
      <c r="CB165" s="175"/>
      <c r="CC165" s="191"/>
      <c r="CD165" s="192"/>
      <c r="CE165" s="193" t="e">
        <f t="shared" si="137"/>
        <v>#DIV/0!</v>
      </c>
      <c r="CF165" s="191"/>
      <c r="CG165" s="192"/>
      <c r="CH165" s="193" t="e">
        <f t="shared" si="138"/>
        <v>#DIV/0!</v>
      </c>
      <c r="CI165" s="197"/>
      <c r="CJ165" s="198"/>
      <c r="CK165" s="193" t="e">
        <f t="shared" si="139"/>
        <v>#DIV/0!</v>
      </c>
      <c r="CL165" s="195">
        <f t="shared" si="140"/>
        <v>0</v>
      </c>
      <c r="CM165" s="194">
        <f t="shared" si="141"/>
        <v>0</v>
      </c>
      <c r="CN165" s="193" t="e">
        <f t="shared" si="142"/>
        <v>#DIV/0!</v>
      </c>
      <c r="CO165" s="175"/>
      <c r="CP165" s="196">
        <f t="shared" si="143"/>
        <v>0</v>
      </c>
      <c r="CQ165" s="196">
        <f t="shared" si="144"/>
        <v>0</v>
      </c>
      <c r="CR165" s="199" t="e">
        <f t="shared" si="145"/>
        <v>#DIV/0!</v>
      </c>
      <c r="CS165" s="261">
        <f t="shared" si="115"/>
        <v>4</v>
      </c>
      <c r="CT165" s="175"/>
      <c r="CU165" s="196">
        <f t="shared" si="116"/>
        <v>1.2</v>
      </c>
      <c r="CV165" s="259"/>
      <c r="CW165" s="199">
        <f t="shared" si="117"/>
        <v>0</v>
      </c>
      <c r="CX165" s="196">
        <f t="shared" si="118"/>
        <v>1.2</v>
      </c>
      <c r="CY165" s="259"/>
      <c r="CZ165" s="199">
        <f t="shared" si="119"/>
        <v>0</v>
      </c>
      <c r="DA165" s="196">
        <f t="shared" si="120"/>
        <v>1.2</v>
      </c>
      <c r="DB165" s="259"/>
      <c r="DC165" s="199">
        <f t="shared" si="121"/>
        <v>0</v>
      </c>
      <c r="DD165" s="196">
        <f t="shared" si="122"/>
        <v>0.4</v>
      </c>
      <c r="DE165" s="259"/>
      <c r="DF165" s="199">
        <f t="shared" si="123"/>
        <v>0</v>
      </c>
      <c r="DG165" s="175"/>
      <c r="DH165" s="196">
        <f t="shared" si="124"/>
        <v>4</v>
      </c>
      <c r="DI165" s="196">
        <f t="shared" si="125"/>
        <v>0</v>
      </c>
      <c r="DJ165" s="199">
        <f t="shared" si="126"/>
        <v>0</v>
      </c>
      <c r="DK165" s="265">
        <f t="shared" si="127"/>
        <v>4</v>
      </c>
      <c r="DL165" s="244">
        <v>161</v>
      </c>
      <c r="DM165">
        <f t="shared" ref="DM165" si="147">+A165-DL165</f>
        <v>0</v>
      </c>
    </row>
    <row r="166" spans="1:117" ht="18" customHeight="1" x14ac:dyDescent="0.3">
      <c r="A166" s="81">
        <v>162</v>
      </c>
      <c r="B166" s="91" t="s">
        <v>270</v>
      </c>
      <c r="C166" s="91" t="s">
        <v>133</v>
      </c>
      <c r="D166" s="91" t="s">
        <v>119</v>
      </c>
      <c r="E166" s="91" t="s">
        <v>134</v>
      </c>
      <c r="F166" s="91" t="s">
        <v>257</v>
      </c>
      <c r="G166" s="87" t="s">
        <v>569</v>
      </c>
      <c r="H166" s="87" t="s">
        <v>572</v>
      </c>
      <c r="I166" s="87" t="s">
        <v>103</v>
      </c>
      <c r="J166" s="87" t="s">
        <v>103</v>
      </c>
      <c r="K166" s="85" t="s">
        <v>104</v>
      </c>
      <c r="L166" s="85" t="s">
        <v>105</v>
      </c>
      <c r="M166" s="87" t="s">
        <v>106</v>
      </c>
      <c r="N166" s="87" t="s">
        <v>573</v>
      </c>
      <c r="O166" s="87" t="s">
        <v>127</v>
      </c>
      <c r="P166" s="188" t="s">
        <v>574</v>
      </c>
      <c r="Q166" s="87" t="s">
        <v>129</v>
      </c>
      <c r="R166" s="130">
        <v>4</v>
      </c>
      <c r="S166" s="88" t="s">
        <v>111</v>
      </c>
      <c r="T166" s="81">
        <v>0</v>
      </c>
      <c r="U166" s="81">
        <v>0</v>
      </c>
      <c r="V166" s="25" t="e">
        <f t="shared" ref="V166:V167" si="148">U166/T166*100</f>
        <v>#DIV/0!</v>
      </c>
      <c r="W166" s="81">
        <v>0</v>
      </c>
      <c r="X166" s="81">
        <v>0</v>
      </c>
      <c r="Y166" s="25" t="e">
        <f t="shared" si="1"/>
        <v>#DIV/0!</v>
      </c>
      <c r="Z166" s="81">
        <v>2</v>
      </c>
      <c r="AA166" s="81"/>
      <c r="AB166" s="25">
        <f t="shared" si="2"/>
        <v>0</v>
      </c>
      <c r="AC166" s="81">
        <v>2</v>
      </c>
      <c r="AD166" s="81"/>
      <c r="AE166" s="25">
        <f t="shared" si="3"/>
        <v>0</v>
      </c>
      <c r="AF166" s="137">
        <f t="shared" si="132"/>
        <v>4</v>
      </c>
      <c r="AG166" s="137">
        <f t="shared" si="133"/>
        <v>0</v>
      </c>
      <c r="AH166" s="128" t="e">
        <f t="shared" si="130"/>
        <v>#DIV/0!</v>
      </c>
      <c r="AI166" s="90">
        <v>46113</v>
      </c>
      <c r="AJ166" s="90">
        <v>46477</v>
      </c>
      <c r="AK166" s="91" t="s">
        <v>112</v>
      </c>
      <c r="AL166" s="91" t="s">
        <v>113</v>
      </c>
      <c r="AM166" s="92" t="s">
        <v>114</v>
      </c>
      <c r="AN166" s="93">
        <v>40000000</v>
      </c>
      <c r="AO166" s="93">
        <v>40000000</v>
      </c>
      <c r="AP166" s="93">
        <v>40000000</v>
      </c>
      <c r="AQ166" s="94">
        <v>0</v>
      </c>
      <c r="AR166" s="91"/>
      <c r="AS166" s="91" t="s">
        <v>112</v>
      </c>
      <c r="AT166" s="180" t="s">
        <v>509</v>
      </c>
      <c r="AU166" s="165" t="s">
        <v>2264</v>
      </c>
      <c r="AV166" s="231" t="s">
        <v>2304</v>
      </c>
      <c r="AX166" s="179" t="s">
        <v>2305</v>
      </c>
      <c r="BA166" s="191"/>
      <c r="BB166" s="192"/>
      <c r="BC166" s="223" t="e">
        <f t="shared" si="104"/>
        <v>#DIV/0!</v>
      </c>
      <c r="BD166" s="191"/>
      <c r="BE166" s="192"/>
      <c r="BF166" s="223" t="e">
        <f t="shared" si="105"/>
        <v>#DIV/0!</v>
      </c>
      <c r="BG166" s="191"/>
      <c r="BH166" s="192"/>
      <c r="BI166" s="223" t="e">
        <f t="shared" si="106"/>
        <v>#DIV/0!</v>
      </c>
      <c r="BJ166" s="224">
        <f t="shared" si="107"/>
        <v>0</v>
      </c>
      <c r="BK166" s="225">
        <f t="shared" si="108"/>
        <v>0</v>
      </c>
      <c r="BL166" s="223" t="e">
        <f t="shared" si="109"/>
        <v>#DIV/0!</v>
      </c>
      <c r="BM166" s="191"/>
      <c r="BN166" s="192"/>
      <c r="BO166" s="193" t="e">
        <f t="shared" si="134"/>
        <v>#DIV/0!</v>
      </c>
      <c r="BP166" s="191"/>
      <c r="BQ166" s="192"/>
      <c r="BR166" s="193" t="e">
        <f t="shared" si="135"/>
        <v>#DIV/0!</v>
      </c>
      <c r="BS166" s="191"/>
      <c r="BT166" s="192"/>
      <c r="BU166" s="193" t="e">
        <f t="shared" si="136"/>
        <v>#DIV/0!</v>
      </c>
      <c r="BV166" s="224">
        <f t="shared" si="110"/>
        <v>0</v>
      </c>
      <c r="BW166" s="224">
        <f t="shared" si="111"/>
        <v>0</v>
      </c>
      <c r="BX166" s="223" t="e">
        <f t="shared" si="112"/>
        <v>#DIV/0!</v>
      </c>
      <c r="BY166" s="223">
        <f t="shared" si="113"/>
        <v>0</v>
      </c>
      <c r="BZ166" s="223">
        <f t="shared" si="114"/>
        <v>0</v>
      </c>
      <c r="CA166" s="196"/>
      <c r="CB166" s="175"/>
      <c r="CC166" s="191"/>
      <c r="CD166" s="192"/>
      <c r="CE166" s="193" t="e">
        <f t="shared" si="137"/>
        <v>#DIV/0!</v>
      </c>
      <c r="CF166" s="191"/>
      <c r="CG166" s="192"/>
      <c r="CH166" s="193" t="e">
        <f t="shared" si="138"/>
        <v>#DIV/0!</v>
      </c>
      <c r="CI166" s="197"/>
      <c r="CJ166" s="198"/>
      <c r="CK166" s="193" t="e">
        <f t="shared" si="139"/>
        <v>#DIV/0!</v>
      </c>
      <c r="CL166" s="195">
        <f t="shared" si="140"/>
        <v>0</v>
      </c>
      <c r="CM166" s="194">
        <f t="shared" si="141"/>
        <v>0</v>
      </c>
      <c r="CN166" s="193" t="e">
        <f t="shared" si="142"/>
        <v>#DIV/0!</v>
      </c>
      <c r="CO166" s="175"/>
      <c r="CP166" s="196">
        <f t="shared" si="143"/>
        <v>0</v>
      </c>
      <c r="CQ166" s="196">
        <f t="shared" si="144"/>
        <v>0</v>
      </c>
      <c r="CR166" s="199" t="e">
        <f t="shared" si="145"/>
        <v>#DIV/0!</v>
      </c>
      <c r="CS166" s="261">
        <f t="shared" si="115"/>
        <v>4</v>
      </c>
      <c r="CT166" s="175"/>
      <c r="CU166" s="196">
        <f t="shared" si="116"/>
        <v>1.2</v>
      </c>
      <c r="CV166" s="259"/>
      <c r="CW166" s="199">
        <f t="shared" si="117"/>
        <v>0</v>
      </c>
      <c r="CX166" s="196">
        <f t="shared" si="118"/>
        <v>1.2</v>
      </c>
      <c r="CY166" s="259"/>
      <c r="CZ166" s="199">
        <f t="shared" si="119"/>
        <v>0</v>
      </c>
      <c r="DA166" s="196">
        <f t="shared" si="120"/>
        <v>1.2</v>
      </c>
      <c r="DB166" s="259"/>
      <c r="DC166" s="199">
        <f t="shared" si="121"/>
        <v>0</v>
      </c>
      <c r="DD166" s="196">
        <f t="shared" si="122"/>
        <v>0.4</v>
      </c>
      <c r="DE166" s="259"/>
      <c r="DF166" s="199">
        <f t="shared" si="123"/>
        <v>0</v>
      </c>
      <c r="DG166" s="175"/>
      <c r="DH166" s="196">
        <f t="shared" si="124"/>
        <v>4</v>
      </c>
      <c r="DI166" s="196">
        <f t="shared" si="125"/>
        <v>0</v>
      </c>
      <c r="DJ166" s="199">
        <f t="shared" si="126"/>
        <v>0</v>
      </c>
      <c r="DK166" s="265">
        <f t="shared" si="127"/>
        <v>4</v>
      </c>
      <c r="DL166" s="244">
        <v>162</v>
      </c>
    </row>
    <row r="167" spans="1:117" ht="18" customHeight="1" x14ac:dyDescent="0.3">
      <c r="A167" s="81">
        <v>163</v>
      </c>
      <c r="B167" s="91" t="s">
        <v>270</v>
      </c>
      <c r="C167" s="91" t="s">
        <v>97</v>
      </c>
      <c r="D167" s="91" t="s">
        <v>98</v>
      </c>
      <c r="E167" s="91" t="s">
        <v>575</v>
      </c>
      <c r="F167" s="91" t="s">
        <v>257</v>
      </c>
      <c r="G167" s="87" t="s">
        <v>569</v>
      </c>
      <c r="H167" s="87" t="s">
        <v>572</v>
      </c>
      <c r="I167" s="87" t="s">
        <v>103</v>
      </c>
      <c r="J167" s="87" t="s">
        <v>103</v>
      </c>
      <c r="K167" s="85" t="s">
        <v>104</v>
      </c>
      <c r="L167" s="85" t="s">
        <v>105</v>
      </c>
      <c r="M167" s="87" t="s">
        <v>106</v>
      </c>
      <c r="N167" s="87" t="s">
        <v>107</v>
      </c>
      <c r="O167" s="87" t="s">
        <v>108</v>
      </c>
      <c r="P167" s="188" t="s">
        <v>576</v>
      </c>
      <c r="Q167" s="87" t="s">
        <v>110</v>
      </c>
      <c r="R167" s="130">
        <v>29</v>
      </c>
      <c r="S167" s="88" t="s">
        <v>111</v>
      </c>
      <c r="T167" s="81">
        <v>0</v>
      </c>
      <c r="U167" s="81">
        <v>0</v>
      </c>
      <c r="V167" s="25" t="e">
        <f t="shared" si="148"/>
        <v>#DIV/0!</v>
      </c>
      <c r="W167" s="81">
        <v>1</v>
      </c>
      <c r="X167" s="81">
        <v>0</v>
      </c>
      <c r="Y167" s="25">
        <f t="shared" si="1"/>
        <v>0</v>
      </c>
      <c r="Z167" s="81">
        <v>14</v>
      </c>
      <c r="AA167" s="81"/>
      <c r="AB167" s="25">
        <f t="shared" si="2"/>
        <v>0</v>
      </c>
      <c r="AC167" s="81">
        <v>1</v>
      </c>
      <c r="AD167" s="81"/>
      <c r="AE167" s="25">
        <f t="shared" si="3"/>
        <v>0</v>
      </c>
      <c r="AF167" s="137">
        <f t="shared" si="132"/>
        <v>29</v>
      </c>
      <c r="AG167" s="137">
        <f t="shared" si="133"/>
        <v>0</v>
      </c>
      <c r="AH167" s="128">
        <f t="shared" si="130"/>
        <v>0</v>
      </c>
      <c r="AI167" s="90">
        <v>46113</v>
      </c>
      <c r="AJ167" s="90">
        <v>46477</v>
      </c>
      <c r="AK167" s="91" t="s">
        <v>112</v>
      </c>
      <c r="AL167" s="91" t="s">
        <v>113</v>
      </c>
      <c r="AM167" s="92" t="s">
        <v>114</v>
      </c>
      <c r="AN167" s="93">
        <v>120000000</v>
      </c>
      <c r="AO167" s="93">
        <v>120000000</v>
      </c>
      <c r="AP167" s="93">
        <v>120000000</v>
      </c>
      <c r="AQ167" s="94">
        <v>0</v>
      </c>
      <c r="AR167" s="91" t="s">
        <v>159</v>
      </c>
      <c r="AS167" s="91" t="s">
        <v>112</v>
      </c>
      <c r="AT167" s="180" t="s">
        <v>509</v>
      </c>
      <c r="AU167" s="165" t="s">
        <v>2264</v>
      </c>
      <c r="AV167" s="231" t="s">
        <v>2304</v>
      </c>
      <c r="AX167" s="179" t="s">
        <v>2305</v>
      </c>
      <c r="BA167" s="191"/>
      <c r="BB167" s="192"/>
      <c r="BC167" s="223" t="e">
        <f t="shared" si="104"/>
        <v>#DIV/0!</v>
      </c>
      <c r="BD167" s="191"/>
      <c r="BE167" s="192"/>
      <c r="BF167" s="223" t="e">
        <f t="shared" si="105"/>
        <v>#DIV/0!</v>
      </c>
      <c r="BG167" s="191"/>
      <c r="BH167" s="192"/>
      <c r="BI167" s="223" t="e">
        <f t="shared" si="106"/>
        <v>#DIV/0!</v>
      </c>
      <c r="BJ167" s="224">
        <f t="shared" si="107"/>
        <v>0</v>
      </c>
      <c r="BK167" s="225">
        <f t="shared" si="108"/>
        <v>0</v>
      </c>
      <c r="BL167" s="223" t="e">
        <f t="shared" si="109"/>
        <v>#DIV/0!</v>
      </c>
      <c r="BM167" s="191"/>
      <c r="BN167" s="192"/>
      <c r="BO167" s="193" t="e">
        <f t="shared" si="134"/>
        <v>#DIV/0!</v>
      </c>
      <c r="BP167" s="191"/>
      <c r="BQ167" s="192"/>
      <c r="BR167" s="193" t="e">
        <f t="shared" si="135"/>
        <v>#DIV/0!</v>
      </c>
      <c r="BS167" s="191"/>
      <c r="BT167" s="192"/>
      <c r="BU167" s="193" t="e">
        <f t="shared" si="136"/>
        <v>#DIV/0!</v>
      </c>
      <c r="BV167" s="224">
        <f t="shared" si="110"/>
        <v>0</v>
      </c>
      <c r="BW167" s="224">
        <f t="shared" si="111"/>
        <v>0</v>
      </c>
      <c r="BX167" s="223" t="e">
        <f t="shared" si="112"/>
        <v>#DIV/0!</v>
      </c>
      <c r="BY167" s="223">
        <f t="shared" si="113"/>
        <v>0</v>
      </c>
      <c r="BZ167" s="223">
        <f t="shared" si="114"/>
        <v>0</v>
      </c>
      <c r="CA167" s="196"/>
      <c r="CB167" s="175"/>
      <c r="CC167" s="191"/>
      <c r="CD167" s="192"/>
      <c r="CE167" s="193" t="e">
        <f t="shared" si="137"/>
        <v>#DIV/0!</v>
      </c>
      <c r="CF167" s="191"/>
      <c r="CG167" s="192"/>
      <c r="CH167" s="193" t="e">
        <f t="shared" si="138"/>
        <v>#DIV/0!</v>
      </c>
      <c r="CI167" s="197"/>
      <c r="CJ167" s="198"/>
      <c r="CK167" s="193" t="e">
        <f t="shared" si="139"/>
        <v>#DIV/0!</v>
      </c>
      <c r="CL167" s="195">
        <f t="shared" si="140"/>
        <v>0</v>
      </c>
      <c r="CM167" s="194">
        <f t="shared" si="141"/>
        <v>0</v>
      </c>
      <c r="CN167" s="193" t="e">
        <f t="shared" si="142"/>
        <v>#DIV/0!</v>
      </c>
      <c r="CO167" s="175"/>
      <c r="CP167" s="196">
        <f t="shared" si="143"/>
        <v>0</v>
      </c>
      <c r="CQ167" s="196">
        <f t="shared" si="144"/>
        <v>0</v>
      </c>
      <c r="CR167" s="199" t="e">
        <f t="shared" si="145"/>
        <v>#DIV/0!</v>
      </c>
      <c r="CS167" s="261">
        <f t="shared" si="115"/>
        <v>29</v>
      </c>
      <c r="CT167" s="175"/>
      <c r="CU167" s="196">
        <f t="shared" si="116"/>
        <v>8.6999999999999993</v>
      </c>
      <c r="CV167" s="259"/>
      <c r="CW167" s="199">
        <f t="shared" si="117"/>
        <v>0</v>
      </c>
      <c r="CX167" s="196">
        <f t="shared" si="118"/>
        <v>8.6999999999999993</v>
      </c>
      <c r="CY167" s="259"/>
      <c r="CZ167" s="199">
        <f t="shared" si="119"/>
        <v>0</v>
      </c>
      <c r="DA167" s="196">
        <f t="shared" si="120"/>
        <v>8.6999999999999993</v>
      </c>
      <c r="DB167" s="259"/>
      <c r="DC167" s="199">
        <f t="shared" si="121"/>
        <v>0</v>
      </c>
      <c r="DD167" s="196">
        <f t="shared" si="122"/>
        <v>2.9000000000000004</v>
      </c>
      <c r="DE167" s="259"/>
      <c r="DF167" s="199">
        <f t="shared" si="123"/>
        <v>0</v>
      </c>
      <c r="DG167" s="175"/>
      <c r="DH167" s="196">
        <f t="shared" si="124"/>
        <v>29</v>
      </c>
      <c r="DI167" s="196">
        <f t="shared" si="125"/>
        <v>0</v>
      </c>
      <c r="DJ167" s="199">
        <f t="shared" si="126"/>
        <v>0</v>
      </c>
      <c r="DK167" s="265">
        <f t="shared" si="127"/>
        <v>29</v>
      </c>
      <c r="DL167" s="244">
        <v>163</v>
      </c>
    </row>
    <row r="168" spans="1:117" x14ac:dyDescent="0.3">
      <c r="A168" s="246">
        <v>164</v>
      </c>
      <c r="B168" s="91" t="s">
        <v>270</v>
      </c>
      <c r="C168" s="91" t="s">
        <v>195</v>
      </c>
      <c r="D168" s="91" t="s">
        <v>196</v>
      </c>
      <c r="E168" s="91" t="s">
        <v>562</v>
      </c>
      <c r="F168" s="91" t="s">
        <v>577</v>
      </c>
      <c r="G168" s="87" t="s">
        <v>578</v>
      </c>
      <c r="H168" s="87" t="s">
        <v>579</v>
      </c>
      <c r="I168" s="87" t="s">
        <v>103</v>
      </c>
      <c r="J168" s="87" t="s">
        <v>103</v>
      </c>
      <c r="K168" s="85" t="s">
        <v>104</v>
      </c>
      <c r="L168" s="85" t="s">
        <v>105</v>
      </c>
      <c r="M168" s="87" t="s">
        <v>106</v>
      </c>
      <c r="N168" s="87" t="s">
        <v>107</v>
      </c>
      <c r="O168" s="87" t="s">
        <v>108</v>
      </c>
      <c r="P168" s="87" t="s">
        <v>580</v>
      </c>
      <c r="Q168" s="87" t="s">
        <v>110</v>
      </c>
      <c r="R168" s="130">
        <v>4</v>
      </c>
      <c r="S168" s="88" t="s">
        <v>111</v>
      </c>
      <c r="T168" s="81">
        <v>0</v>
      </c>
      <c r="U168" s="81">
        <v>0</v>
      </c>
      <c r="V168" s="25">
        <v>0</v>
      </c>
      <c r="W168" s="81">
        <v>0</v>
      </c>
      <c r="X168" s="81"/>
      <c r="Y168" s="25" t="e">
        <f t="shared" si="1"/>
        <v>#DIV/0!</v>
      </c>
      <c r="Z168" s="81">
        <v>1</v>
      </c>
      <c r="AA168" s="81"/>
      <c r="AB168" s="25">
        <f t="shared" si="2"/>
        <v>0</v>
      </c>
      <c r="AC168" s="81">
        <v>0</v>
      </c>
      <c r="AD168" s="81"/>
      <c r="AE168" s="25" t="e">
        <f t="shared" si="3"/>
        <v>#DIV/0!</v>
      </c>
      <c r="AF168" s="137">
        <f t="shared" si="132"/>
        <v>4</v>
      </c>
      <c r="AG168" s="137">
        <f t="shared" si="133"/>
        <v>0</v>
      </c>
      <c r="AH168" s="128" t="e">
        <f t="shared" si="130"/>
        <v>#DIV/0!</v>
      </c>
      <c r="AI168" s="90">
        <v>46113</v>
      </c>
      <c r="AJ168" s="90">
        <v>46477</v>
      </c>
      <c r="AK168" s="91" t="s">
        <v>112</v>
      </c>
      <c r="AL168" s="91" t="s">
        <v>113</v>
      </c>
      <c r="AM168" s="92" t="s">
        <v>114</v>
      </c>
      <c r="AN168" s="93">
        <v>80000000</v>
      </c>
      <c r="AO168" s="93">
        <v>80000000</v>
      </c>
      <c r="AP168" s="93">
        <v>80000000</v>
      </c>
      <c r="AQ168" s="94">
        <v>0</v>
      </c>
      <c r="AR168" s="91" t="s">
        <v>159</v>
      </c>
      <c r="AS168" s="91" t="s">
        <v>112</v>
      </c>
      <c r="AT168" s="150" t="s">
        <v>509</v>
      </c>
      <c r="AU168" s="163" t="s">
        <v>2264</v>
      </c>
      <c r="AV168" s="232" t="s">
        <v>2234</v>
      </c>
      <c r="BA168" s="255"/>
      <c r="BB168" s="256"/>
      <c r="BC168" s="223" t="e">
        <f t="shared" si="104"/>
        <v>#DIV/0!</v>
      </c>
      <c r="BD168" s="255"/>
      <c r="BE168" s="256"/>
      <c r="BF168" s="223" t="e">
        <f t="shared" si="105"/>
        <v>#DIV/0!</v>
      </c>
      <c r="BG168" s="255"/>
      <c r="BH168" s="256"/>
      <c r="BI168" s="223" t="e">
        <f t="shared" si="106"/>
        <v>#DIV/0!</v>
      </c>
      <c r="BJ168" s="224">
        <f t="shared" si="107"/>
        <v>0</v>
      </c>
      <c r="BK168" s="225">
        <f t="shared" si="108"/>
        <v>0</v>
      </c>
      <c r="BL168" s="223" t="e">
        <f t="shared" si="109"/>
        <v>#DIV/0!</v>
      </c>
      <c r="BM168" s="255"/>
      <c r="BN168" s="256"/>
      <c r="BO168" s="223" t="e">
        <f t="shared" si="134"/>
        <v>#DIV/0!</v>
      </c>
      <c r="BP168" s="255"/>
      <c r="BQ168" s="256"/>
      <c r="BR168" s="223" t="e">
        <f t="shared" si="135"/>
        <v>#DIV/0!</v>
      </c>
      <c r="BS168" s="255"/>
      <c r="BT168" s="255"/>
      <c r="BU168" s="223" t="e">
        <f t="shared" si="136"/>
        <v>#DIV/0!</v>
      </c>
      <c r="BV168" s="224">
        <f t="shared" si="110"/>
        <v>0</v>
      </c>
      <c r="BW168" s="224">
        <f t="shared" si="111"/>
        <v>0</v>
      </c>
      <c r="BX168" s="223" t="e">
        <f t="shared" si="112"/>
        <v>#DIV/0!</v>
      </c>
      <c r="BY168" s="223">
        <f t="shared" si="113"/>
        <v>0</v>
      </c>
      <c r="BZ168" s="223">
        <f t="shared" si="114"/>
        <v>0</v>
      </c>
      <c r="CA168" s="226"/>
      <c r="CB168" s="175"/>
      <c r="CC168" s="191"/>
      <c r="CD168" s="192"/>
      <c r="CE168" s="193" t="e">
        <f t="shared" si="137"/>
        <v>#DIV/0!</v>
      </c>
      <c r="CF168" s="191"/>
      <c r="CG168" s="192"/>
      <c r="CH168" s="193" t="e">
        <f t="shared" si="138"/>
        <v>#DIV/0!</v>
      </c>
      <c r="CI168" s="197"/>
      <c r="CJ168" s="198"/>
      <c r="CK168" s="193" t="e">
        <f t="shared" si="139"/>
        <v>#DIV/0!</v>
      </c>
      <c r="CL168" s="195">
        <f t="shared" si="140"/>
        <v>0</v>
      </c>
      <c r="CM168" s="194">
        <f t="shared" si="141"/>
        <v>0</v>
      </c>
      <c r="CN168" s="193" t="e">
        <f t="shared" si="142"/>
        <v>#DIV/0!</v>
      </c>
      <c r="CO168" s="175"/>
      <c r="CP168" s="196">
        <f t="shared" si="143"/>
        <v>0</v>
      </c>
      <c r="CQ168" s="196">
        <f t="shared" si="144"/>
        <v>0</v>
      </c>
      <c r="CR168" s="199" t="e">
        <f t="shared" si="145"/>
        <v>#DIV/0!</v>
      </c>
      <c r="CS168" s="261">
        <f t="shared" si="115"/>
        <v>4</v>
      </c>
      <c r="CT168" s="175"/>
      <c r="CU168" s="196">
        <f t="shared" si="116"/>
        <v>1.2</v>
      </c>
      <c r="CV168" s="259"/>
      <c r="CW168" s="199">
        <f t="shared" si="117"/>
        <v>0</v>
      </c>
      <c r="CX168" s="196">
        <f t="shared" si="118"/>
        <v>1.2</v>
      </c>
      <c r="CY168" s="259"/>
      <c r="CZ168" s="199">
        <f t="shared" si="119"/>
        <v>0</v>
      </c>
      <c r="DA168" s="196">
        <f t="shared" si="120"/>
        <v>1.2</v>
      </c>
      <c r="DB168" s="259"/>
      <c r="DC168" s="199">
        <f t="shared" si="121"/>
        <v>0</v>
      </c>
      <c r="DD168" s="196">
        <f t="shared" si="122"/>
        <v>0.4</v>
      </c>
      <c r="DE168" s="259"/>
      <c r="DF168" s="199">
        <f t="shared" si="123"/>
        <v>0</v>
      </c>
      <c r="DG168" s="175"/>
      <c r="DH168" s="196">
        <f t="shared" si="124"/>
        <v>4</v>
      </c>
      <c r="DI168" s="196">
        <f t="shared" si="125"/>
        <v>0</v>
      </c>
      <c r="DJ168" s="199">
        <f t="shared" si="126"/>
        <v>0</v>
      </c>
      <c r="DK168" s="265">
        <f t="shared" si="127"/>
        <v>4</v>
      </c>
      <c r="DL168" s="244">
        <v>164</v>
      </c>
      <c r="DM168">
        <f t="shared" ref="DM168:DM215" si="149">+A168-DL168</f>
        <v>0</v>
      </c>
    </row>
    <row r="169" spans="1:117" x14ac:dyDescent="0.3">
      <c r="A169" s="246">
        <v>165</v>
      </c>
      <c r="B169" s="91" t="s">
        <v>270</v>
      </c>
      <c r="C169" s="91" t="s">
        <v>195</v>
      </c>
      <c r="D169" s="91" t="s">
        <v>196</v>
      </c>
      <c r="E169" s="91" t="s">
        <v>562</v>
      </c>
      <c r="F169" s="91" t="s">
        <v>577</v>
      </c>
      <c r="G169" s="87" t="s">
        <v>578</v>
      </c>
      <c r="H169" s="87" t="s">
        <v>579</v>
      </c>
      <c r="I169" s="87" t="s">
        <v>103</v>
      </c>
      <c r="J169" s="87" t="s">
        <v>103</v>
      </c>
      <c r="K169" s="85" t="s">
        <v>104</v>
      </c>
      <c r="L169" s="85" t="s">
        <v>105</v>
      </c>
      <c r="M169" s="87" t="s">
        <v>106</v>
      </c>
      <c r="N169" s="87" t="s">
        <v>107</v>
      </c>
      <c r="O169" s="87" t="s">
        <v>108</v>
      </c>
      <c r="P169" s="87" t="s">
        <v>581</v>
      </c>
      <c r="Q169" s="87" t="s">
        <v>110</v>
      </c>
      <c r="R169" s="130">
        <v>4</v>
      </c>
      <c r="S169" s="88" t="s">
        <v>111</v>
      </c>
      <c r="T169" s="81">
        <v>0</v>
      </c>
      <c r="U169" s="81">
        <v>0</v>
      </c>
      <c r="V169" s="25">
        <v>0</v>
      </c>
      <c r="W169" s="81">
        <v>0</v>
      </c>
      <c r="X169" s="81">
        <v>0</v>
      </c>
      <c r="Y169" s="25" t="e">
        <f t="shared" si="1"/>
        <v>#DIV/0!</v>
      </c>
      <c r="Z169" s="81">
        <v>2</v>
      </c>
      <c r="AA169" s="81"/>
      <c r="AB169" s="25">
        <f t="shared" si="2"/>
        <v>0</v>
      </c>
      <c r="AC169" s="81">
        <v>2</v>
      </c>
      <c r="AD169" s="81"/>
      <c r="AE169" s="25">
        <f t="shared" si="3"/>
        <v>0</v>
      </c>
      <c r="AF169" s="137">
        <f t="shared" si="132"/>
        <v>4</v>
      </c>
      <c r="AG169" s="137">
        <f t="shared" si="133"/>
        <v>0</v>
      </c>
      <c r="AH169" s="128" t="e">
        <f t="shared" si="130"/>
        <v>#DIV/0!</v>
      </c>
      <c r="AI169" s="90">
        <v>46113</v>
      </c>
      <c r="AJ169" s="90">
        <v>46477</v>
      </c>
      <c r="AK169" s="91" t="s">
        <v>112</v>
      </c>
      <c r="AL169" s="91" t="s">
        <v>113</v>
      </c>
      <c r="AM169" s="92" t="s">
        <v>114</v>
      </c>
      <c r="AN169" s="93">
        <v>80000000</v>
      </c>
      <c r="AO169" s="93">
        <v>80000000</v>
      </c>
      <c r="AP169" s="93">
        <v>80000000</v>
      </c>
      <c r="AQ169" s="94">
        <v>0</v>
      </c>
      <c r="AR169" s="91" t="s">
        <v>207</v>
      </c>
      <c r="AS169" s="91" t="s">
        <v>112</v>
      </c>
      <c r="AT169" s="150" t="s">
        <v>509</v>
      </c>
      <c r="AU169" s="165" t="s">
        <v>2264</v>
      </c>
      <c r="AV169" s="232" t="s">
        <v>2234</v>
      </c>
      <c r="BA169" s="255"/>
      <c r="BB169" s="256"/>
      <c r="BC169" s="223" t="e">
        <f t="shared" si="104"/>
        <v>#DIV/0!</v>
      </c>
      <c r="BD169" s="255"/>
      <c r="BE169" s="256"/>
      <c r="BF169" s="223" t="e">
        <f t="shared" si="105"/>
        <v>#DIV/0!</v>
      </c>
      <c r="BG169" s="255"/>
      <c r="BH169" s="256"/>
      <c r="BI169" s="223" t="e">
        <f t="shared" si="106"/>
        <v>#DIV/0!</v>
      </c>
      <c r="BJ169" s="224">
        <f t="shared" si="107"/>
        <v>0</v>
      </c>
      <c r="BK169" s="225">
        <f t="shared" si="108"/>
        <v>0</v>
      </c>
      <c r="BL169" s="223" t="e">
        <f t="shared" si="109"/>
        <v>#DIV/0!</v>
      </c>
      <c r="BM169" s="255"/>
      <c r="BN169" s="256"/>
      <c r="BO169" s="223" t="e">
        <f t="shared" si="134"/>
        <v>#DIV/0!</v>
      </c>
      <c r="BP169" s="255"/>
      <c r="BQ169" s="256"/>
      <c r="BR169" s="223" t="e">
        <f t="shared" si="135"/>
        <v>#DIV/0!</v>
      </c>
      <c r="BS169" s="255"/>
      <c r="BT169" s="255"/>
      <c r="BU169" s="223" t="e">
        <f t="shared" si="136"/>
        <v>#DIV/0!</v>
      </c>
      <c r="BV169" s="224">
        <f t="shared" si="110"/>
        <v>0</v>
      </c>
      <c r="BW169" s="224">
        <f t="shared" si="111"/>
        <v>0</v>
      </c>
      <c r="BX169" s="223" t="e">
        <f t="shared" si="112"/>
        <v>#DIV/0!</v>
      </c>
      <c r="BY169" s="223">
        <f t="shared" si="113"/>
        <v>0</v>
      </c>
      <c r="BZ169" s="223">
        <f t="shared" si="114"/>
        <v>0</v>
      </c>
      <c r="CA169" s="226"/>
      <c r="CB169" s="175"/>
      <c r="CC169" s="191"/>
      <c r="CD169" s="192"/>
      <c r="CE169" s="193" t="e">
        <f t="shared" si="137"/>
        <v>#DIV/0!</v>
      </c>
      <c r="CF169" s="191"/>
      <c r="CG169" s="192"/>
      <c r="CH169" s="193" t="e">
        <f t="shared" si="138"/>
        <v>#DIV/0!</v>
      </c>
      <c r="CI169" s="197"/>
      <c r="CJ169" s="198"/>
      <c r="CK169" s="193" t="e">
        <f t="shared" si="139"/>
        <v>#DIV/0!</v>
      </c>
      <c r="CL169" s="195">
        <f t="shared" si="140"/>
        <v>0</v>
      </c>
      <c r="CM169" s="194">
        <f t="shared" si="141"/>
        <v>0</v>
      </c>
      <c r="CN169" s="193" t="e">
        <f t="shared" si="142"/>
        <v>#DIV/0!</v>
      </c>
      <c r="CO169" s="175"/>
      <c r="CP169" s="196">
        <f t="shared" si="143"/>
        <v>0</v>
      </c>
      <c r="CQ169" s="196">
        <f t="shared" si="144"/>
        <v>0</v>
      </c>
      <c r="CR169" s="199" t="e">
        <f t="shared" si="145"/>
        <v>#DIV/0!</v>
      </c>
      <c r="CS169" s="261">
        <f t="shared" si="115"/>
        <v>4</v>
      </c>
      <c r="CT169" s="175"/>
      <c r="CU169" s="196">
        <f t="shared" si="116"/>
        <v>1.2</v>
      </c>
      <c r="CV169" s="259"/>
      <c r="CW169" s="199">
        <f t="shared" si="117"/>
        <v>0</v>
      </c>
      <c r="CX169" s="196">
        <f t="shared" si="118"/>
        <v>1.2</v>
      </c>
      <c r="CY169" s="259"/>
      <c r="CZ169" s="199">
        <f t="shared" si="119"/>
        <v>0</v>
      </c>
      <c r="DA169" s="196">
        <f t="shared" si="120"/>
        <v>1.2</v>
      </c>
      <c r="DB169" s="259"/>
      <c r="DC169" s="199">
        <f t="shared" si="121"/>
        <v>0</v>
      </c>
      <c r="DD169" s="196">
        <f t="shared" si="122"/>
        <v>0.4</v>
      </c>
      <c r="DE169" s="259"/>
      <c r="DF169" s="199">
        <f t="shared" si="123"/>
        <v>0</v>
      </c>
      <c r="DG169" s="175"/>
      <c r="DH169" s="196">
        <f t="shared" si="124"/>
        <v>4</v>
      </c>
      <c r="DI169" s="196">
        <f t="shared" si="125"/>
        <v>0</v>
      </c>
      <c r="DJ169" s="199">
        <f t="shared" si="126"/>
        <v>0</v>
      </c>
      <c r="DK169" s="265">
        <f t="shared" si="127"/>
        <v>4</v>
      </c>
      <c r="DL169" s="244">
        <v>165</v>
      </c>
      <c r="DM169">
        <f t="shared" si="149"/>
        <v>0</v>
      </c>
    </row>
    <row r="170" spans="1:117" x14ac:dyDescent="0.3">
      <c r="A170" s="246">
        <v>166</v>
      </c>
      <c r="B170" s="91" t="s">
        <v>270</v>
      </c>
      <c r="C170" s="91" t="s">
        <v>195</v>
      </c>
      <c r="D170" s="91" t="s">
        <v>196</v>
      </c>
      <c r="E170" s="91" t="s">
        <v>562</v>
      </c>
      <c r="F170" s="91" t="s">
        <v>577</v>
      </c>
      <c r="G170" s="87" t="s">
        <v>578</v>
      </c>
      <c r="H170" s="87" t="s">
        <v>579</v>
      </c>
      <c r="I170" s="87" t="s">
        <v>295</v>
      </c>
      <c r="J170" s="87" t="s">
        <v>295</v>
      </c>
      <c r="K170" s="85" t="s">
        <v>104</v>
      </c>
      <c r="L170" s="85" t="s">
        <v>105</v>
      </c>
      <c r="M170" s="87" t="s">
        <v>106</v>
      </c>
      <c r="N170" s="87" t="s">
        <v>107</v>
      </c>
      <c r="O170" s="87" t="s">
        <v>108</v>
      </c>
      <c r="P170" s="87" t="s">
        <v>582</v>
      </c>
      <c r="Q170" s="87" t="s">
        <v>110</v>
      </c>
      <c r="R170" s="130">
        <v>4</v>
      </c>
      <c r="S170" s="88" t="s">
        <v>111</v>
      </c>
      <c r="T170" s="81">
        <v>0</v>
      </c>
      <c r="U170" s="81">
        <v>0</v>
      </c>
      <c r="V170" s="25">
        <v>0</v>
      </c>
      <c r="W170" s="81">
        <v>0</v>
      </c>
      <c r="X170" s="81">
        <v>0</v>
      </c>
      <c r="Y170" s="25" t="e">
        <f t="shared" si="1"/>
        <v>#DIV/0!</v>
      </c>
      <c r="Z170" s="81">
        <v>2</v>
      </c>
      <c r="AA170" s="81"/>
      <c r="AB170" s="25">
        <f t="shared" si="2"/>
        <v>0</v>
      </c>
      <c r="AC170" s="81">
        <v>2</v>
      </c>
      <c r="AD170" s="81"/>
      <c r="AE170" s="25">
        <f t="shared" si="3"/>
        <v>0</v>
      </c>
      <c r="AF170" s="137">
        <f t="shared" si="132"/>
        <v>4</v>
      </c>
      <c r="AG170" s="137">
        <f t="shared" si="133"/>
        <v>0</v>
      </c>
      <c r="AH170" s="128" t="e">
        <f t="shared" si="130"/>
        <v>#DIV/0!</v>
      </c>
      <c r="AI170" s="90">
        <v>46113</v>
      </c>
      <c r="AJ170" s="90">
        <v>46477</v>
      </c>
      <c r="AK170" s="91" t="s">
        <v>112</v>
      </c>
      <c r="AL170" s="91" t="s">
        <v>113</v>
      </c>
      <c r="AM170" s="92" t="s">
        <v>114</v>
      </c>
      <c r="AN170" s="93">
        <v>80000000</v>
      </c>
      <c r="AO170" s="93">
        <v>80000000</v>
      </c>
      <c r="AP170" s="93">
        <v>80000000</v>
      </c>
      <c r="AQ170" s="94">
        <v>0</v>
      </c>
      <c r="AR170" s="91" t="s">
        <v>159</v>
      </c>
      <c r="AS170" s="91" t="s">
        <v>112</v>
      </c>
      <c r="AT170" s="150" t="s">
        <v>509</v>
      </c>
      <c r="AU170" s="165" t="s">
        <v>2264</v>
      </c>
      <c r="AV170" s="232" t="s">
        <v>2234</v>
      </c>
      <c r="BA170" s="255"/>
      <c r="BB170" s="256"/>
      <c r="BC170" s="223" t="e">
        <f t="shared" si="104"/>
        <v>#DIV/0!</v>
      </c>
      <c r="BD170" s="255"/>
      <c r="BE170" s="256"/>
      <c r="BF170" s="223" t="e">
        <f t="shared" si="105"/>
        <v>#DIV/0!</v>
      </c>
      <c r="BG170" s="255"/>
      <c r="BH170" s="256"/>
      <c r="BI170" s="223" t="e">
        <f t="shared" si="106"/>
        <v>#DIV/0!</v>
      </c>
      <c r="BJ170" s="224">
        <f t="shared" si="107"/>
        <v>0</v>
      </c>
      <c r="BK170" s="225">
        <f t="shared" si="108"/>
        <v>0</v>
      </c>
      <c r="BL170" s="223" t="e">
        <f t="shared" si="109"/>
        <v>#DIV/0!</v>
      </c>
      <c r="BM170" s="255"/>
      <c r="BN170" s="256"/>
      <c r="BO170" s="223" t="e">
        <f t="shared" si="134"/>
        <v>#DIV/0!</v>
      </c>
      <c r="BP170" s="255"/>
      <c r="BQ170" s="256"/>
      <c r="BR170" s="223" t="e">
        <f t="shared" si="135"/>
        <v>#DIV/0!</v>
      </c>
      <c r="BS170" s="255"/>
      <c r="BT170" s="255"/>
      <c r="BU170" s="223" t="e">
        <f t="shared" si="136"/>
        <v>#DIV/0!</v>
      </c>
      <c r="BV170" s="224">
        <f t="shared" si="110"/>
        <v>0</v>
      </c>
      <c r="BW170" s="224">
        <f t="shared" si="111"/>
        <v>0</v>
      </c>
      <c r="BX170" s="223" t="e">
        <f t="shared" si="112"/>
        <v>#DIV/0!</v>
      </c>
      <c r="BY170" s="223">
        <f t="shared" si="113"/>
        <v>0</v>
      </c>
      <c r="BZ170" s="223">
        <f t="shared" si="114"/>
        <v>0</v>
      </c>
      <c r="CA170" s="226"/>
      <c r="CB170" s="175"/>
      <c r="CC170" s="191"/>
      <c r="CD170" s="192"/>
      <c r="CE170" s="193" t="e">
        <f t="shared" si="137"/>
        <v>#DIV/0!</v>
      </c>
      <c r="CF170" s="191"/>
      <c r="CG170" s="192"/>
      <c r="CH170" s="193" t="e">
        <f t="shared" si="138"/>
        <v>#DIV/0!</v>
      </c>
      <c r="CI170" s="197"/>
      <c r="CJ170" s="198"/>
      <c r="CK170" s="193" t="e">
        <f t="shared" si="139"/>
        <v>#DIV/0!</v>
      </c>
      <c r="CL170" s="195">
        <f t="shared" si="140"/>
        <v>0</v>
      </c>
      <c r="CM170" s="194">
        <f t="shared" si="141"/>
        <v>0</v>
      </c>
      <c r="CN170" s="193" t="e">
        <f t="shared" si="142"/>
        <v>#DIV/0!</v>
      </c>
      <c r="CO170" s="175"/>
      <c r="CP170" s="196">
        <f t="shared" si="143"/>
        <v>0</v>
      </c>
      <c r="CQ170" s="196">
        <f t="shared" si="144"/>
        <v>0</v>
      </c>
      <c r="CR170" s="199" t="e">
        <f t="shared" si="145"/>
        <v>#DIV/0!</v>
      </c>
      <c r="CS170" s="261">
        <f t="shared" si="115"/>
        <v>4</v>
      </c>
      <c r="CT170" s="175"/>
      <c r="CU170" s="196">
        <f t="shared" si="116"/>
        <v>1.2</v>
      </c>
      <c r="CV170" s="259"/>
      <c r="CW170" s="199">
        <f t="shared" si="117"/>
        <v>0</v>
      </c>
      <c r="CX170" s="196">
        <f t="shared" si="118"/>
        <v>1.2</v>
      </c>
      <c r="CY170" s="259"/>
      <c r="CZ170" s="199">
        <f t="shared" si="119"/>
        <v>0</v>
      </c>
      <c r="DA170" s="196">
        <f t="shared" si="120"/>
        <v>1.2</v>
      </c>
      <c r="DB170" s="259"/>
      <c r="DC170" s="199">
        <f t="shared" si="121"/>
        <v>0</v>
      </c>
      <c r="DD170" s="196">
        <f t="shared" si="122"/>
        <v>0.4</v>
      </c>
      <c r="DE170" s="259"/>
      <c r="DF170" s="199">
        <f t="shared" si="123"/>
        <v>0</v>
      </c>
      <c r="DG170" s="175"/>
      <c r="DH170" s="196">
        <f t="shared" si="124"/>
        <v>4</v>
      </c>
      <c r="DI170" s="196">
        <f t="shared" si="125"/>
        <v>0</v>
      </c>
      <c r="DJ170" s="199">
        <f t="shared" si="126"/>
        <v>0</v>
      </c>
      <c r="DK170" s="265">
        <f t="shared" si="127"/>
        <v>4</v>
      </c>
      <c r="DL170" s="244">
        <v>166</v>
      </c>
      <c r="DM170">
        <f t="shared" si="149"/>
        <v>0</v>
      </c>
    </row>
    <row r="171" spans="1:117" x14ac:dyDescent="0.3">
      <c r="A171" s="246">
        <v>167</v>
      </c>
      <c r="B171" s="91" t="s">
        <v>270</v>
      </c>
      <c r="C171" s="91" t="s">
        <v>195</v>
      </c>
      <c r="D171" s="91" t="s">
        <v>196</v>
      </c>
      <c r="E171" s="91" t="s">
        <v>562</v>
      </c>
      <c r="F171" s="91" t="s">
        <v>577</v>
      </c>
      <c r="G171" s="87" t="s">
        <v>578</v>
      </c>
      <c r="H171" s="87" t="s">
        <v>579</v>
      </c>
      <c r="I171" s="87" t="s">
        <v>103</v>
      </c>
      <c r="J171" s="87" t="s">
        <v>103</v>
      </c>
      <c r="K171" s="85" t="s">
        <v>104</v>
      </c>
      <c r="L171" s="85" t="s">
        <v>105</v>
      </c>
      <c r="M171" s="87" t="s">
        <v>106</v>
      </c>
      <c r="N171" s="87" t="s">
        <v>107</v>
      </c>
      <c r="O171" s="87" t="s">
        <v>108</v>
      </c>
      <c r="P171" s="87" t="s">
        <v>583</v>
      </c>
      <c r="Q171" s="87" t="s">
        <v>110</v>
      </c>
      <c r="R171" s="130">
        <v>4</v>
      </c>
      <c r="S171" s="88" t="s">
        <v>111</v>
      </c>
      <c r="T171" s="81">
        <v>0</v>
      </c>
      <c r="U171" s="81">
        <v>0</v>
      </c>
      <c r="V171" s="25">
        <v>0</v>
      </c>
      <c r="W171" s="81">
        <v>0</v>
      </c>
      <c r="X171" s="81">
        <v>0</v>
      </c>
      <c r="Y171" s="25" t="e">
        <f t="shared" si="1"/>
        <v>#DIV/0!</v>
      </c>
      <c r="Z171" s="81">
        <v>14</v>
      </c>
      <c r="AA171" s="81"/>
      <c r="AB171" s="25">
        <f t="shared" si="2"/>
        <v>0</v>
      </c>
      <c r="AC171" s="81">
        <v>15</v>
      </c>
      <c r="AD171" s="81"/>
      <c r="AE171" s="25">
        <f t="shared" si="3"/>
        <v>0</v>
      </c>
      <c r="AF171" s="137">
        <f t="shared" si="132"/>
        <v>4</v>
      </c>
      <c r="AG171" s="137">
        <f t="shared" si="133"/>
        <v>0</v>
      </c>
      <c r="AH171" s="128" t="e">
        <f t="shared" si="130"/>
        <v>#DIV/0!</v>
      </c>
      <c r="AI171" s="90">
        <v>46113</v>
      </c>
      <c r="AJ171" s="90">
        <v>46477</v>
      </c>
      <c r="AK171" s="91" t="s">
        <v>112</v>
      </c>
      <c r="AL171" s="91" t="s">
        <v>113</v>
      </c>
      <c r="AM171" s="92" t="s">
        <v>114</v>
      </c>
      <c r="AN171" s="93">
        <v>576000000</v>
      </c>
      <c r="AO171" s="93">
        <v>576000000</v>
      </c>
      <c r="AP171" s="93">
        <v>576000000</v>
      </c>
      <c r="AQ171" s="94">
        <v>0</v>
      </c>
      <c r="AR171" s="91" t="s">
        <v>584</v>
      </c>
      <c r="AS171" s="91" t="s">
        <v>112</v>
      </c>
      <c r="AT171" s="150" t="s">
        <v>509</v>
      </c>
      <c r="AU171" s="165" t="s">
        <v>2264</v>
      </c>
      <c r="AV171" s="232" t="s">
        <v>2234</v>
      </c>
      <c r="BA171" s="255"/>
      <c r="BB171" s="256"/>
      <c r="BC171" s="223" t="e">
        <f t="shared" si="104"/>
        <v>#DIV/0!</v>
      </c>
      <c r="BD171" s="255"/>
      <c r="BE171" s="256"/>
      <c r="BF171" s="223" t="e">
        <f t="shared" si="105"/>
        <v>#DIV/0!</v>
      </c>
      <c r="BG171" s="255"/>
      <c r="BH171" s="256"/>
      <c r="BI171" s="223" t="e">
        <f t="shared" si="106"/>
        <v>#DIV/0!</v>
      </c>
      <c r="BJ171" s="224">
        <f t="shared" si="107"/>
        <v>0</v>
      </c>
      <c r="BK171" s="225">
        <f t="shared" si="108"/>
        <v>0</v>
      </c>
      <c r="BL171" s="223" t="e">
        <f t="shared" si="109"/>
        <v>#DIV/0!</v>
      </c>
      <c r="BM171" s="255"/>
      <c r="BN171" s="256"/>
      <c r="BO171" s="223" t="e">
        <f t="shared" si="134"/>
        <v>#DIV/0!</v>
      </c>
      <c r="BP171" s="255"/>
      <c r="BQ171" s="256"/>
      <c r="BR171" s="223" t="e">
        <f t="shared" si="135"/>
        <v>#DIV/0!</v>
      </c>
      <c r="BS171" s="255"/>
      <c r="BT171" s="255"/>
      <c r="BU171" s="223" t="e">
        <f t="shared" si="136"/>
        <v>#DIV/0!</v>
      </c>
      <c r="BV171" s="224">
        <f t="shared" si="110"/>
        <v>0</v>
      </c>
      <c r="BW171" s="224">
        <f t="shared" si="111"/>
        <v>0</v>
      </c>
      <c r="BX171" s="223" t="e">
        <f t="shared" si="112"/>
        <v>#DIV/0!</v>
      </c>
      <c r="BY171" s="223">
        <f t="shared" si="113"/>
        <v>0</v>
      </c>
      <c r="BZ171" s="223">
        <f t="shared" si="114"/>
        <v>0</v>
      </c>
      <c r="CA171" s="226"/>
      <c r="CB171" s="175"/>
      <c r="CC171" s="191"/>
      <c r="CD171" s="192"/>
      <c r="CE171" s="193" t="e">
        <f t="shared" si="137"/>
        <v>#DIV/0!</v>
      </c>
      <c r="CF171" s="191"/>
      <c r="CG171" s="192"/>
      <c r="CH171" s="193" t="e">
        <f t="shared" si="138"/>
        <v>#DIV/0!</v>
      </c>
      <c r="CI171" s="197"/>
      <c r="CJ171" s="198"/>
      <c r="CK171" s="193" t="e">
        <f t="shared" si="139"/>
        <v>#DIV/0!</v>
      </c>
      <c r="CL171" s="195">
        <f t="shared" si="140"/>
        <v>0</v>
      </c>
      <c r="CM171" s="194">
        <f t="shared" si="141"/>
        <v>0</v>
      </c>
      <c r="CN171" s="193" t="e">
        <f t="shared" si="142"/>
        <v>#DIV/0!</v>
      </c>
      <c r="CO171" s="175"/>
      <c r="CP171" s="196">
        <f t="shared" si="143"/>
        <v>0</v>
      </c>
      <c r="CQ171" s="196">
        <f t="shared" si="144"/>
        <v>0</v>
      </c>
      <c r="CR171" s="199" t="e">
        <f t="shared" si="145"/>
        <v>#DIV/0!</v>
      </c>
      <c r="CS171" s="261">
        <f t="shared" si="115"/>
        <v>4</v>
      </c>
      <c r="CT171" s="175"/>
      <c r="CU171" s="196">
        <f t="shared" si="116"/>
        <v>1.2</v>
      </c>
      <c r="CV171" s="259"/>
      <c r="CW171" s="199">
        <f t="shared" si="117"/>
        <v>0</v>
      </c>
      <c r="CX171" s="196">
        <f t="shared" si="118"/>
        <v>1.2</v>
      </c>
      <c r="CY171" s="259"/>
      <c r="CZ171" s="199">
        <f t="shared" si="119"/>
        <v>0</v>
      </c>
      <c r="DA171" s="196">
        <f t="shared" si="120"/>
        <v>1.2</v>
      </c>
      <c r="DB171" s="259"/>
      <c r="DC171" s="199">
        <f t="shared" si="121"/>
        <v>0</v>
      </c>
      <c r="DD171" s="196">
        <f t="shared" si="122"/>
        <v>0.4</v>
      </c>
      <c r="DE171" s="259"/>
      <c r="DF171" s="199">
        <f t="shared" si="123"/>
        <v>0</v>
      </c>
      <c r="DG171" s="175"/>
      <c r="DH171" s="196">
        <f t="shared" si="124"/>
        <v>4</v>
      </c>
      <c r="DI171" s="196">
        <f t="shared" si="125"/>
        <v>0</v>
      </c>
      <c r="DJ171" s="199">
        <f t="shared" si="126"/>
        <v>0</v>
      </c>
      <c r="DK171" s="265">
        <f t="shared" si="127"/>
        <v>4</v>
      </c>
      <c r="DL171" s="244">
        <v>167</v>
      </c>
      <c r="DM171">
        <f t="shared" si="149"/>
        <v>0</v>
      </c>
    </row>
    <row r="172" spans="1:117" x14ac:dyDescent="0.3">
      <c r="A172" s="246">
        <v>168</v>
      </c>
      <c r="B172" s="91" t="s">
        <v>270</v>
      </c>
      <c r="C172" s="91" t="s">
        <v>195</v>
      </c>
      <c r="D172" s="91" t="s">
        <v>196</v>
      </c>
      <c r="E172" s="91" t="s">
        <v>562</v>
      </c>
      <c r="F172" s="91" t="s">
        <v>577</v>
      </c>
      <c r="G172" s="87" t="s">
        <v>578</v>
      </c>
      <c r="H172" s="87" t="s">
        <v>579</v>
      </c>
      <c r="I172" s="87" t="s">
        <v>423</v>
      </c>
      <c r="J172" s="87" t="s">
        <v>423</v>
      </c>
      <c r="K172" s="85" t="s">
        <v>104</v>
      </c>
      <c r="L172" s="85" t="s">
        <v>105</v>
      </c>
      <c r="M172" s="87" t="s">
        <v>106</v>
      </c>
      <c r="N172" s="87" t="s">
        <v>107</v>
      </c>
      <c r="O172" s="87" t="s">
        <v>108</v>
      </c>
      <c r="P172" s="87" t="s">
        <v>585</v>
      </c>
      <c r="Q172" s="87" t="s">
        <v>110</v>
      </c>
      <c r="R172" s="130">
        <v>4</v>
      </c>
      <c r="S172" s="88" t="s">
        <v>111</v>
      </c>
      <c r="T172" s="81">
        <v>0</v>
      </c>
      <c r="U172" s="81">
        <v>0</v>
      </c>
      <c r="V172" s="25">
        <v>0</v>
      </c>
      <c r="W172" s="81">
        <v>0</v>
      </c>
      <c r="X172" s="81">
        <v>0</v>
      </c>
      <c r="Y172" s="25" t="e">
        <f t="shared" si="1"/>
        <v>#DIV/0!</v>
      </c>
      <c r="Z172" s="81">
        <v>2</v>
      </c>
      <c r="AA172" s="81"/>
      <c r="AB172" s="25">
        <f t="shared" si="2"/>
        <v>0</v>
      </c>
      <c r="AC172" s="81">
        <v>2</v>
      </c>
      <c r="AD172" s="81"/>
      <c r="AE172" s="25">
        <f t="shared" si="3"/>
        <v>0</v>
      </c>
      <c r="AF172" s="137">
        <f t="shared" si="132"/>
        <v>4</v>
      </c>
      <c r="AG172" s="137">
        <f t="shared" si="133"/>
        <v>0</v>
      </c>
      <c r="AH172" s="128" t="e">
        <f t="shared" si="130"/>
        <v>#DIV/0!</v>
      </c>
      <c r="AI172" s="90">
        <v>46113</v>
      </c>
      <c r="AJ172" s="90">
        <v>46477</v>
      </c>
      <c r="AK172" s="91" t="s">
        <v>112</v>
      </c>
      <c r="AL172" s="91" t="s">
        <v>113</v>
      </c>
      <c r="AM172" s="92" t="s">
        <v>114</v>
      </c>
      <c r="AN172" s="93">
        <v>18000000</v>
      </c>
      <c r="AO172" s="93">
        <v>18000000</v>
      </c>
      <c r="AP172" s="93">
        <v>18000000</v>
      </c>
      <c r="AQ172" s="94">
        <v>0</v>
      </c>
      <c r="AR172" s="91" t="s">
        <v>207</v>
      </c>
      <c r="AS172" s="91" t="s">
        <v>112</v>
      </c>
      <c r="AT172" s="150" t="s">
        <v>509</v>
      </c>
      <c r="AU172" s="165" t="s">
        <v>2264</v>
      </c>
      <c r="AV172" s="232" t="s">
        <v>2234</v>
      </c>
      <c r="BA172" s="255"/>
      <c r="BB172" s="256"/>
      <c r="BC172" s="223" t="e">
        <f t="shared" si="104"/>
        <v>#DIV/0!</v>
      </c>
      <c r="BD172" s="255"/>
      <c r="BE172" s="256"/>
      <c r="BF172" s="223" t="e">
        <f t="shared" si="105"/>
        <v>#DIV/0!</v>
      </c>
      <c r="BG172" s="255"/>
      <c r="BH172" s="256"/>
      <c r="BI172" s="223" t="e">
        <f t="shared" si="106"/>
        <v>#DIV/0!</v>
      </c>
      <c r="BJ172" s="224">
        <f t="shared" si="107"/>
        <v>0</v>
      </c>
      <c r="BK172" s="225">
        <f t="shared" si="108"/>
        <v>0</v>
      </c>
      <c r="BL172" s="223" t="e">
        <f t="shared" si="109"/>
        <v>#DIV/0!</v>
      </c>
      <c r="BM172" s="255"/>
      <c r="BN172" s="256"/>
      <c r="BO172" s="223" t="e">
        <f t="shared" si="134"/>
        <v>#DIV/0!</v>
      </c>
      <c r="BP172" s="255"/>
      <c r="BQ172" s="256"/>
      <c r="BR172" s="223" t="e">
        <f t="shared" si="135"/>
        <v>#DIV/0!</v>
      </c>
      <c r="BS172" s="255"/>
      <c r="BT172" s="255"/>
      <c r="BU172" s="223" t="e">
        <f t="shared" si="136"/>
        <v>#DIV/0!</v>
      </c>
      <c r="BV172" s="224">
        <f t="shared" si="110"/>
        <v>0</v>
      </c>
      <c r="BW172" s="224">
        <f t="shared" si="111"/>
        <v>0</v>
      </c>
      <c r="BX172" s="223" t="e">
        <f t="shared" si="112"/>
        <v>#DIV/0!</v>
      </c>
      <c r="BY172" s="223">
        <f t="shared" si="113"/>
        <v>0</v>
      </c>
      <c r="BZ172" s="223">
        <f t="shared" si="114"/>
        <v>0</v>
      </c>
      <c r="CA172" s="226"/>
      <c r="CB172" s="175"/>
      <c r="CC172" s="191"/>
      <c r="CD172" s="192"/>
      <c r="CE172" s="193" t="e">
        <f t="shared" si="137"/>
        <v>#DIV/0!</v>
      </c>
      <c r="CF172" s="191"/>
      <c r="CG172" s="192"/>
      <c r="CH172" s="193" t="e">
        <f t="shared" si="138"/>
        <v>#DIV/0!</v>
      </c>
      <c r="CI172" s="197"/>
      <c r="CJ172" s="198"/>
      <c r="CK172" s="193" t="e">
        <f t="shared" si="139"/>
        <v>#DIV/0!</v>
      </c>
      <c r="CL172" s="195">
        <f t="shared" si="140"/>
        <v>0</v>
      </c>
      <c r="CM172" s="194">
        <f t="shared" si="141"/>
        <v>0</v>
      </c>
      <c r="CN172" s="193" t="e">
        <f t="shared" si="142"/>
        <v>#DIV/0!</v>
      </c>
      <c r="CO172" s="175"/>
      <c r="CP172" s="196">
        <f t="shared" si="143"/>
        <v>0</v>
      </c>
      <c r="CQ172" s="196">
        <f t="shared" si="144"/>
        <v>0</v>
      </c>
      <c r="CR172" s="199" t="e">
        <f t="shared" si="145"/>
        <v>#DIV/0!</v>
      </c>
      <c r="CS172" s="261">
        <f t="shared" si="115"/>
        <v>4</v>
      </c>
      <c r="CT172" s="175"/>
      <c r="CU172" s="196">
        <f t="shared" si="116"/>
        <v>1.2</v>
      </c>
      <c r="CV172" s="259"/>
      <c r="CW172" s="199">
        <f t="shared" si="117"/>
        <v>0</v>
      </c>
      <c r="CX172" s="196">
        <f t="shared" si="118"/>
        <v>1.2</v>
      </c>
      <c r="CY172" s="259"/>
      <c r="CZ172" s="199">
        <f t="shared" si="119"/>
        <v>0</v>
      </c>
      <c r="DA172" s="196">
        <f t="shared" si="120"/>
        <v>1.2</v>
      </c>
      <c r="DB172" s="259"/>
      <c r="DC172" s="199">
        <f t="shared" si="121"/>
        <v>0</v>
      </c>
      <c r="DD172" s="196">
        <f t="shared" si="122"/>
        <v>0.4</v>
      </c>
      <c r="DE172" s="259"/>
      <c r="DF172" s="199">
        <f t="shared" si="123"/>
        <v>0</v>
      </c>
      <c r="DG172" s="175"/>
      <c r="DH172" s="196">
        <f t="shared" si="124"/>
        <v>4</v>
      </c>
      <c r="DI172" s="196">
        <f t="shared" si="125"/>
        <v>0</v>
      </c>
      <c r="DJ172" s="199">
        <f t="shared" si="126"/>
        <v>0</v>
      </c>
      <c r="DK172" s="265">
        <f t="shared" si="127"/>
        <v>4</v>
      </c>
      <c r="DL172" s="244">
        <v>168</v>
      </c>
      <c r="DM172">
        <f t="shared" si="149"/>
        <v>0</v>
      </c>
    </row>
    <row r="173" spans="1:117" x14ac:dyDescent="0.3">
      <c r="A173" s="246">
        <v>169</v>
      </c>
      <c r="B173" s="91" t="s">
        <v>270</v>
      </c>
      <c r="C173" s="91" t="s">
        <v>195</v>
      </c>
      <c r="D173" s="91" t="s">
        <v>196</v>
      </c>
      <c r="E173" s="91" t="s">
        <v>562</v>
      </c>
      <c r="F173" s="91" t="s">
        <v>577</v>
      </c>
      <c r="G173" s="87" t="s">
        <v>578</v>
      </c>
      <c r="H173" s="87" t="s">
        <v>579</v>
      </c>
      <c r="I173" s="87" t="s">
        <v>439</v>
      </c>
      <c r="J173" s="87" t="s">
        <v>439</v>
      </c>
      <c r="K173" s="85" t="s">
        <v>104</v>
      </c>
      <c r="L173" s="85" t="s">
        <v>105</v>
      </c>
      <c r="M173" s="87" t="s">
        <v>106</v>
      </c>
      <c r="N173" s="87" t="s">
        <v>107</v>
      </c>
      <c r="O173" s="87" t="s">
        <v>108</v>
      </c>
      <c r="P173" s="87" t="s">
        <v>585</v>
      </c>
      <c r="Q173" s="87" t="s">
        <v>110</v>
      </c>
      <c r="R173" s="130">
        <v>4</v>
      </c>
      <c r="S173" s="88" t="s">
        <v>111</v>
      </c>
      <c r="T173" s="81">
        <v>0</v>
      </c>
      <c r="U173" s="81">
        <v>0</v>
      </c>
      <c r="V173" s="25">
        <v>0</v>
      </c>
      <c r="W173" s="81">
        <v>0</v>
      </c>
      <c r="X173" s="81">
        <v>0</v>
      </c>
      <c r="Y173" s="25" t="e">
        <f t="shared" si="1"/>
        <v>#DIV/0!</v>
      </c>
      <c r="Z173" s="81">
        <v>2</v>
      </c>
      <c r="AA173" s="81"/>
      <c r="AB173" s="25">
        <f t="shared" si="2"/>
        <v>0</v>
      </c>
      <c r="AC173" s="81">
        <v>2</v>
      </c>
      <c r="AD173" s="81"/>
      <c r="AE173" s="25">
        <f t="shared" si="3"/>
        <v>0</v>
      </c>
      <c r="AF173" s="137">
        <f t="shared" si="132"/>
        <v>4</v>
      </c>
      <c r="AG173" s="137">
        <f t="shared" si="133"/>
        <v>0</v>
      </c>
      <c r="AH173" s="128" t="e">
        <f t="shared" si="130"/>
        <v>#DIV/0!</v>
      </c>
      <c r="AI173" s="90">
        <v>46113</v>
      </c>
      <c r="AJ173" s="90">
        <v>46477</v>
      </c>
      <c r="AK173" s="91" t="s">
        <v>112</v>
      </c>
      <c r="AL173" s="91" t="s">
        <v>113</v>
      </c>
      <c r="AM173" s="92" t="s">
        <v>114</v>
      </c>
      <c r="AN173" s="93">
        <v>80000000</v>
      </c>
      <c r="AO173" s="93">
        <v>80000000</v>
      </c>
      <c r="AP173" s="93">
        <v>80000000</v>
      </c>
      <c r="AQ173" s="94">
        <v>0</v>
      </c>
      <c r="AR173" s="91" t="s">
        <v>207</v>
      </c>
      <c r="AS173" s="91" t="s">
        <v>112</v>
      </c>
      <c r="AT173" s="150" t="s">
        <v>509</v>
      </c>
      <c r="AU173" s="165" t="s">
        <v>2264</v>
      </c>
      <c r="AV173" s="232" t="s">
        <v>2234</v>
      </c>
      <c r="BA173" s="255"/>
      <c r="BB173" s="256"/>
      <c r="BC173" s="223" t="e">
        <f t="shared" si="104"/>
        <v>#DIV/0!</v>
      </c>
      <c r="BD173" s="255"/>
      <c r="BE173" s="256"/>
      <c r="BF173" s="223" t="e">
        <f t="shared" si="105"/>
        <v>#DIV/0!</v>
      </c>
      <c r="BG173" s="255"/>
      <c r="BH173" s="256"/>
      <c r="BI173" s="223" t="e">
        <f t="shared" si="106"/>
        <v>#DIV/0!</v>
      </c>
      <c r="BJ173" s="224">
        <f t="shared" si="107"/>
        <v>0</v>
      </c>
      <c r="BK173" s="225">
        <f t="shared" si="108"/>
        <v>0</v>
      </c>
      <c r="BL173" s="223" t="e">
        <f t="shared" si="109"/>
        <v>#DIV/0!</v>
      </c>
      <c r="BM173" s="255"/>
      <c r="BN173" s="256"/>
      <c r="BO173" s="223" t="e">
        <f t="shared" si="134"/>
        <v>#DIV/0!</v>
      </c>
      <c r="BP173" s="255"/>
      <c r="BQ173" s="256"/>
      <c r="BR173" s="223" t="e">
        <f t="shared" si="135"/>
        <v>#DIV/0!</v>
      </c>
      <c r="BS173" s="255"/>
      <c r="BT173" s="255"/>
      <c r="BU173" s="223" t="e">
        <f t="shared" si="136"/>
        <v>#DIV/0!</v>
      </c>
      <c r="BV173" s="224">
        <f t="shared" si="110"/>
        <v>0</v>
      </c>
      <c r="BW173" s="224">
        <f t="shared" si="111"/>
        <v>0</v>
      </c>
      <c r="BX173" s="223" t="e">
        <f t="shared" si="112"/>
        <v>#DIV/0!</v>
      </c>
      <c r="BY173" s="223">
        <f t="shared" si="113"/>
        <v>0</v>
      </c>
      <c r="BZ173" s="223">
        <f t="shared" si="114"/>
        <v>0</v>
      </c>
      <c r="CA173" s="226"/>
      <c r="CB173" s="175"/>
      <c r="CC173" s="191"/>
      <c r="CD173" s="192"/>
      <c r="CE173" s="193" t="e">
        <f t="shared" si="137"/>
        <v>#DIV/0!</v>
      </c>
      <c r="CF173" s="191"/>
      <c r="CG173" s="192"/>
      <c r="CH173" s="193" t="e">
        <f t="shared" si="138"/>
        <v>#DIV/0!</v>
      </c>
      <c r="CI173" s="197"/>
      <c r="CJ173" s="198"/>
      <c r="CK173" s="193" t="e">
        <f t="shared" si="139"/>
        <v>#DIV/0!</v>
      </c>
      <c r="CL173" s="195">
        <f t="shared" si="140"/>
        <v>0</v>
      </c>
      <c r="CM173" s="194">
        <f t="shared" si="141"/>
        <v>0</v>
      </c>
      <c r="CN173" s="193" t="e">
        <f t="shared" si="142"/>
        <v>#DIV/0!</v>
      </c>
      <c r="CO173" s="175"/>
      <c r="CP173" s="196">
        <f t="shared" si="143"/>
        <v>0</v>
      </c>
      <c r="CQ173" s="196">
        <f t="shared" si="144"/>
        <v>0</v>
      </c>
      <c r="CR173" s="199" t="e">
        <f t="shared" si="145"/>
        <v>#DIV/0!</v>
      </c>
      <c r="CS173" s="261">
        <f t="shared" si="115"/>
        <v>4</v>
      </c>
      <c r="CT173" s="175"/>
      <c r="CU173" s="196">
        <f t="shared" si="116"/>
        <v>1.2</v>
      </c>
      <c r="CV173" s="259"/>
      <c r="CW173" s="199">
        <f t="shared" si="117"/>
        <v>0</v>
      </c>
      <c r="CX173" s="196">
        <f t="shared" si="118"/>
        <v>1.2</v>
      </c>
      <c r="CY173" s="259"/>
      <c r="CZ173" s="199">
        <f t="shared" si="119"/>
        <v>0</v>
      </c>
      <c r="DA173" s="196">
        <f t="shared" si="120"/>
        <v>1.2</v>
      </c>
      <c r="DB173" s="259"/>
      <c r="DC173" s="199">
        <f t="shared" si="121"/>
        <v>0</v>
      </c>
      <c r="DD173" s="196">
        <f t="shared" si="122"/>
        <v>0.4</v>
      </c>
      <c r="DE173" s="259"/>
      <c r="DF173" s="199">
        <f t="shared" si="123"/>
        <v>0</v>
      </c>
      <c r="DG173" s="175"/>
      <c r="DH173" s="196">
        <f t="shared" si="124"/>
        <v>4</v>
      </c>
      <c r="DI173" s="196">
        <f t="shared" si="125"/>
        <v>0</v>
      </c>
      <c r="DJ173" s="199">
        <f t="shared" si="126"/>
        <v>0</v>
      </c>
      <c r="DK173" s="265">
        <f t="shared" si="127"/>
        <v>4</v>
      </c>
      <c r="DL173" s="244">
        <v>169</v>
      </c>
      <c r="DM173">
        <f t="shared" si="149"/>
        <v>0</v>
      </c>
    </row>
    <row r="174" spans="1:117" x14ac:dyDescent="0.3">
      <c r="A174" s="246">
        <v>170</v>
      </c>
      <c r="B174" s="91" t="s">
        <v>270</v>
      </c>
      <c r="C174" s="91" t="s">
        <v>133</v>
      </c>
      <c r="D174" s="91" t="s">
        <v>119</v>
      </c>
      <c r="E174" s="91" t="s">
        <v>562</v>
      </c>
      <c r="F174" s="91" t="s">
        <v>566</v>
      </c>
      <c r="G174" s="87" t="s">
        <v>549</v>
      </c>
      <c r="H174" s="87" t="s">
        <v>550</v>
      </c>
      <c r="I174" s="87" t="s">
        <v>285</v>
      </c>
      <c r="J174" s="87" t="s">
        <v>285</v>
      </c>
      <c r="K174" s="85" t="s">
        <v>104</v>
      </c>
      <c r="L174" s="85" t="s">
        <v>105</v>
      </c>
      <c r="M174" s="87" t="s">
        <v>106</v>
      </c>
      <c r="N174" s="87" t="s">
        <v>567</v>
      </c>
      <c r="O174" s="87" t="s">
        <v>127</v>
      </c>
      <c r="P174" s="87" t="s">
        <v>586</v>
      </c>
      <c r="Q174" s="87" t="s">
        <v>129</v>
      </c>
      <c r="R174" s="130">
        <v>6</v>
      </c>
      <c r="S174" s="88" t="s">
        <v>111</v>
      </c>
      <c r="T174" s="81">
        <v>0</v>
      </c>
      <c r="U174" s="81">
        <v>0</v>
      </c>
      <c r="V174" s="25">
        <v>0</v>
      </c>
      <c r="W174" s="81">
        <v>0</v>
      </c>
      <c r="X174" s="81">
        <v>0</v>
      </c>
      <c r="Y174" s="25" t="e">
        <f t="shared" si="1"/>
        <v>#DIV/0!</v>
      </c>
      <c r="Z174" s="81">
        <v>2</v>
      </c>
      <c r="AA174" s="81"/>
      <c r="AB174" s="25">
        <f t="shared" si="2"/>
        <v>0</v>
      </c>
      <c r="AC174" s="81">
        <v>2</v>
      </c>
      <c r="AD174" s="81"/>
      <c r="AE174" s="25">
        <f t="shared" si="3"/>
        <v>0</v>
      </c>
      <c r="AF174" s="137">
        <f t="shared" si="132"/>
        <v>6</v>
      </c>
      <c r="AG174" s="137">
        <f t="shared" si="133"/>
        <v>0</v>
      </c>
      <c r="AH174" s="128" t="e">
        <f t="shared" si="130"/>
        <v>#DIV/0!</v>
      </c>
      <c r="AI174" s="90">
        <v>46113</v>
      </c>
      <c r="AJ174" s="90">
        <v>46477</v>
      </c>
      <c r="AK174" s="91" t="s">
        <v>112</v>
      </c>
      <c r="AL174" s="91" t="s">
        <v>113</v>
      </c>
      <c r="AM174" s="92" t="s">
        <v>114</v>
      </c>
      <c r="AN174" s="93">
        <v>60000000</v>
      </c>
      <c r="AO174" s="93">
        <v>60000000</v>
      </c>
      <c r="AP174" s="93">
        <v>60000000</v>
      </c>
      <c r="AQ174" s="94">
        <v>0</v>
      </c>
      <c r="AR174" s="91" t="s">
        <v>207</v>
      </c>
      <c r="AS174" s="91" t="s">
        <v>112</v>
      </c>
      <c r="AT174" s="150" t="s">
        <v>509</v>
      </c>
      <c r="AU174" s="165" t="s">
        <v>2264</v>
      </c>
      <c r="AV174" s="232" t="s">
        <v>2234</v>
      </c>
      <c r="BA174" s="255"/>
      <c r="BB174" s="256"/>
      <c r="BC174" s="223" t="e">
        <f t="shared" si="104"/>
        <v>#DIV/0!</v>
      </c>
      <c r="BD174" s="255"/>
      <c r="BE174" s="256"/>
      <c r="BF174" s="223" t="e">
        <f t="shared" si="105"/>
        <v>#DIV/0!</v>
      </c>
      <c r="BG174" s="255"/>
      <c r="BH174" s="256"/>
      <c r="BI174" s="223" t="e">
        <f t="shared" si="106"/>
        <v>#DIV/0!</v>
      </c>
      <c r="BJ174" s="224">
        <f t="shared" si="107"/>
        <v>0</v>
      </c>
      <c r="BK174" s="225">
        <f t="shared" si="108"/>
        <v>0</v>
      </c>
      <c r="BL174" s="223" t="e">
        <f t="shared" si="109"/>
        <v>#DIV/0!</v>
      </c>
      <c r="BM174" s="255"/>
      <c r="BN174" s="256"/>
      <c r="BO174" s="223" t="e">
        <f t="shared" si="134"/>
        <v>#DIV/0!</v>
      </c>
      <c r="BP174" s="255"/>
      <c r="BQ174" s="256"/>
      <c r="BR174" s="223" t="e">
        <f t="shared" si="135"/>
        <v>#DIV/0!</v>
      </c>
      <c r="BS174" s="255"/>
      <c r="BT174" s="255"/>
      <c r="BU174" s="223" t="e">
        <f t="shared" si="136"/>
        <v>#DIV/0!</v>
      </c>
      <c r="BV174" s="224">
        <f t="shared" si="110"/>
        <v>0</v>
      </c>
      <c r="BW174" s="224">
        <f t="shared" si="111"/>
        <v>0</v>
      </c>
      <c r="BX174" s="223" t="e">
        <f t="shared" si="112"/>
        <v>#DIV/0!</v>
      </c>
      <c r="BY174" s="223">
        <f t="shared" si="113"/>
        <v>0</v>
      </c>
      <c r="BZ174" s="223">
        <f t="shared" si="114"/>
        <v>0</v>
      </c>
      <c r="CA174" s="226"/>
      <c r="CB174" s="175"/>
      <c r="CC174" s="191"/>
      <c r="CD174" s="192"/>
      <c r="CE174" s="193" t="e">
        <f t="shared" si="137"/>
        <v>#DIV/0!</v>
      </c>
      <c r="CF174" s="191"/>
      <c r="CG174" s="192"/>
      <c r="CH174" s="193" t="e">
        <f t="shared" si="138"/>
        <v>#DIV/0!</v>
      </c>
      <c r="CI174" s="197"/>
      <c r="CJ174" s="198"/>
      <c r="CK174" s="193" t="e">
        <f t="shared" si="139"/>
        <v>#DIV/0!</v>
      </c>
      <c r="CL174" s="195">
        <f t="shared" si="140"/>
        <v>0</v>
      </c>
      <c r="CM174" s="194">
        <f t="shared" si="141"/>
        <v>0</v>
      </c>
      <c r="CN174" s="193" t="e">
        <f t="shared" si="142"/>
        <v>#DIV/0!</v>
      </c>
      <c r="CO174" s="175"/>
      <c r="CP174" s="196">
        <f t="shared" si="143"/>
        <v>0</v>
      </c>
      <c r="CQ174" s="196">
        <f t="shared" si="144"/>
        <v>0</v>
      </c>
      <c r="CR174" s="199" t="e">
        <f t="shared" si="145"/>
        <v>#DIV/0!</v>
      </c>
      <c r="CS174" s="261">
        <f t="shared" si="115"/>
        <v>6</v>
      </c>
      <c r="CT174" s="175"/>
      <c r="CU174" s="196">
        <f t="shared" si="116"/>
        <v>1.7999999999999998</v>
      </c>
      <c r="CV174" s="259"/>
      <c r="CW174" s="199">
        <f t="shared" si="117"/>
        <v>0</v>
      </c>
      <c r="CX174" s="196">
        <f t="shared" si="118"/>
        <v>1.7999999999999998</v>
      </c>
      <c r="CY174" s="259"/>
      <c r="CZ174" s="199">
        <f t="shared" si="119"/>
        <v>0</v>
      </c>
      <c r="DA174" s="196">
        <f t="shared" si="120"/>
        <v>1.7999999999999998</v>
      </c>
      <c r="DB174" s="259"/>
      <c r="DC174" s="199">
        <f t="shared" si="121"/>
        <v>0</v>
      </c>
      <c r="DD174" s="196">
        <f t="shared" si="122"/>
        <v>0.60000000000000009</v>
      </c>
      <c r="DE174" s="259"/>
      <c r="DF174" s="199">
        <f t="shared" si="123"/>
        <v>0</v>
      </c>
      <c r="DG174" s="175"/>
      <c r="DH174" s="196">
        <f t="shared" si="124"/>
        <v>6</v>
      </c>
      <c r="DI174" s="196">
        <f t="shared" si="125"/>
        <v>0</v>
      </c>
      <c r="DJ174" s="199">
        <f t="shared" si="126"/>
        <v>0</v>
      </c>
      <c r="DK174" s="265">
        <f t="shared" si="127"/>
        <v>6</v>
      </c>
      <c r="DL174" s="244">
        <v>170</v>
      </c>
      <c r="DM174">
        <f t="shared" si="149"/>
        <v>0</v>
      </c>
    </row>
    <row r="175" spans="1:117" ht="39.6" x14ac:dyDescent="0.3">
      <c r="A175" s="246">
        <v>171</v>
      </c>
      <c r="B175" s="91" t="s">
        <v>270</v>
      </c>
      <c r="C175" s="91" t="s">
        <v>133</v>
      </c>
      <c r="D175" s="91" t="s">
        <v>119</v>
      </c>
      <c r="E175" s="91" t="s">
        <v>134</v>
      </c>
      <c r="F175" s="91" t="s">
        <v>587</v>
      </c>
      <c r="G175" s="87" t="s">
        <v>588</v>
      </c>
      <c r="H175" s="87" t="s">
        <v>589</v>
      </c>
      <c r="I175" s="87" t="s">
        <v>588</v>
      </c>
      <c r="J175" s="87" t="s">
        <v>588</v>
      </c>
      <c r="K175" s="85" t="s">
        <v>104</v>
      </c>
      <c r="L175" s="85" t="s">
        <v>105</v>
      </c>
      <c r="M175" s="87" t="s">
        <v>106</v>
      </c>
      <c r="N175" s="87" t="s">
        <v>590</v>
      </c>
      <c r="O175" s="87" t="s">
        <v>127</v>
      </c>
      <c r="P175" s="229" t="s">
        <v>591</v>
      </c>
      <c r="Q175" s="87" t="s">
        <v>129</v>
      </c>
      <c r="R175" s="130">
        <v>1</v>
      </c>
      <c r="S175" s="88" t="s">
        <v>111</v>
      </c>
      <c r="T175" s="81">
        <v>0</v>
      </c>
      <c r="U175" s="81"/>
      <c r="V175" s="25" t="e">
        <f t="shared" ref="V175:V281" si="150">U175/T175*100</f>
        <v>#DIV/0!</v>
      </c>
      <c r="W175" s="81">
        <v>0</v>
      </c>
      <c r="X175" s="81"/>
      <c r="Y175" s="25" t="e">
        <f t="shared" si="1"/>
        <v>#DIV/0!</v>
      </c>
      <c r="Z175" s="81">
        <v>2</v>
      </c>
      <c r="AA175" s="81"/>
      <c r="AB175" s="25">
        <f t="shared" si="2"/>
        <v>0</v>
      </c>
      <c r="AC175" s="81">
        <v>2</v>
      </c>
      <c r="AD175" s="81"/>
      <c r="AE175" s="25">
        <f t="shared" si="3"/>
        <v>0</v>
      </c>
      <c r="AF175" s="137">
        <f t="shared" si="132"/>
        <v>1</v>
      </c>
      <c r="AG175" s="137">
        <f t="shared" si="133"/>
        <v>0</v>
      </c>
      <c r="AH175" s="128">
        <f t="shared" si="130"/>
        <v>0</v>
      </c>
      <c r="AI175" s="90">
        <v>46113</v>
      </c>
      <c r="AJ175" s="90">
        <v>46477</v>
      </c>
      <c r="AK175" s="91" t="s">
        <v>112</v>
      </c>
      <c r="AL175" s="91" t="s">
        <v>113</v>
      </c>
      <c r="AM175" s="92" t="s">
        <v>114</v>
      </c>
      <c r="AN175" s="93">
        <v>30000000</v>
      </c>
      <c r="AO175" s="93">
        <v>30000000</v>
      </c>
      <c r="AP175" s="93">
        <v>30000000</v>
      </c>
      <c r="AQ175" s="94">
        <v>0</v>
      </c>
      <c r="AR175" s="91" t="s">
        <v>207</v>
      </c>
      <c r="AS175" s="91" t="s">
        <v>112</v>
      </c>
      <c r="AT175" s="150" t="s">
        <v>509</v>
      </c>
      <c r="AU175" s="165" t="s">
        <v>2264</v>
      </c>
      <c r="AV175" s="232" t="s">
        <v>2234</v>
      </c>
      <c r="BA175" s="255"/>
      <c r="BB175" s="256"/>
      <c r="BC175" s="223" t="e">
        <f t="shared" si="104"/>
        <v>#DIV/0!</v>
      </c>
      <c r="BD175" s="255"/>
      <c r="BE175" s="256"/>
      <c r="BF175" s="223" t="e">
        <f t="shared" si="105"/>
        <v>#DIV/0!</v>
      </c>
      <c r="BG175" s="255"/>
      <c r="BH175" s="256"/>
      <c r="BI175" s="223" t="e">
        <f t="shared" si="106"/>
        <v>#DIV/0!</v>
      </c>
      <c r="BJ175" s="224">
        <f t="shared" si="107"/>
        <v>0</v>
      </c>
      <c r="BK175" s="225">
        <f t="shared" si="108"/>
        <v>0</v>
      </c>
      <c r="BL175" s="223" t="e">
        <f t="shared" si="109"/>
        <v>#DIV/0!</v>
      </c>
      <c r="BM175" s="255"/>
      <c r="BN175" s="256"/>
      <c r="BO175" s="223" t="e">
        <f t="shared" si="134"/>
        <v>#DIV/0!</v>
      </c>
      <c r="BP175" s="255"/>
      <c r="BQ175" s="256"/>
      <c r="BR175" s="223" t="e">
        <f t="shared" si="135"/>
        <v>#DIV/0!</v>
      </c>
      <c r="BS175" s="255"/>
      <c r="BT175" s="255"/>
      <c r="BU175" s="223" t="e">
        <f t="shared" si="136"/>
        <v>#DIV/0!</v>
      </c>
      <c r="BV175" s="224">
        <f t="shared" si="110"/>
        <v>0</v>
      </c>
      <c r="BW175" s="224">
        <f t="shared" si="111"/>
        <v>0</v>
      </c>
      <c r="BX175" s="223" t="e">
        <f t="shared" si="112"/>
        <v>#DIV/0!</v>
      </c>
      <c r="BY175" s="223">
        <f t="shared" si="113"/>
        <v>0</v>
      </c>
      <c r="BZ175" s="223">
        <f t="shared" si="114"/>
        <v>0</v>
      </c>
      <c r="CA175" s="226"/>
      <c r="CB175" s="175"/>
      <c r="CC175" s="191"/>
      <c r="CD175" s="192"/>
      <c r="CE175" s="193" t="e">
        <f t="shared" si="137"/>
        <v>#DIV/0!</v>
      </c>
      <c r="CF175" s="191"/>
      <c r="CG175" s="192"/>
      <c r="CH175" s="193" t="e">
        <f t="shared" si="138"/>
        <v>#DIV/0!</v>
      </c>
      <c r="CI175" s="197"/>
      <c r="CJ175" s="198"/>
      <c r="CK175" s="193" t="e">
        <f t="shared" si="139"/>
        <v>#DIV/0!</v>
      </c>
      <c r="CL175" s="195">
        <f t="shared" si="140"/>
        <v>0</v>
      </c>
      <c r="CM175" s="194">
        <f t="shared" si="141"/>
        <v>0</v>
      </c>
      <c r="CN175" s="193" t="e">
        <f t="shared" si="142"/>
        <v>#DIV/0!</v>
      </c>
      <c r="CO175" s="175"/>
      <c r="CP175" s="196">
        <f t="shared" si="143"/>
        <v>0</v>
      </c>
      <c r="CQ175" s="196">
        <f t="shared" si="144"/>
        <v>0</v>
      </c>
      <c r="CR175" s="199" t="e">
        <f t="shared" si="145"/>
        <v>#DIV/0!</v>
      </c>
      <c r="CS175" s="261">
        <f t="shared" si="115"/>
        <v>1</v>
      </c>
      <c r="CT175" s="175"/>
      <c r="CU175" s="196">
        <f t="shared" si="116"/>
        <v>0.3</v>
      </c>
      <c r="CV175" s="259"/>
      <c r="CW175" s="199">
        <f t="shared" si="117"/>
        <v>0</v>
      </c>
      <c r="CX175" s="196">
        <f t="shared" si="118"/>
        <v>0.3</v>
      </c>
      <c r="CY175" s="259"/>
      <c r="CZ175" s="199">
        <f t="shared" si="119"/>
        <v>0</v>
      </c>
      <c r="DA175" s="196">
        <f t="shared" si="120"/>
        <v>0.3</v>
      </c>
      <c r="DB175" s="259"/>
      <c r="DC175" s="199">
        <f t="shared" si="121"/>
        <v>0</v>
      </c>
      <c r="DD175" s="196">
        <f t="shared" si="122"/>
        <v>0.1</v>
      </c>
      <c r="DE175" s="259"/>
      <c r="DF175" s="199">
        <f t="shared" si="123"/>
        <v>0</v>
      </c>
      <c r="DG175" s="175"/>
      <c r="DH175" s="196">
        <f t="shared" si="124"/>
        <v>1</v>
      </c>
      <c r="DI175" s="196">
        <f t="shared" si="125"/>
        <v>0</v>
      </c>
      <c r="DJ175" s="199">
        <f t="shared" si="126"/>
        <v>0</v>
      </c>
      <c r="DK175" s="265">
        <f t="shared" si="127"/>
        <v>1</v>
      </c>
      <c r="DL175" s="244">
        <v>171</v>
      </c>
      <c r="DM175">
        <f t="shared" si="149"/>
        <v>0</v>
      </c>
    </row>
    <row r="176" spans="1:117" x14ac:dyDescent="0.3">
      <c r="A176" s="246">
        <v>172</v>
      </c>
      <c r="B176" s="91" t="s">
        <v>270</v>
      </c>
      <c r="C176" s="91" t="s">
        <v>133</v>
      </c>
      <c r="D176" s="91" t="s">
        <v>119</v>
      </c>
      <c r="E176" s="91" t="s">
        <v>120</v>
      </c>
      <c r="F176" s="91" t="s">
        <v>350</v>
      </c>
      <c r="G176" s="87" t="s">
        <v>186</v>
      </c>
      <c r="H176" s="87" t="s">
        <v>187</v>
      </c>
      <c r="I176" s="87" t="s">
        <v>592</v>
      </c>
      <c r="J176" s="87" t="s">
        <v>592</v>
      </c>
      <c r="K176" s="85" t="s">
        <v>104</v>
      </c>
      <c r="L176" s="85" t="s">
        <v>105</v>
      </c>
      <c r="M176" s="87" t="s">
        <v>106</v>
      </c>
      <c r="N176" s="87" t="s">
        <v>126</v>
      </c>
      <c r="O176" s="87" t="s">
        <v>127</v>
      </c>
      <c r="P176" s="87" t="s">
        <v>593</v>
      </c>
      <c r="Q176" s="87" t="s">
        <v>129</v>
      </c>
      <c r="R176" s="130">
        <v>4</v>
      </c>
      <c r="S176" s="88" t="s">
        <v>111</v>
      </c>
      <c r="T176" s="81">
        <v>0</v>
      </c>
      <c r="U176" s="81">
        <v>0</v>
      </c>
      <c r="V176" s="25" t="e">
        <f t="shared" si="150"/>
        <v>#DIV/0!</v>
      </c>
      <c r="W176" s="81">
        <v>0</v>
      </c>
      <c r="X176" s="81"/>
      <c r="Y176" s="25" t="e">
        <f t="shared" si="1"/>
        <v>#DIV/0!</v>
      </c>
      <c r="Z176" s="81">
        <v>2</v>
      </c>
      <c r="AA176" s="81"/>
      <c r="AB176" s="25">
        <f t="shared" si="2"/>
        <v>0</v>
      </c>
      <c r="AC176" s="81">
        <v>2</v>
      </c>
      <c r="AD176" s="81"/>
      <c r="AE176" s="25">
        <f t="shared" si="3"/>
        <v>0</v>
      </c>
      <c r="AF176" s="137">
        <f t="shared" si="132"/>
        <v>4</v>
      </c>
      <c r="AG176" s="137">
        <f t="shared" si="133"/>
        <v>0</v>
      </c>
      <c r="AH176" s="128" t="e">
        <f t="shared" si="130"/>
        <v>#DIV/0!</v>
      </c>
      <c r="AI176" s="90">
        <v>46113</v>
      </c>
      <c r="AJ176" s="90">
        <v>46477</v>
      </c>
      <c r="AK176" s="91" t="s">
        <v>112</v>
      </c>
      <c r="AL176" s="91" t="s">
        <v>113</v>
      </c>
      <c r="AM176" s="92" t="s">
        <v>114</v>
      </c>
      <c r="AN176" s="93">
        <v>60000000</v>
      </c>
      <c r="AO176" s="93">
        <v>60000000</v>
      </c>
      <c r="AP176" s="93">
        <v>60000000</v>
      </c>
      <c r="AQ176" s="94">
        <v>0</v>
      </c>
      <c r="AR176" s="91" t="s">
        <v>207</v>
      </c>
      <c r="AS176" s="91" t="s">
        <v>112</v>
      </c>
      <c r="AT176" s="150" t="s">
        <v>509</v>
      </c>
      <c r="AU176" s="165" t="s">
        <v>2264</v>
      </c>
      <c r="AV176" s="232" t="s">
        <v>2234</v>
      </c>
      <c r="BA176" s="255"/>
      <c r="BB176" s="256"/>
      <c r="BC176" s="223" t="e">
        <f t="shared" si="104"/>
        <v>#DIV/0!</v>
      </c>
      <c r="BD176" s="255"/>
      <c r="BE176" s="256"/>
      <c r="BF176" s="223" t="e">
        <f t="shared" si="105"/>
        <v>#DIV/0!</v>
      </c>
      <c r="BG176" s="255"/>
      <c r="BH176" s="256"/>
      <c r="BI176" s="223" t="e">
        <f t="shared" si="106"/>
        <v>#DIV/0!</v>
      </c>
      <c r="BJ176" s="224">
        <f t="shared" si="107"/>
        <v>0</v>
      </c>
      <c r="BK176" s="225">
        <f t="shared" si="108"/>
        <v>0</v>
      </c>
      <c r="BL176" s="223" t="e">
        <f t="shared" si="109"/>
        <v>#DIV/0!</v>
      </c>
      <c r="BM176" s="255"/>
      <c r="BN176" s="256"/>
      <c r="BO176" s="223" t="e">
        <f t="shared" si="134"/>
        <v>#DIV/0!</v>
      </c>
      <c r="BP176" s="255"/>
      <c r="BQ176" s="256"/>
      <c r="BR176" s="223" t="e">
        <f t="shared" si="135"/>
        <v>#DIV/0!</v>
      </c>
      <c r="BS176" s="255"/>
      <c r="BT176" s="255"/>
      <c r="BU176" s="223" t="e">
        <f t="shared" si="136"/>
        <v>#DIV/0!</v>
      </c>
      <c r="BV176" s="224">
        <f t="shared" si="110"/>
        <v>0</v>
      </c>
      <c r="BW176" s="224">
        <f t="shared" si="111"/>
        <v>0</v>
      </c>
      <c r="BX176" s="223" t="e">
        <f t="shared" si="112"/>
        <v>#DIV/0!</v>
      </c>
      <c r="BY176" s="223">
        <f t="shared" si="113"/>
        <v>0</v>
      </c>
      <c r="BZ176" s="223">
        <f t="shared" si="114"/>
        <v>0</v>
      </c>
      <c r="CA176" s="226"/>
      <c r="CB176" s="175"/>
      <c r="CC176" s="191"/>
      <c r="CD176" s="192"/>
      <c r="CE176" s="193" t="e">
        <f t="shared" si="137"/>
        <v>#DIV/0!</v>
      </c>
      <c r="CF176" s="191">
        <v>1</v>
      </c>
      <c r="CG176" s="192">
        <v>1</v>
      </c>
      <c r="CH176" s="193">
        <f t="shared" si="138"/>
        <v>1</v>
      </c>
      <c r="CI176" s="197"/>
      <c r="CJ176" s="198"/>
      <c r="CK176" s="193" t="e">
        <f t="shared" si="139"/>
        <v>#DIV/0!</v>
      </c>
      <c r="CL176" s="195">
        <f t="shared" si="140"/>
        <v>1</v>
      </c>
      <c r="CM176" s="194">
        <f t="shared" si="141"/>
        <v>1</v>
      </c>
      <c r="CN176" s="193">
        <f t="shared" si="142"/>
        <v>1</v>
      </c>
      <c r="CO176" s="175"/>
      <c r="CP176" s="196">
        <f t="shared" si="143"/>
        <v>1</v>
      </c>
      <c r="CQ176" s="196">
        <f t="shared" si="144"/>
        <v>1</v>
      </c>
      <c r="CR176" s="199">
        <f t="shared" si="145"/>
        <v>1</v>
      </c>
      <c r="CS176" s="261">
        <f t="shared" si="115"/>
        <v>3</v>
      </c>
      <c r="CT176" s="175"/>
      <c r="CU176" s="196">
        <f t="shared" si="116"/>
        <v>0.89999999999999991</v>
      </c>
      <c r="CV176" s="259"/>
      <c r="CW176" s="199">
        <f t="shared" si="117"/>
        <v>0</v>
      </c>
      <c r="CX176" s="196">
        <f t="shared" si="118"/>
        <v>0.89999999999999991</v>
      </c>
      <c r="CY176" s="259"/>
      <c r="CZ176" s="199">
        <f t="shared" si="119"/>
        <v>0</v>
      </c>
      <c r="DA176" s="196">
        <f t="shared" si="120"/>
        <v>0.89999999999999991</v>
      </c>
      <c r="DB176" s="259"/>
      <c r="DC176" s="199">
        <f t="shared" si="121"/>
        <v>0</v>
      </c>
      <c r="DD176" s="196">
        <f t="shared" si="122"/>
        <v>0.30000000000000004</v>
      </c>
      <c r="DE176" s="259"/>
      <c r="DF176" s="199">
        <f t="shared" si="123"/>
        <v>0</v>
      </c>
      <c r="DG176" s="175"/>
      <c r="DH176" s="196">
        <f t="shared" si="124"/>
        <v>4</v>
      </c>
      <c r="DI176" s="196">
        <f t="shared" si="125"/>
        <v>1</v>
      </c>
      <c r="DJ176" s="199">
        <f t="shared" si="126"/>
        <v>0.25</v>
      </c>
      <c r="DK176" s="265">
        <f t="shared" si="127"/>
        <v>3</v>
      </c>
      <c r="DL176" s="244">
        <v>172</v>
      </c>
      <c r="DM176">
        <f t="shared" si="149"/>
        <v>0</v>
      </c>
    </row>
    <row r="177" spans="1:117" x14ac:dyDescent="0.3">
      <c r="A177" s="246">
        <v>173</v>
      </c>
      <c r="B177" s="91" t="s">
        <v>270</v>
      </c>
      <c r="C177" s="91" t="s">
        <v>118</v>
      </c>
      <c r="D177" s="91" t="s">
        <v>119</v>
      </c>
      <c r="E177" s="91" t="s">
        <v>120</v>
      </c>
      <c r="F177" s="91" t="s">
        <v>350</v>
      </c>
      <c r="G177" s="87" t="s">
        <v>186</v>
      </c>
      <c r="H177" s="87" t="s">
        <v>187</v>
      </c>
      <c r="I177" s="87" t="s">
        <v>592</v>
      </c>
      <c r="J177" s="87" t="s">
        <v>592</v>
      </c>
      <c r="K177" s="85" t="s">
        <v>104</v>
      </c>
      <c r="L177" s="85" t="s">
        <v>105</v>
      </c>
      <c r="M177" s="87" t="s">
        <v>106</v>
      </c>
      <c r="N177" s="87" t="s">
        <v>126</v>
      </c>
      <c r="O177" s="87" t="s">
        <v>127</v>
      </c>
      <c r="P177" s="87" t="s">
        <v>594</v>
      </c>
      <c r="Q177" s="87" t="s">
        <v>129</v>
      </c>
      <c r="R177" s="130">
        <v>5</v>
      </c>
      <c r="S177" s="88" t="s">
        <v>111</v>
      </c>
      <c r="T177" s="81">
        <v>0</v>
      </c>
      <c r="U177" s="81">
        <v>0</v>
      </c>
      <c r="V177" s="25" t="e">
        <f t="shared" si="150"/>
        <v>#DIV/0!</v>
      </c>
      <c r="W177" s="81">
        <v>0</v>
      </c>
      <c r="X177" s="81"/>
      <c r="Y177" s="25" t="e">
        <f t="shared" si="1"/>
        <v>#DIV/0!</v>
      </c>
      <c r="Z177" s="81">
        <v>2</v>
      </c>
      <c r="AA177" s="81"/>
      <c r="AB177" s="25">
        <f t="shared" si="2"/>
        <v>0</v>
      </c>
      <c r="AC177" s="81">
        <v>2</v>
      </c>
      <c r="AD177" s="81"/>
      <c r="AE177" s="25">
        <f t="shared" si="3"/>
        <v>0</v>
      </c>
      <c r="AF177" s="137">
        <f t="shared" si="132"/>
        <v>5</v>
      </c>
      <c r="AG177" s="137">
        <f t="shared" si="133"/>
        <v>0</v>
      </c>
      <c r="AH177" s="128" t="e">
        <f t="shared" si="130"/>
        <v>#DIV/0!</v>
      </c>
      <c r="AI177" s="90">
        <v>46113</v>
      </c>
      <c r="AJ177" s="90">
        <v>46477</v>
      </c>
      <c r="AK177" s="91" t="s">
        <v>112</v>
      </c>
      <c r="AL177" s="91" t="s">
        <v>113</v>
      </c>
      <c r="AM177" s="92" t="s">
        <v>114</v>
      </c>
      <c r="AN177" s="93">
        <v>60000000</v>
      </c>
      <c r="AO177" s="93">
        <v>60000000</v>
      </c>
      <c r="AP177" s="93">
        <v>60000000</v>
      </c>
      <c r="AQ177" s="94">
        <v>0</v>
      </c>
      <c r="AR177" s="91" t="s">
        <v>207</v>
      </c>
      <c r="AS177" s="91" t="s">
        <v>112</v>
      </c>
      <c r="AT177" s="150" t="s">
        <v>509</v>
      </c>
      <c r="AU177" s="165" t="s">
        <v>2264</v>
      </c>
      <c r="AV177" s="232" t="s">
        <v>2234</v>
      </c>
      <c r="BA177" s="255"/>
      <c r="BB177" s="256"/>
      <c r="BC177" s="223" t="e">
        <f t="shared" si="104"/>
        <v>#DIV/0!</v>
      </c>
      <c r="BD177" s="255"/>
      <c r="BE177" s="256"/>
      <c r="BF177" s="223" t="e">
        <f t="shared" si="105"/>
        <v>#DIV/0!</v>
      </c>
      <c r="BG177" s="255"/>
      <c r="BH177" s="256"/>
      <c r="BI177" s="223" t="e">
        <f t="shared" si="106"/>
        <v>#DIV/0!</v>
      </c>
      <c r="BJ177" s="224">
        <f t="shared" si="107"/>
        <v>0</v>
      </c>
      <c r="BK177" s="225">
        <f t="shared" si="108"/>
        <v>0</v>
      </c>
      <c r="BL177" s="223" t="e">
        <f t="shared" si="109"/>
        <v>#DIV/0!</v>
      </c>
      <c r="BM177" s="255"/>
      <c r="BN177" s="256"/>
      <c r="BO177" s="223" t="e">
        <f t="shared" si="134"/>
        <v>#DIV/0!</v>
      </c>
      <c r="BP177" s="255"/>
      <c r="BQ177" s="256"/>
      <c r="BR177" s="223" t="e">
        <f t="shared" si="135"/>
        <v>#DIV/0!</v>
      </c>
      <c r="BS177" s="255"/>
      <c r="BT177" s="255"/>
      <c r="BU177" s="223" t="e">
        <f t="shared" si="136"/>
        <v>#DIV/0!</v>
      </c>
      <c r="BV177" s="224">
        <f t="shared" si="110"/>
        <v>0</v>
      </c>
      <c r="BW177" s="224">
        <f t="shared" si="111"/>
        <v>0</v>
      </c>
      <c r="BX177" s="223" t="e">
        <f t="shared" si="112"/>
        <v>#DIV/0!</v>
      </c>
      <c r="BY177" s="223">
        <f t="shared" si="113"/>
        <v>0</v>
      </c>
      <c r="BZ177" s="223">
        <f t="shared" si="114"/>
        <v>0</v>
      </c>
      <c r="CA177" s="226"/>
      <c r="CB177" s="175"/>
      <c r="CC177" s="191"/>
      <c r="CD177" s="192"/>
      <c r="CE177" s="193" t="e">
        <f t="shared" si="137"/>
        <v>#DIV/0!</v>
      </c>
      <c r="CF177" s="191"/>
      <c r="CG177" s="192"/>
      <c r="CH177" s="193" t="e">
        <f t="shared" si="138"/>
        <v>#DIV/0!</v>
      </c>
      <c r="CI177" s="197"/>
      <c r="CJ177" s="198"/>
      <c r="CK177" s="193" t="e">
        <f t="shared" si="139"/>
        <v>#DIV/0!</v>
      </c>
      <c r="CL177" s="195">
        <f t="shared" si="140"/>
        <v>0</v>
      </c>
      <c r="CM177" s="194">
        <f t="shared" si="141"/>
        <v>0</v>
      </c>
      <c r="CN177" s="193" t="e">
        <f t="shared" si="142"/>
        <v>#DIV/0!</v>
      </c>
      <c r="CO177" s="175"/>
      <c r="CP177" s="196">
        <f t="shared" si="143"/>
        <v>0</v>
      </c>
      <c r="CQ177" s="196">
        <f t="shared" si="144"/>
        <v>0</v>
      </c>
      <c r="CR177" s="199" t="e">
        <f t="shared" si="145"/>
        <v>#DIV/0!</v>
      </c>
      <c r="CS177" s="261">
        <f t="shared" si="115"/>
        <v>5</v>
      </c>
      <c r="CT177" s="175"/>
      <c r="CU177" s="196">
        <f t="shared" si="116"/>
        <v>1.5</v>
      </c>
      <c r="CV177" s="259"/>
      <c r="CW177" s="199">
        <f t="shared" si="117"/>
        <v>0</v>
      </c>
      <c r="CX177" s="196">
        <f t="shared" si="118"/>
        <v>1.5</v>
      </c>
      <c r="CY177" s="259"/>
      <c r="CZ177" s="199">
        <f t="shared" si="119"/>
        <v>0</v>
      </c>
      <c r="DA177" s="196">
        <f t="shared" si="120"/>
        <v>1.5</v>
      </c>
      <c r="DB177" s="259"/>
      <c r="DC177" s="199">
        <f t="shared" si="121"/>
        <v>0</v>
      </c>
      <c r="DD177" s="196">
        <f t="shared" si="122"/>
        <v>0.5</v>
      </c>
      <c r="DE177" s="259"/>
      <c r="DF177" s="199">
        <f t="shared" si="123"/>
        <v>0</v>
      </c>
      <c r="DG177" s="175"/>
      <c r="DH177" s="196">
        <f t="shared" si="124"/>
        <v>5</v>
      </c>
      <c r="DI177" s="196">
        <f t="shared" si="125"/>
        <v>0</v>
      </c>
      <c r="DJ177" s="199">
        <f t="shared" si="126"/>
        <v>0</v>
      </c>
      <c r="DK177" s="265">
        <f t="shared" si="127"/>
        <v>5</v>
      </c>
      <c r="DL177" s="244">
        <v>173</v>
      </c>
      <c r="DM177">
        <f t="shared" si="149"/>
        <v>0</v>
      </c>
    </row>
    <row r="178" spans="1:117" x14ac:dyDescent="0.3">
      <c r="A178" s="81">
        <v>174</v>
      </c>
      <c r="B178" s="91" t="s">
        <v>270</v>
      </c>
      <c r="C178" s="91" t="s">
        <v>118</v>
      </c>
      <c r="D178" s="91" t="s">
        <v>119</v>
      </c>
      <c r="E178" s="91" t="s">
        <v>120</v>
      </c>
      <c r="F178" s="91" t="s">
        <v>350</v>
      </c>
      <c r="G178" s="87" t="s">
        <v>186</v>
      </c>
      <c r="H178" s="87" t="s">
        <v>187</v>
      </c>
      <c r="I178" s="87" t="s">
        <v>592</v>
      </c>
      <c r="J178" s="87" t="s">
        <v>592</v>
      </c>
      <c r="K178" s="85" t="s">
        <v>104</v>
      </c>
      <c r="L178" s="85" t="s">
        <v>105</v>
      </c>
      <c r="M178" s="87" t="s">
        <v>106</v>
      </c>
      <c r="N178" s="87" t="s">
        <v>126</v>
      </c>
      <c r="O178" s="87" t="s">
        <v>127</v>
      </c>
      <c r="P178" s="87" t="s">
        <v>595</v>
      </c>
      <c r="Q178" s="87" t="s">
        <v>129</v>
      </c>
      <c r="R178" s="130">
        <v>1</v>
      </c>
      <c r="S178" s="88" t="s">
        <v>111</v>
      </c>
      <c r="T178" s="81">
        <v>1</v>
      </c>
      <c r="U178" s="81">
        <v>1</v>
      </c>
      <c r="V178" s="25">
        <f t="shared" si="150"/>
        <v>100</v>
      </c>
      <c r="W178" s="81"/>
      <c r="X178" s="81"/>
      <c r="Y178" s="25" t="e">
        <f t="shared" si="1"/>
        <v>#DIV/0!</v>
      </c>
      <c r="Z178" s="81">
        <v>3</v>
      </c>
      <c r="AA178" s="81"/>
      <c r="AB178" s="25">
        <f t="shared" si="2"/>
        <v>0</v>
      </c>
      <c r="AC178" s="81">
        <v>3</v>
      </c>
      <c r="AD178" s="81"/>
      <c r="AE178" s="25">
        <f t="shared" si="3"/>
        <v>0</v>
      </c>
      <c r="AF178" s="137">
        <f t="shared" si="132"/>
        <v>1</v>
      </c>
      <c r="AG178" s="137">
        <f t="shared" si="133"/>
        <v>1</v>
      </c>
      <c r="AH178" s="128">
        <f t="shared" si="130"/>
        <v>100</v>
      </c>
      <c r="AI178" s="90">
        <v>46113</v>
      </c>
      <c r="AJ178" s="90">
        <v>46477</v>
      </c>
      <c r="AK178" s="91" t="s">
        <v>112</v>
      </c>
      <c r="AL178" s="91" t="s">
        <v>113</v>
      </c>
      <c r="AM178" s="92" t="s">
        <v>114</v>
      </c>
      <c r="AN178" s="93">
        <v>270081900</v>
      </c>
      <c r="AO178" s="93">
        <v>270081900</v>
      </c>
      <c r="AP178" s="93">
        <v>270081900</v>
      </c>
      <c r="AQ178" s="94">
        <f>49677450</f>
        <v>49677450</v>
      </c>
      <c r="AR178" s="91"/>
      <c r="AS178" s="91" t="s">
        <v>112</v>
      </c>
      <c r="AT178" s="150"/>
      <c r="AU178" s="91"/>
      <c r="AV178" s="126" t="s">
        <v>2234</v>
      </c>
      <c r="AW178" s="167" t="s">
        <v>2271</v>
      </c>
      <c r="AX178" s="167"/>
      <c r="AY178" s="257"/>
      <c r="AZ178" s="254" t="s">
        <v>2359</v>
      </c>
      <c r="BA178" s="255"/>
      <c r="BB178" s="256"/>
      <c r="BC178" s="223" t="e">
        <f t="shared" si="104"/>
        <v>#DIV/0!</v>
      </c>
      <c r="BD178" s="255"/>
      <c r="BE178" s="256"/>
      <c r="BF178" s="223" t="e">
        <f t="shared" si="105"/>
        <v>#DIV/0!</v>
      </c>
      <c r="BG178" s="255"/>
      <c r="BH178" s="256"/>
      <c r="BI178" s="223" t="e">
        <f t="shared" si="106"/>
        <v>#DIV/0!</v>
      </c>
      <c r="BJ178" s="224">
        <f t="shared" si="107"/>
        <v>0</v>
      </c>
      <c r="BK178" s="225">
        <f t="shared" si="108"/>
        <v>0</v>
      </c>
      <c r="BL178" s="223" t="e">
        <f t="shared" si="109"/>
        <v>#DIV/0!</v>
      </c>
      <c r="BM178" s="255"/>
      <c r="BN178" s="256"/>
      <c r="BO178" s="223" t="e">
        <f t="shared" si="134"/>
        <v>#DIV/0!</v>
      </c>
      <c r="BP178" s="255"/>
      <c r="BQ178" s="256"/>
      <c r="BR178" s="223" t="e">
        <f t="shared" si="135"/>
        <v>#DIV/0!</v>
      </c>
      <c r="BS178" s="255"/>
      <c r="BT178" s="255"/>
      <c r="BU178" s="223" t="e">
        <f t="shared" si="136"/>
        <v>#DIV/0!</v>
      </c>
      <c r="BV178" s="224">
        <f t="shared" si="110"/>
        <v>0</v>
      </c>
      <c r="BW178" s="224">
        <f t="shared" si="111"/>
        <v>0</v>
      </c>
      <c r="BX178" s="223" t="e">
        <f t="shared" si="112"/>
        <v>#DIV/0!</v>
      </c>
      <c r="BY178" s="223">
        <f t="shared" si="113"/>
        <v>0</v>
      </c>
      <c r="BZ178" s="223">
        <f t="shared" si="114"/>
        <v>0</v>
      </c>
      <c r="CA178" s="226"/>
      <c r="CB178" s="175"/>
      <c r="CC178" s="191"/>
      <c r="CD178" s="192"/>
      <c r="CE178" s="193" t="e">
        <f t="shared" si="137"/>
        <v>#DIV/0!</v>
      </c>
      <c r="CF178" s="191"/>
      <c r="CG178" s="192"/>
      <c r="CH178" s="193" t="e">
        <f t="shared" si="138"/>
        <v>#DIV/0!</v>
      </c>
      <c r="CI178" s="197"/>
      <c r="CJ178" s="198"/>
      <c r="CK178" s="193" t="e">
        <f t="shared" si="139"/>
        <v>#DIV/0!</v>
      </c>
      <c r="CL178" s="195">
        <f t="shared" si="140"/>
        <v>0</v>
      </c>
      <c r="CM178" s="194">
        <f t="shared" si="141"/>
        <v>0</v>
      </c>
      <c r="CN178" s="193" t="e">
        <f t="shared" si="142"/>
        <v>#DIV/0!</v>
      </c>
      <c r="CO178" s="175"/>
      <c r="CP178" s="196">
        <f t="shared" si="143"/>
        <v>0</v>
      </c>
      <c r="CQ178" s="196">
        <f t="shared" si="144"/>
        <v>0</v>
      </c>
      <c r="CR178" s="199" t="e">
        <f t="shared" si="145"/>
        <v>#DIV/0!</v>
      </c>
      <c r="CS178" s="261">
        <f t="shared" si="115"/>
        <v>1</v>
      </c>
      <c r="CT178" s="175"/>
      <c r="CU178" s="196">
        <f t="shared" si="116"/>
        <v>0.3</v>
      </c>
      <c r="CV178" s="259"/>
      <c r="CW178" s="199">
        <f t="shared" si="117"/>
        <v>0</v>
      </c>
      <c r="CX178" s="196">
        <f t="shared" si="118"/>
        <v>0.3</v>
      </c>
      <c r="CY178" s="259"/>
      <c r="CZ178" s="199">
        <f t="shared" si="119"/>
        <v>0</v>
      </c>
      <c r="DA178" s="196">
        <f t="shared" si="120"/>
        <v>0.3</v>
      </c>
      <c r="DB178" s="259"/>
      <c r="DC178" s="199">
        <f t="shared" si="121"/>
        <v>0</v>
      </c>
      <c r="DD178" s="196">
        <f t="shared" si="122"/>
        <v>0.1</v>
      </c>
      <c r="DE178" s="259"/>
      <c r="DF178" s="199">
        <f t="shared" si="123"/>
        <v>0</v>
      </c>
      <c r="DG178" s="175"/>
      <c r="DH178" s="196">
        <f t="shared" si="124"/>
        <v>1</v>
      </c>
      <c r="DI178" s="196">
        <f t="shared" si="125"/>
        <v>0</v>
      </c>
      <c r="DJ178" s="199">
        <f t="shared" si="126"/>
        <v>0</v>
      </c>
      <c r="DK178" s="265">
        <f t="shared" si="127"/>
        <v>1</v>
      </c>
      <c r="DL178" s="81">
        <v>174</v>
      </c>
      <c r="DM178">
        <f t="shared" si="149"/>
        <v>0</v>
      </c>
    </row>
    <row r="179" spans="1:117" x14ac:dyDescent="0.3">
      <c r="A179" s="248">
        <v>175</v>
      </c>
      <c r="B179" s="91" t="s">
        <v>270</v>
      </c>
      <c r="C179" s="91" t="s">
        <v>118</v>
      </c>
      <c r="D179" s="91" t="s">
        <v>119</v>
      </c>
      <c r="E179" s="91" t="s">
        <v>120</v>
      </c>
      <c r="F179" s="91" t="s">
        <v>350</v>
      </c>
      <c r="G179" s="87" t="s">
        <v>186</v>
      </c>
      <c r="H179" s="87" t="s">
        <v>187</v>
      </c>
      <c r="I179" s="87" t="s">
        <v>592</v>
      </c>
      <c r="J179" s="87" t="s">
        <v>592</v>
      </c>
      <c r="K179" s="85" t="s">
        <v>104</v>
      </c>
      <c r="L179" s="85" t="s">
        <v>105</v>
      </c>
      <c r="M179" s="87" t="s">
        <v>106</v>
      </c>
      <c r="N179" s="87" t="s">
        <v>126</v>
      </c>
      <c r="O179" s="87" t="s">
        <v>127</v>
      </c>
      <c r="P179" s="87" t="s">
        <v>596</v>
      </c>
      <c r="Q179" s="87" t="s">
        <v>129</v>
      </c>
      <c r="R179" s="130">
        <v>1000</v>
      </c>
      <c r="S179" s="88" t="s">
        <v>111</v>
      </c>
      <c r="T179" s="81">
        <v>0</v>
      </c>
      <c r="U179" s="81">
        <v>0</v>
      </c>
      <c r="V179" s="25" t="e">
        <f t="shared" si="150"/>
        <v>#DIV/0!</v>
      </c>
      <c r="W179" s="81"/>
      <c r="X179" s="81"/>
      <c r="Y179" s="25" t="e">
        <f t="shared" si="1"/>
        <v>#DIV/0!</v>
      </c>
      <c r="Z179" s="81">
        <v>1</v>
      </c>
      <c r="AA179" s="81"/>
      <c r="AB179" s="25">
        <f t="shared" si="2"/>
        <v>0</v>
      </c>
      <c r="AC179" s="81"/>
      <c r="AD179" s="81"/>
      <c r="AE179" s="25" t="e">
        <f t="shared" si="3"/>
        <v>#DIV/0!</v>
      </c>
      <c r="AF179" s="137">
        <f t="shared" si="132"/>
        <v>1000</v>
      </c>
      <c r="AG179" s="137">
        <f t="shared" si="133"/>
        <v>0</v>
      </c>
      <c r="AH179" s="128" t="e">
        <f t="shared" si="130"/>
        <v>#DIV/0!</v>
      </c>
      <c r="AI179" s="90">
        <v>46113</v>
      </c>
      <c r="AJ179" s="90">
        <v>46477</v>
      </c>
      <c r="AK179" s="91" t="s">
        <v>112</v>
      </c>
      <c r="AL179" s="91" t="s">
        <v>113</v>
      </c>
      <c r="AM179" s="92" t="s">
        <v>114</v>
      </c>
      <c r="AN179" s="93">
        <v>20000000</v>
      </c>
      <c r="AO179" s="93">
        <v>20000000</v>
      </c>
      <c r="AP179" s="93">
        <v>20000000</v>
      </c>
      <c r="AQ179" s="94">
        <v>0</v>
      </c>
      <c r="AR179" s="91"/>
      <c r="AS179" s="91" t="s">
        <v>112</v>
      </c>
      <c r="AT179" s="150" t="s">
        <v>131</v>
      </c>
      <c r="AU179" s="165" t="s">
        <v>2264</v>
      </c>
      <c r="AV179" s="232" t="s">
        <v>2234</v>
      </c>
      <c r="AW179" s="126" t="s">
        <v>2258</v>
      </c>
      <c r="BA179" s="255"/>
      <c r="BB179" s="256"/>
      <c r="BC179" s="223" t="e">
        <f t="shared" si="104"/>
        <v>#DIV/0!</v>
      </c>
      <c r="BD179" s="255"/>
      <c r="BE179" s="256"/>
      <c r="BF179" s="223" t="e">
        <f t="shared" si="105"/>
        <v>#DIV/0!</v>
      </c>
      <c r="BG179" s="255"/>
      <c r="BH179" s="256"/>
      <c r="BI179" s="223" t="e">
        <f t="shared" si="106"/>
        <v>#DIV/0!</v>
      </c>
      <c r="BJ179" s="224">
        <f t="shared" si="107"/>
        <v>0</v>
      </c>
      <c r="BK179" s="225">
        <f t="shared" si="108"/>
        <v>0</v>
      </c>
      <c r="BL179" s="223" t="e">
        <f t="shared" si="109"/>
        <v>#DIV/0!</v>
      </c>
      <c r="BM179" s="255"/>
      <c r="BN179" s="256"/>
      <c r="BO179" s="223" t="e">
        <f t="shared" si="134"/>
        <v>#DIV/0!</v>
      </c>
      <c r="BP179" s="255"/>
      <c r="BQ179" s="256"/>
      <c r="BR179" s="223" t="e">
        <f t="shared" si="135"/>
        <v>#DIV/0!</v>
      </c>
      <c r="BS179" s="255"/>
      <c r="BT179" s="255"/>
      <c r="BU179" s="223" t="e">
        <f t="shared" si="136"/>
        <v>#DIV/0!</v>
      </c>
      <c r="BV179" s="224">
        <f t="shared" si="110"/>
        <v>0</v>
      </c>
      <c r="BW179" s="224">
        <f t="shared" si="111"/>
        <v>0</v>
      </c>
      <c r="BX179" s="223" t="e">
        <f t="shared" si="112"/>
        <v>#DIV/0!</v>
      </c>
      <c r="BY179" s="223">
        <f t="shared" si="113"/>
        <v>0</v>
      </c>
      <c r="BZ179" s="223">
        <f t="shared" si="114"/>
        <v>0</v>
      </c>
      <c r="CA179" s="226"/>
      <c r="CB179" s="175"/>
      <c r="CC179" s="191">
        <v>1000</v>
      </c>
      <c r="CD179" s="192">
        <v>1000</v>
      </c>
      <c r="CE179" s="193">
        <f t="shared" si="137"/>
        <v>1</v>
      </c>
      <c r="CF179" s="191"/>
      <c r="CG179" s="192"/>
      <c r="CH179" s="193" t="e">
        <f t="shared" si="138"/>
        <v>#DIV/0!</v>
      </c>
      <c r="CI179" s="197"/>
      <c r="CJ179" s="198"/>
      <c r="CK179" s="193" t="e">
        <f t="shared" si="139"/>
        <v>#DIV/0!</v>
      </c>
      <c r="CL179" s="195">
        <f t="shared" si="140"/>
        <v>1000</v>
      </c>
      <c r="CM179" s="194">
        <f t="shared" si="141"/>
        <v>1000</v>
      </c>
      <c r="CN179" s="193">
        <f t="shared" si="142"/>
        <v>1</v>
      </c>
      <c r="CO179" s="175"/>
      <c r="CP179" s="196">
        <f t="shared" si="143"/>
        <v>1000</v>
      </c>
      <c r="CQ179" s="196">
        <f t="shared" si="144"/>
        <v>1000</v>
      </c>
      <c r="CR179" s="199">
        <f t="shared" si="145"/>
        <v>1</v>
      </c>
      <c r="CS179" s="261">
        <f t="shared" si="115"/>
        <v>0</v>
      </c>
      <c r="CT179" s="175"/>
      <c r="CU179" s="196">
        <f t="shared" si="116"/>
        <v>0</v>
      </c>
      <c r="CV179" s="259"/>
      <c r="CW179" s="199" t="e">
        <f t="shared" si="117"/>
        <v>#DIV/0!</v>
      </c>
      <c r="CX179" s="196">
        <f t="shared" si="118"/>
        <v>0</v>
      </c>
      <c r="CY179" s="259"/>
      <c r="CZ179" s="199" t="e">
        <f t="shared" si="119"/>
        <v>#DIV/0!</v>
      </c>
      <c r="DA179" s="196">
        <f t="shared" si="120"/>
        <v>0</v>
      </c>
      <c r="DB179" s="259"/>
      <c r="DC179" s="199" t="e">
        <f t="shared" si="121"/>
        <v>#DIV/0!</v>
      </c>
      <c r="DD179" s="196">
        <f t="shared" si="122"/>
        <v>0</v>
      </c>
      <c r="DE179" s="259"/>
      <c r="DF179" s="199" t="e">
        <f t="shared" si="123"/>
        <v>#DIV/0!</v>
      </c>
      <c r="DG179" s="175"/>
      <c r="DH179" s="196">
        <f t="shared" si="124"/>
        <v>1000</v>
      </c>
      <c r="DI179" s="196">
        <f t="shared" si="125"/>
        <v>1000</v>
      </c>
      <c r="DJ179" s="199">
        <f t="shared" si="126"/>
        <v>1</v>
      </c>
      <c r="DK179" s="265">
        <f t="shared" si="127"/>
        <v>0</v>
      </c>
      <c r="DL179" s="247">
        <v>175</v>
      </c>
      <c r="DM179">
        <f t="shared" si="149"/>
        <v>0</v>
      </c>
    </row>
    <row r="180" spans="1:117" x14ac:dyDescent="0.3">
      <c r="A180" s="248">
        <v>176</v>
      </c>
      <c r="B180" s="91" t="s">
        <v>270</v>
      </c>
      <c r="C180" s="91" t="s">
        <v>118</v>
      </c>
      <c r="D180" s="91" t="s">
        <v>119</v>
      </c>
      <c r="E180" s="91" t="s">
        <v>120</v>
      </c>
      <c r="F180" s="91" t="s">
        <v>350</v>
      </c>
      <c r="G180" s="87" t="s">
        <v>186</v>
      </c>
      <c r="H180" s="87" t="s">
        <v>187</v>
      </c>
      <c r="I180" s="87" t="s">
        <v>592</v>
      </c>
      <c r="J180" s="87" t="s">
        <v>592</v>
      </c>
      <c r="K180" s="85" t="s">
        <v>104</v>
      </c>
      <c r="L180" s="85" t="s">
        <v>105</v>
      </c>
      <c r="M180" s="87" t="s">
        <v>106</v>
      </c>
      <c r="N180" s="87" t="s">
        <v>126</v>
      </c>
      <c r="O180" s="87" t="s">
        <v>127</v>
      </c>
      <c r="P180" s="87" t="s">
        <v>597</v>
      </c>
      <c r="Q180" s="87" t="s">
        <v>129</v>
      </c>
      <c r="R180" s="130">
        <v>100</v>
      </c>
      <c r="S180" s="88" t="s">
        <v>111</v>
      </c>
      <c r="T180" s="81">
        <v>0</v>
      </c>
      <c r="U180" s="81">
        <v>0</v>
      </c>
      <c r="V180" s="25" t="e">
        <f t="shared" si="150"/>
        <v>#DIV/0!</v>
      </c>
      <c r="W180" s="81">
        <v>0</v>
      </c>
      <c r="X180" s="81">
        <v>0</v>
      </c>
      <c r="Y180" s="25" t="e">
        <f t="shared" si="1"/>
        <v>#DIV/0!</v>
      </c>
      <c r="Z180" s="81">
        <v>50</v>
      </c>
      <c r="AA180" s="81"/>
      <c r="AB180" s="25">
        <f t="shared" si="2"/>
        <v>0</v>
      </c>
      <c r="AC180" s="81">
        <v>50</v>
      </c>
      <c r="AD180" s="81"/>
      <c r="AE180" s="25">
        <f t="shared" si="3"/>
        <v>0</v>
      </c>
      <c r="AF180" s="137">
        <f t="shared" si="132"/>
        <v>100</v>
      </c>
      <c r="AG180" s="137">
        <f t="shared" si="133"/>
        <v>0</v>
      </c>
      <c r="AH180" s="128" t="e">
        <f t="shared" si="130"/>
        <v>#DIV/0!</v>
      </c>
      <c r="AI180" s="90">
        <v>46113</v>
      </c>
      <c r="AJ180" s="90">
        <v>46477</v>
      </c>
      <c r="AK180" s="91" t="s">
        <v>112</v>
      </c>
      <c r="AL180" s="91" t="s">
        <v>113</v>
      </c>
      <c r="AM180" s="92" t="s">
        <v>114</v>
      </c>
      <c r="AN180" s="93">
        <v>71161000</v>
      </c>
      <c r="AO180" s="93">
        <v>71161000</v>
      </c>
      <c r="AP180" s="93">
        <v>71161000</v>
      </c>
      <c r="AQ180" s="94">
        <v>0</v>
      </c>
      <c r="AR180" s="91" t="s">
        <v>159</v>
      </c>
      <c r="AS180" s="91" t="s">
        <v>112</v>
      </c>
      <c r="AT180" s="150" t="s">
        <v>131</v>
      </c>
      <c r="AU180" s="165" t="s">
        <v>2264</v>
      </c>
      <c r="AV180" s="232" t="s">
        <v>2234</v>
      </c>
      <c r="AW180" s="126" t="s">
        <v>2258</v>
      </c>
      <c r="BA180" s="255"/>
      <c r="BB180" s="256"/>
      <c r="BC180" s="223" t="e">
        <f t="shared" si="104"/>
        <v>#DIV/0!</v>
      </c>
      <c r="BD180" s="255"/>
      <c r="BE180" s="256"/>
      <c r="BF180" s="223" t="e">
        <f t="shared" si="105"/>
        <v>#DIV/0!</v>
      </c>
      <c r="BG180" s="255"/>
      <c r="BH180" s="256"/>
      <c r="BI180" s="223" t="e">
        <f t="shared" si="106"/>
        <v>#DIV/0!</v>
      </c>
      <c r="BJ180" s="224">
        <f t="shared" si="107"/>
        <v>0</v>
      </c>
      <c r="BK180" s="225">
        <f t="shared" si="108"/>
        <v>0</v>
      </c>
      <c r="BL180" s="223" t="e">
        <f t="shared" si="109"/>
        <v>#DIV/0!</v>
      </c>
      <c r="BM180" s="255"/>
      <c r="BN180" s="256"/>
      <c r="BO180" s="223" t="e">
        <f t="shared" si="134"/>
        <v>#DIV/0!</v>
      </c>
      <c r="BP180" s="255"/>
      <c r="BQ180" s="256"/>
      <c r="BR180" s="223" t="e">
        <f t="shared" si="135"/>
        <v>#DIV/0!</v>
      </c>
      <c r="BS180" s="255"/>
      <c r="BT180" s="255"/>
      <c r="BU180" s="223" t="e">
        <f t="shared" si="136"/>
        <v>#DIV/0!</v>
      </c>
      <c r="BV180" s="224">
        <f t="shared" si="110"/>
        <v>0</v>
      </c>
      <c r="BW180" s="224">
        <f t="shared" si="111"/>
        <v>0</v>
      </c>
      <c r="BX180" s="223" t="e">
        <f t="shared" si="112"/>
        <v>#DIV/0!</v>
      </c>
      <c r="BY180" s="223">
        <f t="shared" si="113"/>
        <v>0</v>
      </c>
      <c r="BZ180" s="223">
        <f t="shared" si="114"/>
        <v>0</v>
      </c>
      <c r="CA180" s="226"/>
      <c r="CB180" s="175"/>
      <c r="CC180" s="191"/>
      <c r="CD180" s="192"/>
      <c r="CE180" s="193" t="e">
        <f t="shared" si="137"/>
        <v>#DIV/0!</v>
      </c>
      <c r="CF180" s="191"/>
      <c r="CG180" s="192"/>
      <c r="CH180" s="193" t="e">
        <f t="shared" si="138"/>
        <v>#DIV/0!</v>
      </c>
      <c r="CI180" s="197"/>
      <c r="CJ180" s="198"/>
      <c r="CK180" s="193" t="e">
        <f t="shared" si="139"/>
        <v>#DIV/0!</v>
      </c>
      <c r="CL180" s="195">
        <f t="shared" si="140"/>
        <v>0</v>
      </c>
      <c r="CM180" s="194">
        <f t="shared" si="141"/>
        <v>0</v>
      </c>
      <c r="CN180" s="193" t="e">
        <f t="shared" si="142"/>
        <v>#DIV/0!</v>
      </c>
      <c r="CO180" s="175"/>
      <c r="CP180" s="196">
        <f t="shared" si="143"/>
        <v>0</v>
      </c>
      <c r="CQ180" s="196">
        <f t="shared" si="144"/>
        <v>0</v>
      </c>
      <c r="CR180" s="199" t="e">
        <f t="shared" si="145"/>
        <v>#DIV/0!</v>
      </c>
      <c r="CS180" s="261">
        <f t="shared" si="115"/>
        <v>100</v>
      </c>
      <c r="CT180" s="175"/>
      <c r="CU180" s="196">
        <f t="shared" si="116"/>
        <v>30</v>
      </c>
      <c r="CV180" s="259"/>
      <c r="CW180" s="199">
        <f t="shared" si="117"/>
        <v>0</v>
      </c>
      <c r="CX180" s="196">
        <f t="shared" si="118"/>
        <v>30</v>
      </c>
      <c r="CY180" s="259"/>
      <c r="CZ180" s="199">
        <f t="shared" si="119"/>
        <v>0</v>
      </c>
      <c r="DA180" s="196">
        <f t="shared" si="120"/>
        <v>30</v>
      </c>
      <c r="DB180" s="259"/>
      <c r="DC180" s="199">
        <f t="shared" si="121"/>
        <v>0</v>
      </c>
      <c r="DD180" s="196">
        <f t="shared" si="122"/>
        <v>10</v>
      </c>
      <c r="DE180" s="259"/>
      <c r="DF180" s="199">
        <f t="shared" si="123"/>
        <v>0</v>
      </c>
      <c r="DG180" s="175"/>
      <c r="DH180" s="196">
        <f t="shared" si="124"/>
        <v>100</v>
      </c>
      <c r="DI180" s="196">
        <f t="shared" si="125"/>
        <v>0</v>
      </c>
      <c r="DJ180" s="199">
        <f t="shared" si="126"/>
        <v>0</v>
      </c>
      <c r="DK180" s="265">
        <f t="shared" si="127"/>
        <v>100</v>
      </c>
      <c r="DL180" s="247">
        <v>176</v>
      </c>
      <c r="DM180">
        <f t="shared" si="149"/>
        <v>0</v>
      </c>
    </row>
    <row r="181" spans="1:117" x14ac:dyDescent="0.3">
      <c r="A181" s="249">
        <v>177</v>
      </c>
      <c r="B181" s="91" t="s">
        <v>270</v>
      </c>
      <c r="C181" s="91" t="s">
        <v>118</v>
      </c>
      <c r="D181" s="91" t="s">
        <v>119</v>
      </c>
      <c r="E181" s="91" t="s">
        <v>120</v>
      </c>
      <c r="F181" s="91" t="s">
        <v>598</v>
      </c>
      <c r="G181" s="87" t="s">
        <v>599</v>
      </c>
      <c r="H181" s="87" t="s">
        <v>187</v>
      </c>
      <c r="I181" s="87" t="s">
        <v>103</v>
      </c>
      <c r="J181" s="87" t="s">
        <v>103</v>
      </c>
      <c r="K181" s="85" t="s">
        <v>183</v>
      </c>
      <c r="L181" s="85" t="s">
        <v>424</v>
      </c>
      <c r="M181" s="87" t="s">
        <v>106</v>
      </c>
      <c r="N181" s="87" t="s">
        <v>600</v>
      </c>
      <c r="O181" s="87" t="s">
        <v>127</v>
      </c>
      <c r="P181" s="87" t="s">
        <v>601</v>
      </c>
      <c r="Q181" s="87" t="s">
        <v>129</v>
      </c>
      <c r="R181" s="130">
        <v>22</v>
      </c>
      <c r="S181" s="88" t="s">
        <v>111</v>
      </c>
      <c r="T181" s="81">
        <v>4</v>
      </c>
      <c r="U181" s="81">
        <v>4</v>
      </c>
      <c r="V181" s="25">
        <f t="shared" si="150"/>
        <v>100</v>
      </c>
      <c r="W181" s="81">
        <v>6</v>
      </c>
      <c r="X181" s="81">
        <v>6</v>
      </c>
      <c r="Y181" s="25">
        <f t="shared" si="1"/>
        <v>100</v>
      </c>
      <c r="Z181" s="81">
        <v>6</v>
      </c>
      <c r="AA181" s="81"/>
      <c r="AB181" s="25">
        <f t="shared" si="2"/>
        <v>0</v>
      </c>
      <c r="AC181" s="81">
        <v>6</v>
      </c>
      <c r="AD181" s="81"/>
      <c r="AE181" s="25">
        <f t="shared" si="3"/>
        <v>0</v>
      </c>
      <c r="AF181" s="137">
        <f t="shared" si="132"/>
        <v>22</v>
      </c>
      <c r="AG181" s="137">
        <f t="shared" si="133"/>
        <v>10</v>
      </c>
      <c r="AH181" s="128">
        <f t="shared" si="130"/>
        <v>100</v>
      </c>
      <c r="AI181" s="90">
        <v>46113</v>
      </c>
      <c r="AJ181" s="90">
        <v>46477</v>
      </c>
      <c r="AK181" s="91" t="s">
        <v>112</v>
      </c>
      <c r="AL181" s="91" t="s">
        <v>113</v>
      </c>
      <c r="AM181" s="92" t="s">
        <v>114</v>
      </c>
      <c r="AN181" s="93">
        <v>65000000</v>
      </c>
      <c r="AO181" s="93">
        <v>65000000</v>
      </c>
      <c r="AP181" s="93">
        <v>65000000</v>
      </c>
      <c r="AQ181" s="94">
        <f>AO181</f>
        <v>65000000</v>
      </c>
      <c r="AR181" s="91" t="s">
        <v>159</v>
      </c>
      <c r="AS181" s="91" t="s">
        <v>112</v>
      </c>
      <c r="AT181" s="150" t="s">
        <v>602</v>
      </c>
      <c r="AU181" s="165" t="s">
        <v>2264</v>
      </c>
      <c r="AV181" s="232" t="s">
        <v>2234</v>
      </c>
      <c r="AW181" s="126" t="s">
        <v>2267</v>
      </c>
      <c r="BA181" s="255">
        <v>1</v>
      </c>
      <c r="BB181" s="256">
        <v>1</v>
      </c>
      <c r="BC181" s="223">
        <f t="shared" si="104"/>
        <v>1</v>
      </c>
      <c r="BD181" s="255">
        <v>1</v>
      </c>
      <c r="BE181" s="256">
        <v>1</v>
      </c>
      <c r="BF181" s="223">
        <f t="shared" si="105"/>
        <v>1</v>
      </c>
      <c r="BG181" s="255">
        <v>2</v>
      </c>
      <c r="BH181" s="256">
        <v>2</v>
      </c>
      <c r="BI181" s="223">
        <f t="shared" si="106"/>
        <v>1</v>
      </c>
      <c r="BJ181" s="224">
        <f t="shared" si="107"/>
        <v>4</v>
      </c>
      <c r="BK181" s="225">
        <f t="shared" si="108"/>
        <v>4</v>
      </c>
      <c r="BL181" s="223">
        <f t="shared" si="109"/>
        <v>1</v>
      </c>
      <c r="BM181" s="255">
        <v>2</v>
      </c>
      <c r="BN181" s="256">
        <v>2</v>
      </c>
      <c r="BO181" s="223">
        <f t="shared" si="134"/>
        <v>1</v>
      </c>
      <c r="BP181" s="255">
        <v>2</v>
      </c>
      <c r="BQ181" s="256">
        <v>2</v>
      </c>
      <c r="BR181" s="223">
        <f t="shared" si="135"/>
        <v>1</v>
      </c>
      <c r="BS181" s="255">
        <v>2</v>
      </c>
      <c r="BT181" s="255">
        <v>2</v>
      </c>
      <c r="BU181" s="223">
        <f t="shared" si="136"/>
        <v>1</v>
      </c>
      <c r="BV181" s="224">
        <f t="shared" si="110"/>
        <v>6</v>
      </c>
      <c r="BW181" s="224">
        <f t="shared" si="111"/>
        <v>6</v>
      </c>
      <c r="BX181" s="223">
        <f t="shared" si="112"/>
        <v>1</v>
      </c>
      <c r="BY181" s="223">
        <f t="shared" si="113"/>
        <v>0.45454545454545453</v>
      </c>
      <c r="BZ181" s="223">
        <f t="shared" si="114"/>
        <v>-0.45454545454545453</v>
      </c>
      <c r="CA181" s="226"/>
      <c r="CB181" s="175"/>
      <c r="CC181" s="191">
        <v>2</v>
      </c>
      <c r="CD181" s="192"/>
      <c r="CE181" s="193">
        <f t="shared" si="137"/>
        <v>0</v>
      </c>
      <c r="CF181" s="191">
        <v>2</v>
      </c>
      <c r="CG181" s="192"/>
      <c r="CH181" s="193">
        <f t="shared" si="138"/>
        <v>0</v>
      </c>
      <c r="CI181" s="197"/>
      <c r="CJ181" s="198"/>
      <c r="CK181" s="193" t="e">
        <f t="shared" si="139"/>
        <v>#DIV/0!</v>
      </c>
      <c r="CL181" s="195">
        <f t="shared" si="140"/>
        <v>4</v>
      </c>
      <c r="CM181" s="194">
        <f t="shared" si="141"/>
        <v>0</v>
      </c>
      <c r="CN181" s="193">
        <f t="shared" si="142"/>
        <v>0</v>
      </c>
      <c r="CO181" s="175"/>
      <c r="CP181" s="196">
        <f t="shared" si="143"/>
        <v>14</v>
      </c>
      <c r="CQ181" s="196">
        <f t="shared" si="144"/>
        <v>10</v>
      </c>
      <c r="CR181" s="199">
        <f t="shared" si="145"/>
        <v>0.7142857142857143</v>
      </c>
      <c r="CS181" s="261">
        <f t="shared" si="115"/>
        <v>12</v>
      </c>
      <c r="CT181" s="175"/>
      <c r="CU181" s="196">
        <f t="shared" si="116"/>
        <v>3.5999999999999996</v>
      </c>
      <c r="CV181" s="259"/>
      <c r="CW181" s="199">
        <f t="shared" si="117"/>
        <v>0</v>
      </c>
      <c r="CX181" s="196">
        <f t="shared" si="118"/>
        <v>3.5999999999999996</v>
      </c>
      <c r="CY181" s="259"/>
      <c r="CZ181" s="199">
        <f t="shared" si="119"/>
        <v>0</v>
      </c>
      <c r="DA181" s="196">
        <f t="shared" si="120"/>
        <v>3.5999999999999996</v>
      </c>
      <c r="DB181" s="259"/>
      <c r="DC181" s="199">
        <f t="shared" si="121"/>
        <v>0</v>
      </c>
      <c r="DD181" s="196">
        <f t="shared" si="122"/>
        <v>1.2000000000000002</v>
      </c>
      <c r="DE181" s="259"/>
      <c r="DF181" s="199">
        <f t="shared" si="123"/>
        <v>0</v>
      </c>
      <c r="DG181" s="175"/>
      <c r="DH181" s="196">
        <f t="shared" si="124"/>
        <v>22</v>
      </c>
      <c r="DI181" s="196">
        <f t="shared" si="125"/>
        <v>10</v>
      </c>
      <c r="DJ181" s="199">
        <f t="shared" si="126"/>
        <v>0.45454545454545453</v>
      </c>
      <c r="DK181" s="265">
        <f t="shared" si="127"/>
        <v>12</v>
      </c>
      <c r="DL181" s="247">
        <v>177</v>
      </c>
      <c r="DM181">
        <f t="shared" si="149"/>
        <v>0</v>
      </c>
    </row>
    <row r="182" spans="1:117" x14ac:dyDescent="0.3">
      <c r="A182" s="249">
        <v>178</v>
      </c>
      <c r="B182" s="91" t="s">
        <v>270</v>
      </c>
      <c r="C182" s="91" t="s">
        <v>118</v>
      </c>
      <c r="D182" s="91" t="s">
        <v>119</v>
      </c>
      <c r="E182" s="91" t="s">
        <v>120</v>
      </c>
      <c r="F182" s="91" t="s">
        <v>598</v>
      </c>
      <c r="G182" s="87" t="s">
        <v>186</v>
      </c>
      <c r="H182" s="101" t="s">
        <v>187</v>
      </c>
      <c r="I182" s="87" t="s">
        <v>103</v>
      </c>
      <c r="J182" s="87" t="s">
        <v>103</v>
      </c>
      <c r="K182" s="85" t="s">
        <v>183</v>
      </c>
      <c r="L182" s="85" t="s">
        <v>424</v>
      </c>
      <c r="M182" s="87" t="s">
        <v>106</v>
      </c>
      <c r="N182" s="87" t="s">
        <v>600</v>
      </c>
      <c r="O182" s="87" t="s">
        <v>127</v>
      </c>
      <c r="P182" s="87" t="s">
        <v>603</v>
      </c>
      <c r="Q182" s="87" t="s">
        <v>129</v>
      </c>
      <c r="R182" s="130">
        <v>5</v>
      </c>
      <c r="S182" s="88" t="s">
        <v>111</v>
      </c>
      <c r="T182" s="81">
        <v>0</v>
      </c>
      <c r="U182" s="81">
        <v>0</v>
      </c>
      <c r="V182" s="25" t="e">
        <f t="shared" si="150"/>
        <v>#DIV/0!</v>
      </c>
      <c r="W182" s="81">
        <v>1</v>
      </c>
      <c r="X182" s="81">
        <v>4</v>
      </c>
      <c r="Y182" s="25">
        <f t="shared" si="1"/>
        <v>400</v>
      </c>
      <c r="Z182" s="81">
        <v>4</v>
      </c>
      <c r="AA182" s="81"/>
      <c r="AB182" s="25">
        <f t="shared" si="2"/>
        <v>0</v>
      </c>
      <c r="AC182" s="81">
        <v>0</v>
      </c>
      <c r="AD182" s="81"/>
      <c r="AE182" s="25" t="e">
        <f t="shared" si="3"/>
        <v>#DIV/0!</v>
      </c>
      <c r="AF182" s="137">
        <f t="shared" si="132"/>
        <v>5</v>
      </c>
      <c r="AG182" s="137">
        <f t="shared" si="133"/>
        <v>4</v>
      </c>
      <c r="AH182" s="128">
        <f t="shared" si="130"/>
        <v>400</v>
      </c>
      <c r="AI182" s="90">
        <v>46113</v>
      </c>
      <c r="AJ182" s="90">
        <v>46477</v>
      </c>
      <c r="AK182" s="91" t="s">
        <v>112</v>
      </c>
      <c r="AL182" s="91" t="s">
        <v>604</v>
      </c>
      <c r="AM182" s="92" t="s">
        <v>605</v>
      </c>
      <c r="AN182" s="93">
        <v>218000000</v>
      </c>
      <c r="AO182" s="93">
        <v>218000000</v>
      </c>
      <c r="AP182" s="93">
        <v>218000000</v>
      </c>
      <c r="AQ182" s="94">
        <v>0</v>
      </c>
      <c r="AR182" s="91" t="s">
        <v>159</v>
      </c>
      <c r="AS182" s="91" t="s">
        <v>112</v>
      </c>
      <c r="AT182" s="150" t="s">
        <v>602</v>
      </c>
      <c r="AU182" s="165" t="s">
        <v>2264</v>
      </c>
      <c r="AV182" s="232" t="s">
        <v>2234</v>
      </c>
      <c r="AW182" s="126" t="s">
        <v>2267</v>
      </c>
      <c r="BA182" s="255">
        <v>0</v>
      </c>
      <c r="BB182" s="256">
        <v>0</v>
      </c>
      <c r="BC182" s="223" t="e">
        <f t="shared" si="104"/>
        <v>#DIV/0!</v>
      </c>
      <c r="BD182" s="255">
        <v>0</v>
      </c>
      <c r="BE182" s="256">
        <v>0</v>
      </c>
      <c r="BF182" s="223" t="e">
        <f t="shared" si="105"/>
        <v>#DIV/0!</v>
      </c>
      <c r="BG182" s="255">
        <v>0</v>
      </c>
      <c r="BH182" s="256">
        <v>0</v>
      </c>
      <c r="BI182" s="223" t="e">
        <f t="shared" si="106"/>
        <v>#DIV/0!</v>
      </c>
      <c r="BJ182" s="224">
        <f t="shared" si="107"/>
        <v>0</v>
      </c>
      <c r="BK182" s="225">
        <f t="shared" si="108"/>
        <v>0</v>
      </c>
      <c r="BL182" s="223" t="e">
        <f t="shared" si="109"/>
        <v>#DIV/0!</v>
      </c>
      <c r="BM182" s="255">
        <v>0</v>
      </c>
      <c r="BN182" s="256">
        <v>0</v>
      </c>
      <c r="BO182" s="223" t="e">
        <f t="shared" si="134"/>
        <v>#DIV/0!</v>
      </c>
      <c r="BP182" s="255">
        <v>1</v>
      </c>
      <c r="BQ182" s="256">
        <v>4</v>
      </c>
      <c r="BR182" s="223">
        <f t="shared" si="135"/>
        <v>4</v>
      </c>
      <c r="BS182" s="255">
        <v>0</v>
      </c>
      <c r="BT182" s="255">
        <v>0</v>
      </c>
      <c r="BU182" s="223" t="e">
        <f t="shared" si="136"/>
        <v>#DIV/0!</v>
      </c>
      <c r="BV182" s="224">
        <f t="shared" si="110"/>
        <v>1</v>
      </c>
      <c r="BW182" s="224">
        <f t="shared" si="111"/>
        <v>4</v>
      </c>
      <c r="BX182" s="223">
        <f t="shared" si="112"/>
        <v>4</v>
      </c>
      <c r="BY182" s="223">
        <f t="shared" si="113"/>
        <v>0.8</v>
      </c>
      <c r="BZ182" s="223">
        <f t="shared" si="114"/>
        <v>-0.8</v>
      </c>
      <c r="CA182" s="226"/>
      <c r="CB182" s="175"/>
      <c r="CC182" s="191">
        <v>1</v>
      </c>
      <c r="CD182" s="192"/>
      <c r="CE182" s="193">
        <f t="shared" si="137"/>
        <v>0</v>
      </c>
      <c r="CF182" s="191">
        <v>1</v>
      </c>
      <c r="CG182" s="192"/>
      <c r="CH182" s="193">
        <f t="shared" si="138"/>
        <v>0</v>
      </c>
      <c r="CI182" s="197"/>
      <c r="CJ182" s="198"/>
      <c r="CK182" s="193" t="e">
        <f t="shared" si="139"/>
        <v>#DIV/0!</v>
      </c>
      <c r="CL182" s="195">
        <f t="shared" si="140"/>
        <v>2</v>
      </c>
      <c r="CM182" s="194">
        <f t="shared" si="141"/>
        <v>0</v>
      </c>
      <c r="CN182" s="193">
        <f t="shared" si="142"/>
        <v>0</v>
      </c>
      <c r="CO182" s="175"/>
      <c r="CP182" s="196">
        <f t="shared" si="143"/>
        <v>3</v>
      </c>
      <c r="CQ182" s="196">
        <f t="shared" si="144"/>
        <v>4</v>
      </c>
      <c r="CR182" s="199">
        <f t="shared" si="145"/>
        <v>1.3333333333333333</v>
      </c>
      <c r="CS182" s="261">
        <f t="shared" si="115"/>
        <v>1</v>
      </c>
      <c r="CT182" s="175"/>
      <c r="CU182" s="196">
        <f t="shared" si="116"/>
        <v>0.3</v>
      </c>
      <c r="CV182" s="259"/>
      <c r="CW182" s="199">
        <f t="shared" si="117"/>
        <v>0</v>
      </c>
      <c r="CX182" s="196">
        <f t="shared" si="118"/>
        <v>0.3</v>
      </c>
      <c r="CY182" s="259"/>
      <c r="CZ182" s="199">
        <f t="shared" si="119"/>
        <v>0</v>
      </c>
      <c r="DA182" s="196">
        <f t="shared" si="120"/>
        <v>0.3</v>
      </c>
      <c r="DB182" s="259"/>
      <c r="DC182" s="199">
        <f t="shared" si="121"/>
        <v>0</v>
      </c>
      <c r="DD182" s="196">
        <f t="shared" si="122"/>
        <v>0.1</v>
      </c>
      <c r="DE182" s="259"/>
      <c r="DF182" s="199">
        <f t="shared" si="123"/>
        <v>0</v>
      </c>
      <c r="DG182" s="175"/>
      <c r="DH182" s="196">
        <f t="shared" si="124"/>
        <v>5</v>
      </c>
      <c r="DI182" s="196">
        <f t="shared" si="125"/>
        <v>4</v>
      </c>
      <c r="DJ182" s="199">
        <f t="shared" si="126"/>
        <v>0.8</v>
      </c>
      <c r="DK182" s="265">
        <f t="shared" si="127"/>
        <v>1</v>
      </c>
      <c r="DL182" s="247">
        <v>178</v>
      </c>
      <c r="DM182">
        <f t="shared" si="149"/>
        <v>0</v>
      </c>
    </row>
    <row r="183" spans="1:117" x14ac:dyDescent="0.3">
      <c r="A183" s="249">
        <v>179</v>
      </c>
      <c r="B183" s="91" t="s">
        <v>270</v>
      </c>
      <c r="C183" s="91" t="s">
        <v>118</v>
      </c>
      <c r="D183" s="91" t="s">
        <v>119</v>
      </c>
      <c r="E183" s="91" t="s">
        <v>120</v>
      </c>
      <c r="F183" s="91" t="s">
        <v>240</v>
      </c>
      <c r="G183" s="87" t="s">
        <v>186</v>
      </c>
      <c r="H183" s="87" t="s">
        <v>187</v>
      </c>
      <c r="I183" s="87" t="s">
        <v>103</v>
      </c>
      <c r="J183" s="87" t="s">
        <v>103</v>
      </c>
      <c r="K183" s="85" t="s">
        <v>183</v>
      </c>
      <c r="L183" s="85" t="s">
        <v>424</v>
      </c>
      <c r="M183" s="87" t="s">
        <v>106</v>
      </c>
      <c r="N183" s="87" t="s">
        <v>600</v>
      </c>
      <c r="O183" s="87" t="s">
        <v>127</v>
      </c>
      <c r="P183" s="87" t="s">
        <v>606</v>
      </c>
      <c r="Q183" s="87" t="s">
        <v>129</v>
      </c>
      <c r="R183" s="130">
        <v>1</v>
      </c>
      <c r="S183" s="88" t="s">
        <v>607</v>
      </c>
      <c r="T183" s="81">
        <v>0</v>
      </c>
      <c r="U183" s="81">
        <v>0</v>
      </c>
      <c r="V183" s="25" t="e">
        <f t="shared" si="150"/>
        <v>#DIV/0!</v>
      </c>
      <c r="W183" s="81">
        <v>0</v>
      </c>
      <c r="X183" s="81">
        <v>0</v>
      </c>
      <c r="Y183" s="25" t="e">
        <f t="shared" si="1"/>
        <v>#DIV/0!</v>
      </c>
      <c r="Z183" s="81">
        <v>1</v>
      </c>
      <c r="AA183" s="81"/>
      <c r="AB183" s="25">
        <f t="shared" si="2"/>
        <v>0</v>
      </c>
      <c r="AC183" s="81">
        <v>0</v>
      </c>
      <c r="AD183" s="81"/>
      <c r="AE183" s="25" t="e">
        <f t="shared" si="3"/>
        <v>#DIV/0!</v>
      </c>
      <c r="AF183" s="137">
        <f t="shared" si="132"/>
        <v>1</v>
      </c>
      <c r="AG183" s="137">
        <f t="shared" si="133"/>
        <v>0</v>
      </c>
      <c r="AH183" s="128" t="e">
        <f t="shared" si="130"/>
        <v>#DIV/0!</v>
      </c>
      <c r="AI183" s="90">
        <v>46113</v>
      </c>
      <c r="AJ183" s="90">
        <v>46477</v>
      </c>
      <c r="AK183" s="91" t="s">
        <v>112</v>
      </c>
      <c r="AL183" s="91" t="s">
        <v>604</v>
      </c>
      <c r="AM183" s="92" t="s">
        <v>605</v>
      </c>
      <c r="AN183" s="93">
        <v>190000000</v>
      </c>
      <c r="AO183" s="93">
        <v>190000000</v>
      </c>
      <c r="AP183" s="93">
        <v>190000000</v>
      </c>
      <c r="AQ183" s="94">
        <v>0</v>
      </c>
      <c r="AR183" s="91" t="s">
        <v>159</v>
      </c>
      <c r="AS183" s="91" t="s">
        <v>112</v>
      </c>
      <c r="AT183" s="150" t="s">
        <v>602</v>
      </c>
      <c r="AU183" s="165" t="s">
        <v>2264</v>
      </c>
      <c r="AV183" s="232" t="s">
        <v>2234</v>
      </c>
      <c r="AW183" s="126" t="s">
        <v>2267</v>
      </c>
      <c r="BA183" s="255">
        <v>0</v>
      </c>
      <c r="BB183" s="256">
        <v>0</v>
      </c>
      <c r="BC183" s="223" t="e">
        <f t="shared" si="104"/>
        <v>#DIV/0!</v>
      </c>
      <c r="BD183" s="255">
        <v>0</v>
      </c>
      <c r="BE183" s="256">
        <v>0</v>
      </c>
      <c r="BF183" s="223" t="e">
        <f t="shared" si="105"/>
        <v>#DIV/0!</v>
      </c>
      <c r="BG183" s="255">
        <v>0</v>
      </c>
      <c r="BH183" s="256">
        <v>0</v>
      </c>
      <c r="BI183" s="223" t="e">
        <f t="shared" si="106"/>
        <v>#DIV/0!</v>
      </c>
      <c r="BJ183" s="224">
        <f t="shared" si="107"/>
        <v>0</v>
      </c>
      <c r="BK183" s="225">
        <f t="shared" si="108"/>
        <v>0</v>
      </c>
      <c r="BL183" s="223" t="e">
        <f t="shared" si="109"/>
        <v>#DIV/0!</v>
      </c>
      <c r="BM183" s="255">
        <v>0</v>
      </c>
      <c r="BN183" s="256">
        <v>0</v>
      </c>
      <c r="BO183" s="223" t="e">
        <f t="shared" si="134"/>
        <v>#DIV/0!</v>
      </c>
      <c r="BP183" s="255">
        <v>0</v>
      </c>
      <c r="BQ183" s="256">
        <v>0</v>
      </c>
      <c r="BR183" s="223" t="e">
        <f t="shared" si="135"/>
        <v>#DIV/0!</v>
      </c>
      <c r="BS183" s="255">
        <v>0</v>
      </c>
      <c r="BT183" s="255">
        <v>0</v>
      </c>
      <c r="BU183" s="223" t="e">
        <f t="shared" si="136"/>
        <v>#DIV/0!</v>
      </c>
      <c r="BV183" s="224">
        <f t="shared" si="110"/>
        <v>0</v>
      </c>
      <c r="BW183" s="224">
        <f t="shared" si="111"/>
        <v>0</v>
      </c>
      <c r="BX183" s="223" t="e">
        <f t="shared" si="112"/>
        <v>#DIV/0!</v>
      </c>
      <c r="BY183" s="223">
        <f t="shared" si="113"/>
        <v>0</v>
      </c>
      <c r="BZ183" s="223">
        <f t="shared" si="114"/>
        <v>0</v>
      </c>
      <c r="CA183" s="226"/>
      <c r="CB183" s="175"/>
      <c r="CC183" s="191">
        <v>1</v>
      </c>
      <c r="CD183" s="192">
        <v>0.33</v>
      </c>
      <c r="CE183" s="193">
        <f t="shared" si="137"/>
        <v>0.33</v>
      </c>
      <c r="CF183" s="191">
        <v>0</v>
      </c>
      <c r="CG183" s="192">
        <v>0.33</v>
      </c>
      <c r="CH183" s="193" t="e">
        <f t="shared" si="138"/>
        <v>#DIV/0!</v>
      </c>
      <c r="CI183" s="197"/>
      <c r="CJ183" s="198"/>
      <c r="CK183" s="193" t="e">
        <f t="shared" si="139"/>
        <v>#DIV/0!</v>
      </c>
      <c r="CL183" s="195">
        <f t="shared" si="140"/>
        <v>1</v>
      </c>
      <c r="CM183" s="194">
        <f t="shared" si="141"/>
        <v>0.66</v>
      </c>
      <c r="CN183" s="193">
        <f t="shared" si="142"/>
        <v>0.66</v>
      </c>
      <c r="CO183" s="175"/>
      <c r="CP183" s="196">
        <f t="shared" si="143"/>
        <v>1</v>
      </c>
      <c r="CQ183" s="196">
        <f t="shared" si="144"/>
        <v>0.66</v>
      </c>
      <c r="CR183" s="199">
        <f t="shared" si="145"/>
        <v>0.66</v>
      </c>
      <c r="CS183" s="261">
        <f t="shared" si="115"/>
        <v>0.33999999999999997</v>
      </c>
      <c r="CT183" s="175"/>
      <c r="CU183" s="196">
        <f t="shared" si="116"/>
        <v>0.10199999999999999</v>
      </c>
      <c r="CV183" s="259"/>
      <c r="CW183" s="199">
        <f t="shared" si="117"/>
        <v>0</v>
      </c>
      <c r="CX183" s="196">
        <f t="shared" si="118"/>
        <v>0.10199999999999999</v>
      </c>
      <c r="CY183" s="259"/>
      <c r="CZ183" s="199">
        <f t="shared" si="119"/>
        <v>0</v>
      </c>
      <c r="DA183" s="196">
        <f t="shared" si="120"/>
        <v>0.10199999999999999</v>
      </c>
      <c r="DB183" s="259"/>
      <c r="DC183" s="199">
        <f t="shared" si="121"/>
        <v>0</v>
      </c>
      <c r="DD183" s="196">
        <f t="shared" si="122"/>
        <v>3.3999999999999996E-2</v>
      </c>
      <c r="DE183" s="259"/>
      <c r="DF183" s="199">
        <f t="shared" si="123"/>
        <v>0</v>
      </c>
      <c r="DG183" s="175"/>
      <c r="DH183" s="196">
        <f t="shared" si="124"/>
        <v>1</v>
      </c>
      <c r="DI183" s="196">
        <f t="shared" si="125"/>
        <v>0.66</v>
      </c>
      <c r="DJ183" s="199">
        <f t="shared" si="126"/>
        <v>0.66</v>
      </c>
      <c r="DK183" s="265">
        <f t="shared" si="127"/>
        <v>0.33999999999999997</v>
      </c>
      <c r="DL183" s="247">
        <v>179</v>
      </c>
      <c r="DM183">
        <f t="shared" si="149"/>
        <v>0</v>
      </c>
    </row>
    <row r="184" spans="1:117" x14ac:dyDescent="0.3">
      <c r="A184" s="249">
        <v>180</v>
      </c>
      <c r="B184" s="91" t="s">
        <v>270</v>
      </c>
      <c r="C184" s="91" t="s">
        <v>118</v>
      </c>
      <c r="D184" s="91" t="s">
        <v>119</v>
      </c>
      <c r="E184" s="91" t="s">
        <v>120</v>
      </c>
      <c r="F184" s="91" t="s">
        <v>598</v>
      </c>
      <c r="G184" s="87" t="s">
        <v>186</v>
      </c>
      <c r="H184" s="87" t="s">
        <v>187</v>
      </c>
      <c r="I184" s="87" t="s">
        <v>103</v>
      </c>
      <c r="J184" s="87" t="s">
        <v>103</v>
      </c>
      <c r="K184" s="85" t="s">
        <v>183</v>
      </c>
      <c r="L184" s="85" t="s">
        <v>424</v>
      </c>
      <c r="M184" s="87" t="s">
        <v>106</v>
      </c>
      <c r="N184" s="87" t="s">
        <v>600</v>
      </c>
      <c r="O184" s="87" t="s">
        <v>127</v>
      </c>
      <c r="P184" s="87" t="s">
        <v>608</v>
      </c>
      <c r="Q184" s="87" t="s">
        <v>129</v>
      </c>
      <c r="R184" s="130">
        <v>100</v>
      </c>
      <c r="S184" s="88" t="s">
        <v>158</v>
      </c>
      <c r="T184" s="81">
        <v>10</v>
      </c>
      <c r="U184" s="81">
        <v>92</v>
      </c>
      <c r="V184" s="25">
        <f t="shared" si="150"/>
        <v>919.99999999999989</v>
      </c>
      <c r="W184" s="81">
        <v>30</v>
      </c>
      <c r="X184" s="81">
        <v>84</v>
      </c>
      <c r="Y184" s="25">
        <f t="shared" si="1"/>
        <v>280</v>
      </c>
      <c r="Z184" s="81">
        <v>30</v>
      </c>
      <c r="AA184" s="81"/>
      <c r="AB184" s="25">
        <f t="shared" si="2"/>
        <v>0</v>
      </c>
      <c r="AC184" s="81">
        <v>30</v>
      </c>
      <c r="AD184" s="81"/>
      <c r="AE184" s="25">
        <f t="shared" si="3"/>
        <v>0</v>
      </c>
      <c r="AF184" s="137">
        <f t="shared" si="132"/>
        <v>100</v>
      </c>
      <c r="AG184" s="137">
        <f t="shared" si="133"/>
        <v>176</v>
      </c>
      <c r="AH184" s="128">
        <f t="shared" si="130"/>
        <v>440.00000000000006</v>
      </c>
      <c r="AI184" s="90">
        <v>46113</v>
      </c>
      <c r="AJ184" s="90">
        <v>46477</v>
      </c>
      <c r="AK184" s="91" t="s">
        <v>112</v>
      </c>
      <c r="AL184" s="91" t="s">
        <v>604</v>
      </c>
      <c r="AM184" s="92" t="s">
        <v>605</v>
      </c>
      <c r="AN184" s="93"/>
      <c r="AO184" s="93"/>
      <c r="AP184" s="93"/>
      <c r="AQ184" s="94">
        <v>0</v>
      </c>
      <c r="AR184" s="91" t="s">
        <v>159</v>
      </c>
      <c r="AS184" s="91" t="s">
        <v>112</v>
      </c>
      <c r="AT184" s="150" t="s">
        <v>602</v>
      </c>
      <c r="AU184" s="165" t="s">
        <v>2264</v>
      </c>
      <c r="AV184" s="232" t="s">
        <v>2234</v>
      </c>
      <c r="AW184" s="126" t="s">
        <v>2267</v>
      </c>
      <c r="BA184" s="255">
        <v>2</v>
      </c>
      <c r="BB184" s="256">
        <v>1</v>
      </c>
      <c r="BC184" s="223">
        <f t="shared" si="104"/>
        <v>0.5</v>
      </c>
      <c r="BD184" s="255">
        <v>3</v>
      </c>
      <c r="BE184" s="256">
        <v>30</v>
      </c>
      <c r="BF184" s="223">
        <f t="shared" si="105"/>
        <v>10</v>
      </c>
      <c r="BG184" s="255">
        <v>5</v>
      </c>
      <c r="BH184" s="256">
        <v>34</v>
      </c>
      <c r="BI184" s="223">
        <f t="shared" si="106"/>
        <v>6.8</v>
      </c>
      <c r="BJ184" s="224">
        <f t="shared" si="107"/>
        <v>10</v>
      </c>
      <c r="BK184" s="225">
        <f t="shared" si="108"/>
        <v>65</v>
      </c>
      <c r="BL184" s="223">
        <f t="shared" si="109"/>
        <v>6.5</v>
      </c>
      <c r="BM184" s="255">
        <v>10</v>
      </c>
      <c r="BN184" s="256">
        <v>37</v>
      </c>
      <c r="BO184" s="223">
        <f t="shared" si="134"/>
        <v>3.7</v>
      </c>
      <c r="BP184" s="255">
        <v>10</v>
      </c>
      <c r="BQ184" s="256">
        <v>22</v>
      </c>
      <c r="BR184" s="223">
        <f t="shared" si="135"/>
        <v>2.2000000000000002</v>
      </c>
      <c r="BS184" s="255">
        <v>10</v>
      </c>
      <c r="BT184" s="255">
        <v>25</v>
      </c>
      <c r="BU184" s="223">
        <f t="shared" si="136"/>
        <v>2.5</v>
      </c>
      <c r="BV184" s="224">
        <f t="shared" si="110"/>
        <v>30</v>
      </c>
      <c r="BW184" s="224">
        <f t="shared" si="111"/>
        <v>84</v>
      </c>
      <c r="BX184" s="223">
        <f t="shared" si="112"/>
        <v>2.8</v>
      </c>
      <c r="BY184" s="223">
        <f t="shared" si="113"/>
        <v>1.49</v>
      </c>
      <c r="BZ184" s="223">
        <f t="shared" si="114"/>
        <v>-1.49</v>
      </c>
      <c r="CA184" s="226"/>
      <c r="CB184" s="175"/>
      <c r="CC184" s="191">
        <v>10</v>
      </c>
      <c r="CD184" s="192"/>
      <c r="CE184" s="193">
        <f t="shared" si="137"/>
        <v>0</v>
      </c>
      <c r="CF184" s="191">
        <v>10</v>
      </c>
      <c r="CG184" s="192"/>
      <c r="CH184" s="193">
        <f t="shared" si="138"/>
        <v>0</v>
      </c>
      <c r="CI184" s="197"/>
      <c r="CJ184" s="198"/>
      <c r="CK184" s="193" t="e">
        <f t="shared" si="139"/>
        <v>#DIV/0!</v>
      </c>
      <c r="CL184" s="195">
        <f t="shared" si="140"/>
        <v>20</v>
      </c>
      <c r="CM184" s="194">
        <f t="shared" si="141"/>
        <v>0</v>
      </c>
      <c r="CN184" s="193">
        <f t="shared" si="142"/>
        <v>0</v>
      </c>
      <c r="CO184" s="175"/>
      <c r="CP184" s="196">
        <f t="shared" si="143"/>
        <v>60</v>
      </c>
      <c r="CQ184" s="196">
        <f t="shared" si="144"/>
        <v>149</v>
      </c>
      <c r="CR184" s="199">
        <f t="shared" si="145"/>
        <v>2.4833333333333334</v>
      </c>
      <c r="CS184" s="261">
        <f t="shared" si="115"/>
        <v>-49</v>
      </c>
      <c r="CT184" s="175"/>
      <c r="CU184" s="196">
        <f t="shared" si="116"/>
        <v>-14.7</v>
      </c>
      <c r="CV184" s="259"/>
      <c r="CW184" s="199">
        <f t="shared" si="117"/>
        <v>0</v>
      </c>
      <c r="CX184" s="196">
        <f t="shared" si="118"/>
        <v>-14.7</v>
      </c>
      <c r="CY184" s="259"/>
      <c r="CZ184" s="199">
        <f t="shared" si="119"/>
        <v>0</v>
      </c>
      <c r="DA184" s="196">
        <f t="shared" si="120"/>
        <v>-14.7</v>
      </c>
      <c r="DB184" s="259"/>
      <c r="DC184" s="199">
        <f t="shared" si="121"/>
        <v>0</v>
      </c>
      <c r="DD184" s="196">
        <f t="shared" si="122"/>
        <v>-4.9000000000000004</v>
      </c>
      <c r="DE184" s="259"/>
      <c r="DF184" s="199">
        <f t="shared" si="123"/>
        <v>0</v>
      </c>
      <c r="DG184" s="175"/>
      <c r="DH184" s="196">
        <f t="shared" si="124"/>
        <v>100</v>
      </c>
      <c r="DI184" s="196">
        <f t="shared" si="125"/>
        <v>149</v>
      </c>
      <c r="DJ184" s="199">
        <f t="shared" si="126"/>
        <v>1.49</v>
      </c>
      <c r="DK184" s="265">
        <f t="shared" si="127"/>
        <v>-49</v>
      </c>
      <c r="DL184" s="247">
        <v>180</v>
      </c>
      <c r="DM184">
        <f t="shared" si="149"/>
        <v>0</v>
      </c>
    </row>
    <row r="185" spans="1:117" x14ac:dyDescent="0.3">
      <c r="A185" s="249">
        <v>181</v>
      </c>
      <c r="B185" s="91" t="s">
        <v>270</v>
      </c>
      <c r="C185" s="91" t="s">
        <v>118</v>
      </c>
      <c r="D185" s="91" t="s">
        <v>119</v>
      </c>
      <c r="E185" s="91" t="s">
        <v>212</v>
      </c>
      <c r="F185" s="91" t="s">
        <v>438</v>
      </c>
      <c r="G185" s="87" t="s">
        <v>186</v>
      </c>
      <c r="H185" s="87" t="s">
        <v>187</v>
      </c>
      <c r="I185" s="87" t="s">
        <v>103</v>
      </c>
      <c r="J185" s="87" t="s">
        <v>103</v>
      </c>
      <c r="K185" s="85" t="s">
        <v>183</v>
      </c>
      <c r="L185" s="85" t="s">
        <v>424</v>
      </c>
      <c r="M185" s="87" t="s">
        <v>106</v>
      </c>
      <c r="N185" s="87" t="s">
        <v>600</v>
      </c>
      <c r="O185" s="87" t="s">
        <v>127</v>
      </c>
      <c r="P185" s="87" t="s">
        <v>609</v>
      </c>
      <c r="Q185" s="87" t="s">
        <v>129</v>
      </c>
      <c r="R185" s="130">
        <v>1</v>
      </c>
      <c r="S185" s="88" t="s">
        <v>607</v>
      </c>
      <c r="T185" s="81">
        <v>0</v>
      </c>
      <c r="U185" s="81">
        <v>0</v>
      </c>
      <c r="V185" s="25" t="e">
        <f t="shared" si="150"/>
        <v>#DIV/0!</v>
      </c>
      <c r="W185" s="81">
        <v>0</v>
      </c>
      <c r="X185" s="81">
        <v>0</v>
      </c>
      <c r="Y185" s="25" t="e">
        <f t="shared" si="1"/>
        <v>#DIV/0!</v>
      </c>
      <c r="Z185" s="81">
        <v>0</v>
      </c>
      <c r="AA185" s="81"/>
      <c r="AB185" s="25" t="e">
        <f t="shared" si="2"/>
        <v>#DIV/0!</v>
      </c>
      <c r="AC185" s="81">
        <v>1</v>
      </c>
      <c r="AD185" s="81"/>
      <c r="AE185" s="25">
        <f t="shared" si="3"/>
        <v>0</v>
      </c>
      <c r="AF185" s="137">
        <f t="shared" si="132"/>
        <v>1</v>
      </c>
      <c r="AG185" s="137">
        <f t="shared" si="133"/>
        <v>0</v>
      </c>
      <c r="AH185" s="128" t="e">
        <f t="shared" si="130"/>
        <v>#DIV/0!</v>
      </c>
      <c r="AI185" s="90">
        <v>46113</v>
      </c>
      <c r="AJ185" s="90">
        <v>46477</v>
      </c>
      <c r="AK185" s="91" t="s">
        <v>112</v>
      </c>
      <c r="AL185" s="91" t="s">
        <v>113</v>
      </c>
      <c r="AM185" s="92" t="s">
        <v>114</v>
      </c>
      <c r="AN185" s="93">
        <v>60000000</v>
      </c>
      <c r="AO185" s="93">
        <v>60000000</v>
      </c>
      <c r="AP185" s="93">
        <v>60000000</v>
      </c>
      <c r="AQ185" s="94">
        <v>0</v>
      </c>
      <c r="AR185" s="91"/>
      <c r="AS185" s="91" t="s">
        <v>112</v>
      </c>
      <c r="AT185" s="150" t="s">
        <v>602</v>
      </c>
      <c r="AU185" s="165" t="s">
        <v>2264</v>
      </c>
      <c r="AV185" s="232" t="s">
        <v>2234</v>
      </c>
      <c r="AW185" s="126" t="s">
        <v>2267</v>
      </c>
      <c r="BA185" s="255">
        <v>0</v>
      </c>
      <c r="BB185" s="256">
        <v>0</v>
      </c>
      <c r="BC185" s="223" t="e">
        <f t="shared" si="104"/>
        <v>#DIV/0!</v>
      </c>
      <c r="BD185" s="255">
        <v>0</v>
      </c>
      <c r="BE185" s="256">
        <v>0</v>
      </c>
      <c r="BF185" s="223" t="e">
        <f t="shared" si="105"/>
        <v>#DIV/0!</v>
      </c>
      <c r="BG185" s="255">
        <v>0</v>
      </c>
      <c r="BH185" s="256">
        <v>0</v>
      </c>
      <c r="BI185" s="223" t="e">
        <f t="shared" si="106"/>
        <v>#DIV/0!</v>
      </c>
      <c r="BJ185" s="224">
        <f t="shared" si="107"/>
        <v>0</v>
      </c>
      <c r="BK185" s="225">
        <f t="shared" si="108"/>
        <v>0</v>
      </c>
      <c r="BL185" s="223" t="e">
        <f t="shared" si="109"/>
        <v>#DIV/0!</v>
      </c>
      <c r="BM185" s="255">
        <v>0</v>
      </c>
      <c r="BN185" s="256">
        <v>0</v>
      </c>
      <c r="BO185" s="223" t="e">
        <f t="shared" si="134"/>
        <v>#DIV/0!</v>
      </c>
      <c r="BP185" s="255">
        <v>0</v>
      </c>
      <c r="BQ185" s="256">
        <v>0</v>
      </c>
      <c r="BR185" s="223" t="e">
        <f t="shared" si="135"/>
        <v>#DIV/0!</v>
      </c>
      <c r="BS185" s="255">
        <v>0</v>
      </c>
      <c r="BT185" s="255">
        <v>0</v>
      </c>
      <c r="BU185" s="223" t="e">
        <f t="shared" si="136"/>
        <v>#DIV/0!</v>
      </c>
      <c r="BV185" s="224">
        <f t="shared" si="110"/>
        <v>0</v>
      </c>
      <c r="BW185" s="224">
        <f t="shared" si="111"/>
        <v>0</v>
      </c>
      <c r="BX185" s="223" t="e">
        <f t="shared" si="112"/>
        <v>#DIV/0!</v>
      </c>
      <c r="BY185" s="223">
        <f t="shared" si="113"/>
        <v>0</v>
      </c>
      <c r="BZ185" s="223">
        <f t="shared" si="114"/>
        <v>0</v>
      </c>
      <c r="CA185" s="226"/>
      <c r="CB185" s="175"/>
      <c r="CC185" s="191">
        <v>0</v>
      </c>
      <c r="CD185" s="192">
        <v>0.25</v>
      </c>
      <c r="CE185" s="193" t="e">
        <f t="shared" si="137"/>
        <v>#DIV/0!</v>
      </c>
      <c r="CF185" s="191">
        <v>0</v>
      </c>
      <c r="CG185" s="192">
        <v>0.25</v>
      </c>
      <c r="CH185" s="193" t="e">
        <f t="shared" si="138"/>
        <v>#DIV/0!</v>
      </c>
      <c r="CI185" s="197"/>
      <c r="CJ185" s="198"/>
      <c r="CK185" s="193" t="e">
        <f t="shared" si="139"/>
        <v>#DIV/0!</v>
      </c>
      <c r="CL185" s="195">
        <f t="shared" si="140"/>
        <v>0</v>
      </c>
      <c r="CM185" s="194">
        <f t="shared" si="141"/>
        <v>0.5</v>
      </c>
      <c r="CN185" s="193" t="e">
        <f t="shared" si="142"/>
        <v>#DIV/0!</v>
      </c>
      <c r="CO185" s="175"/>
      <c r="CP185" s="196">
        <f t="shared" si="143"/>
        <v>0</v>
      </c>
      <c r="CQ185" s="196">
        <f t="shared" si="144"/>
        <v>0.5</v>
      </c>
      <c r="CR185" s="199" t="e">
        <f t="shared" si="145"/>
        <v>#DIV/0!</v>
      </c>
      <c r="CS185" s="261">
        <f t="shared" si="115"/>
        <v>0.5</v>
      </c>
      <c r="CT185" s="175"/>
      <c r="CU185" s="196">
        <f t="shared" si="116"/>
        <v>0.15</v>
      </c>
      <c r="CV185" s="259"/>
      <c r="CW185" s="199">
        <f t="shared" si="117"/>
        <v>0</v>
      </c>
      <c r="CX185" s="196">
        <f t="shared" si="118"/>
        <v>0.15</v>
      </c>
      <c r="CY185" s="259"/>
      <c r="CZ185" s="199">
        <f t="shared" si="119"/>
        <v>0</v>
      </c>
      <c r="DA185" s="196">
        <f t="shared" si="120"/>
        <v>0.15</v>
      </c>
      <c r="DB185" s="259"/>
      <c r="DC185" s="199">
        <f t="shared" si="121"/>
        <v>0</v>
      </c>
      <c r="DD185" s="196">
        <f t="shared" si="122"/>
        <v>0.05</v>
      </c>
      <c r="DE185" s="259"/>
      <c r="DF185" s="199">
        <f t="shared" si="123"/>
        <v>0</v>
      </c>
      <c r="DG185" s="175"/>
      <c r="DH185" s="196">
        <f t="shared" si="124"/>
        <v>1</v>
      </c>
      <c r="DI185" s="196">
        <f t="shared" si="125"/>
        <v>0.5</v>
      </c>
      <c r="DJ185" s="199">
        <f t="shared" si="126"/>
        <v>0.5</v>
      </c>
      <c r="DK185" s="265">
        <f t="shared" si="127"/>
        <v>0.5</v>
      </c>
      <c r="DL185" s="247">
        <v>181</v>
      </c>
      <c r="DM185">
        <f t="shared" si="149"/>
        <v>0</v>
      </c>
    </row>
    <row r="186" spans="1:117" x14ac:dyDescent="0.3">
      <c r="A186" s="249">
        <v>182</v>
      </c>
      <c r="B186" s="91" t="s">
        <v>270</v>
      </c>
      <c r="C186" s="91" t="s">
        <v>118</v>
      </c>
      <c r="D186" s="91" t="s">
        <v>119</v>
      </c>
      <c r="E186" s="91" t="s">
        <v>212</v>
      </c>
      <c r="F186" s="91" t="s">
        <v>438</v>
      </c>
      <c r="G186" s="87" t="s">
        <v>186</v>
      </c>
      <c r="H186" s="87" t="s">
        <v>187</v>
      </c>
      <c r="I186" s="87" t="s">
        <v>103</v>
      </c>
      <c r="J186" s="87" t="s">
        <v>103</v>
      </c>
      <c r="K186" s="85" t="s">
        <v>183</v>
      </c>
      <c r="L186" s="85" t="s">
        <v>424</v>
      </c>
      <c r="M186" s="87" t="s">
        <v>106</v>
      </c>
      <c r="N186" s="87" t="s">
        <v>600</v>
      </c>
      <c r="O186" s="87" t="s">
        <v>127</v>
      </c>
      <c r="P186" s="87" t="s">
        <v>610</v>
      </c>
      <c r="Q186" s="87" t="s">
        <v>129</v>
      </c>
      <c r="R186" s="130">
        <v>70</v>
      </c>
      <c r="S186" s="88" t="s">
        <v>158</v>
      </c>
      <c r="T186" s="81">
        <v>8</v>
      </c>
      <c r="U186" s="81">
        <v>15</v>
      </c>
      <c r="V186" s="25">
        <f t="shared" si="150"/>
        <v>187.5</v>
      </c>
      <c r="W186" s="81">
        <v>21</v>
      </c>
      <c r="X186" s="81">
        <v>26</v>
      </c>
      <c r="Y186" s="25">
        <f t="shared" si="1"/>
        <v>123.80952380952381</v>
      </c>
      <c r="Z186" s="81">
        <v>21</v>
      </c>
      <c r="AA186" s="81"/>
      <c r="AB186" s="25">
        <f t="shared" si="2"/>
        <v>0</v>
      </c>
      <c r="AC186" s="81">
        <v>20</v>
      </c>
      <c r="AD186" s="81"/>
      <c r="AE186" s="25">
        <f t="shared" si="3"/>
        <v>0</v>
      </c>
      <c r="AF186" s="137">
        <f t="shared" si="132"/>
        <v>70</v>
      </c>
      <c r="AG186" s="137">
        <f t="shared" si="133"/>
        <v>41</v>
      </c>
      <c r="AH186" s="128">
        <f t="shared" si="130"/>
        <v>141.37931034482759</v>
      </c>
      <c r="AI186" s="90">
        <v>46113</v>
      </c>
      <c r="AJ186" s="90">
        <v>46477</v>
      </c>
      <c r="AK186" s="91" t="s">
        <v>112</v>
      </c>
      <c r="AL186" s="91" t="s">
        <v>113</v>
      </c>
      <c r="AM186" s="92" t="s">
        <v>114</v>
      </c>
      <c r="AN186" s="93"/>
      <c r="AO186" s="93"/>
      <c r="AP186" s="93"/>
      <c r="AQ186" s="94">
        <v>0</v>
      </c>
      <c r="AR186" s="91"/>
      <c r="AS186" s="91" t="s">
        <v>112</v>
      </c>
      <c r="AT186" s="150" t="s">
        <v>602</v>
      </c>
      <c r="AU186" s="165" t="s">
        <v>2264</v>
      </c>
      <c r="AV186" s="232" t="s">
        <v>2234</v>
      </c>
      <c r="AW186" s="126" t="s">
        <v>2267</v>
      </c>
      <c r="BA186" s="255">
        <v>0</v>
      </c>
      <c r="BB186" s="256">
        <v>0</v>
      </c>
      <c r="BC186" s="223" t="e">
        <f t="shared" si="104"/>
        <v>#DIV/0!</v>
      </c>
      <c r="BD186" s="255">
        <v>4</v>
      </c>
      <c r="BE186" s="256">
        <v>0</v>
      </c>
      <c r="BF186" s="223">
        <f t="shared" si="105"/>
        <v>0</v>
      </c>
      <c r="BG186" s="255">
        <v>4</v>
      </c>
      <c r="BH186" s="256">
        <v>15</v>
      </c>
      <c r="BI186" s="223">
        <f t="shared" si="106"/>
        <v>3.75</v>
      </c>
      <c r="BJ186" s="224">
        <f t="shared" si="107"/>
        <v>8</v>
      </c>
      <c r="BK186" s="225">
        <f t="shared" si="108"/>
        <v>15</v>
      </c>
      <c r="BL186" s="223">
        <f t="shared" si="109"/>
        <v>1.875</v>
      </c>
      <c r="BM186" s="255">
        <v>7</v>
      </c>
      <c r="BN186" s="256">
        <v>8</v>
      </c>
      <c r="BO186" s="223">
        <f t="shared" si="134"/>
        <v>1.1428571428571428</v>
      </c>
      <c r="BP186" s="255">
        <v>7</v>
      </c>
      <c r="BQ186" s="256">
        <v>8</v>
      </c>
      <c r="BR186" s="223">
        <f t="shared" si="135"/>
        <v>1.1428571428571428</v>
      </c>
      <c r="BS186" s="255">
        <v>7</v>
      </c>
      <c r="BT186" s="255">
        <v>10</v>
      </c>
      <c r="BU186" s="223">
        <f t="shared" si="136"/>
        <v>1.4285714285714286</v>
      </c>
      <c r="BV186" s="224">
        <f t="shared" si="110"/>
        <v>21</v>
      </c>
      <c r="BW186" s="224">
        <f t="shared" si="111"/>
        <v>26</v>
      </c>
      <c r="BX186" s="223">
        <f t="shared" si="112"/>
        <v>1.2380952380952381</v>
      </c>
      <c r="BY186" s="223">
        <f t="shared" si="113"/>
        <v>0.58571428571428574</v>
      </c>
      <c r="BZ186" s="223">
        <f t="shared" si="114"/>
        <v>-0.58571428571428574</v>
      </c>
      <c r="CA186" s="226"/>
      <c r="CB186" s="175"/>
      <c r="CC186" s="191">
        <v>7</v>
      </c>
      <c r="CD186" s="192"/>
      <c r="CE186" s="193">
        <f t="shared" si="137"/>
        <v>0</v>
      </c>
      <c r="CF186" s="191">
        <v>7</v>
      </c>
      <c r="CG186" s="192"/>
      <c r="CH186" s="193">
        <f t="shared" si="138"/>
        <v>0</v>
      </c>
      <c r="CI186" s="197"/>
      <c r="CJ186" s="198"/>
      <c r="CK186" s="193" t="e">
        <f t="shared" si="139"/>
        <v>#DIV/0!</v>
      </c>
      <c r="CL186" s="195">
        <f t="shared" si="140"/>
        <v>14</v>
      </c>
      <c r="CM186" s="194">
        <f t="shared" si="141"/>
        <v>0</v>
      </c>
      <c r="CN186" s="193">
        <f t="shared" si="142"/>
        <v>0</v>
      </c>
      <c r="CO186" s="175"/>
      <c r="CP186" s="196">
        <f t="shared" si="143"/>
        <v>43</v>
      </c>
      <c r="CQ186" s="196">
        <f t="shared" si="144"/>
        <v>41</v>
      </c>
      <c r="CR186" s="199">
        <f t="shared" si="145"/>
        <v>0.95348837209302328</v>
      </c>
      <c r="CS186" s="261">
        <f t="shared" si="115"/>
        <v>29</v>
      </c>
      <c r="CT186" s="175"/>
      <c r="CU186" s="196">
        <f t="shared" si="116"/>
        <v>8.6999999999999993</v>
      </c>
      <c r="CV186" s="259"/>
      <c r="CW186" s="199">
        <f t="shared" si="117"/>
        <v>0</v>
      </c>
      <c r="CX186" s="196">
        <f t="shared" si="118"/>
        <v>8.6999999999999993</v>
      </c>
      <c r="CY186" s="259"/>
      <c r="CZ186" s="199">
        <f t="shared" si="119"/>
        <v>0</v>
      </c>
      <c r="DA186" s="196">
        <f t="shared" si="120"/>
        <v>8.6999999999999993</v>
      </c>
      <c r="DB186" s="259"/>
      <c r="DC186" s="199">
        <f t="shared" si="121"/>
        <v>0</v>
      </c>
      <c r="DD186" s="196">
        <f t="shared" si="122"/>
        <v>2.9000000000000004</v>
      </c>
      <c r="DE186" s="259"/>
      <c r="DF186" s="199">
        <f t="shared" si="123"/>
        <v>0</v>
      </c>
      <c r="DG186" s="175"/>
      <c r="DH186" s="196">
        <f t="shared" si="124"/>
        <v>70</v>
      </c>
      <c r="DI186" s="196">
        <f t="shared" si="125"/>
        <v>41</v>
      </c>
      <c r="DJ186" s="199">
        <f t="shared" si="126"/>
        <v>0.58571428571428574</v>
      </c>
      <c r="DK186" s="265">
        <f t="shared" si="127"/>
        <v>29</v>
      </c>
      <c r="DL186" s="247">
        <v>182</v>
      </c>
      <c r="DM186">
        <f t="shared" si="149"/>
        <v>0</v>
      </c>
    </row>
    <row r="187" spans="1:117" x14ac:dyDescent="0.3">
      <c r="A187" s="249">
        <v>183</v>
      </c>
      <c r="B187" s="91" t="s">
        <v>270</v>
      </c>
      <c r="C187" s="91" t="s">
        <v>133</v>
      </c>
      <c r="D187" s="91" t="s">
        <v>119</v>
      </c>
      <c r="E187" s="91" t="s">
        <v>465</v>
      </c>
      <c r="F187" s="91" t="s">
        <v>611</v>
      </c>
      <c r="G187" s="87" t="s">
        <v>186</v>
      </c>
      <c r="H187" s="87" t="s">
        <v>187</v>
      </c>
      <c r="I187" s="87" t="s">
        <v>103</v>
      </c>
      <c r="J187" s="87" t="s">
        <v>103</v>
      </c>
      <c r="K187" s="85" t="s">
        <v>183</v>
      </c>
      <c r="L187" s="85" t="s">
        <v>424</v>
      </c>
      <c r="M187" s="87" t="s">
        <v>106</v>
      </c>
      <c r="N187" s="87" t="s">
        <v>600</v>
      </c>
      <c r="O187" s="87" t="s">
        <v>127</v>
      </c>
      <c r="P187" s="87" t="s">
        <v>612</v>
      </c>
      <c r="Q187" s="87" t="s">
        <v>129</v>
      </c>
      <c r="R187" s="130">
        <v>5</v>
      </c>
      <c r="S187" s="88" t="s">
        <v>111</v>
      </c>
      <c r="T187" s="81">
        <v>0</v>
      </c>
      <c r="U187" s="81">
        <v>0</v>
      </c>
      <c r="V187" s="25" t="e">
        <f t="shared" si="150"/>
        <v>#DIV/0!</v>
      </c>
      <c r="W187" s="81">
        <v>1</v>
      </c>
      <c r="X187" s="81">
        <v>4</v>
      </c>
      <c r="Y187" s="25">
        <f t="shared" si="1"/>
        <v>400</v>
      </c>
      <c r="Z187" s="81">
        <v>2</v>
      </c>
      <c r="AA187" s="81"/>
      <c r="AB187" s="25">
        <f t="shared" si="2"/>
        <v>0</v>
      </c>
      <c r="AC187" s="81">
        <v>2</v>
      </c>
      <c r="AD187" s="81"/>
      <c r="AE187" s="25">
        <f t="shared" si="3"/>
        <v>0</v>
      </c>
      <c r="AF187" s="137">
        <f t="shared" si="132"/>
        <v>5</v>
      </c>
      <c r="AG187" s="137">
        <f t="shared" si="133"/>
        <v>4</v>
      </c>
      <c r="AH187" s="128">
        <f t="shared" si="130"/>
        <v>400</v>
      </c>
      <c r="AI187" s="90">
        <v>46113</v>
      </c>
      <c r="AJ187" s="90">
        <v>46477</v>
      </c>
      <c r="AK187" s="91" t="s">
        <v>112</v>
      </c>
      <c r="AL187" s="91" t="s">
        <v>113</v>
      </c>
      <c r="AM187" s="92" t="s">
        <v>114</v>
      </c>
      <c r="AN187" s="93">
        <v>327000000</v>
      </c>
      <c r="AO187" s="93">
        <v>327000000</v>
      </c>
      <c r="AP187" s="93">
        <v>327000000</v>
      </c>
      <c r="AQ187" s="94">
        <v>0</v>
      </c>
      <c r="AR187" s="91" t="s">
        <v>191</v>
      </c>
      <c r="AS187" s="91" t="s">
        <v>112</v>
      </c>
      <c r="AT187" s="150" t="s">
        <v>602</v>
      </c>
      <c r="AU187" s="165" t="s">
        <v>2264</v>
      </c>
      <c r="AV187" s="232" t="s">
        <v>2234</v>
      </c>
      <c r="AW187" s="126" t="s">
        <v>2267</v>
      </c>
      <c r="BA187" s="255">
        <v>0</v>
      </c>
      <c r="BB187" s="256">
        <v>0</v>
      </c>
      <c r="BC187" s="223" t="e">
        <f t="shared" si="104"/>
        <v>#DIV/0!</v>
      </c>
      <c r="BD187" s="255">
        <v>0</v>
      </c>
      <c r="BE187" s="256">
        <v>0</v>
      </c>
      <c r="BF187" s="223" t="e">
        <f t="shared" si="105"/>
        <v>#DIV/0!</v>
      </c>
      <c r="BG187" s="255">
        <v>0</v>
      </c>
      <c r="BH187" s="256">
        <v>0</v>
      </c>
      <c r="BI187" s="223" t="e">
        <f t="shared" si="106"/>
        <v>#DIV/0!</v>
      </c>
      <c r="BJ187" s="224">
        <f t="shared" si="107"/>
        <v>0</v>
      </c>
      <c r="BK187" s="225">
        <f t="shared" si="108"/>
        <v>0</v>
      </c>
      <c r="BL187" s="223" t="e">
        <f t="shared" si="109"/>
        <v>#DIV/0!</v>
      </c>
      <c r="BM187" s="255">
        <v>1</v>
      </c>
      <c r="BN187" s="256">
        <v>1</v>
      </c>
      <c r="BO187" s="223">
        <f t="shared" si="134"/>
        <v>1</v>
      </c>
      <c r="BP187" s="255">
        <v>0</v>
      </c>
      <c r="BQ187" s="256">
        <v>2</v>
      </c>
      <c r="BR187" s="223" t="e">
        <f t="shared" si="135"/>
        <v>#DIV/0!</v>
      </c>
      <c r="BS187" s="255">
        <v>0</v>
      </c>
      <c r="BT187" s="255">
        <v>1</v>
      </c>
      <c r="BU187" s="223" t="e">
        <f t="shared" si="136"/>
        <v>#DIV/0!</v>
      </c>
      <c r="BV187" s="224">
        <f t="shared" si="110"/>
        <v>1</v>
      </c>
      <c r="BW187" s="224">
        <f t="shared" si="111"/>
        <v>4</v>
      </c>
      <c r="BX187" s="223">
        <f t="shared" si="112"/>
        <v>4</v>
      </c>
      <c r="BY187" s="223">
        <f t="shared" si="113"/>
        <v>0.8</v>
      </c>
      <c r="BZ187" s="223">
        <f t="shared" si="114"/>
        <v>-0.8</v>
      </c>
      <c r="CA187" s="226"/>
      <c r="CB187" s="175"/>
      <c r="CC187" s="191">
        <v>2</v>
      </c>
      <c r="CD187" s="192">
        <v>0</v>
      </c>
      <c r="CE187" s="193">
        <f t="shared" si="137"/>
        <v>0</v>
      </c>
      <c r="CF187" s="191">
        <v>0</v>
      </c>
      <c r="CG187" s="192">
        <v>0</v>
      </c>
      <c r="CH187" s="193" t="e">
        <f t="shared" si="138"/>
        <v>#DIV/0!</v>
      </c>
      <c r="CI187" s="197"/>
      <c r="CJ187" s="198"/>
      <c r="CK187" s="193" t="e">
        <f t="shared" si="139"/>
        <v>#DIV/0!</v>
      </c>
      <c r="CL187" s="195">
        <f t="shared" si="140"/>
        <v>2</v>
      </c>
      <c r="CM187" s="194">
        <f t="shared" si="141"/>
        <v>0</v>
      </c>
      <c r="CN187" s="193">
        <f t="shared" si="142"/>
        <v>0</v>
      </c>
      <c r="CO187" s="175"/>
      <c r="CP187" s="196">
        <f t="shared" si="143"/>
        <v>3</v>
      </c>
      <c r="CQ187" s="196">
        <f t="shared" si="144"/>
        <v>4</v>
      </c>
      <c r="CR187" s="199">
        <f t="shared" si="145"/>
        <v>1.3333333333333333</v>
      </c>
      <c r="CS187" s="261">
        <f t="shared" si="115"/>
        <v>1</v>
      </c>
      <c r="CT187" s="175"/>
      <c r="CU187" s="196">
        <f t="shared" si="116"/>
        <v>0.3</v>
      </c>
      <c r="CV187" s="259"/>
      <c r="CW187" s="199">
        <f t="shared" si="117"/>
        <v>0</v>
      </c>
      <c r="CX187" s="196">
        <f t="shared" si="118"/>
        <v>0.3</v>
      </c>
      <c r="CY187" s="259"/>
      <c r="CZ187" s="199">
        <f t="shared" si="119"/>
        <v>0</v>
      </c>
      <c r="DA187" s="196">
        <f t="shared" si="120"/>
        <v>0.3</v>
      </c>
      <c r="DB187" s="259"/>
      <c r="DC187" s="199">
        <f t="shared" si="121"/>
        <v>0</v>
      </c>
      <c r="DD187" s="196">
        <f t="shared" si="122"/>
        <v>0.1</v>
      </c>
      <c r="DE187" s="259"/>
      <c r="DF187" s="199">
        <f t="shared" si="123"/>
        <v>0</v>
      </c>
      <c r="DG187" s="175"/>
      <c r="DH187" s="196">
        <f t="shared" si="124"/>
        <v>5</v>
      </c>
      <c r="DI187" s="196">
        <f t="shared" si="125"/>
        <v>4</v>
      </c>
      <c r="DJ187" s="199">
        <f t="shared" si="126"/>
        <v>0.8</v>
      </c>
      <c r="DK187" s="265">
        <f t="shared" si="127"/>
        <v>1</v>
      </c>
      <c r="DL187" s="247">
        <v>183</v>
      </c>
      <c r="DM187">
        <f t="shared" si="149"/>
        <v>0</v>
      </c>
    </row>
    <row r="188" spans="1:117" x14ac:dyDescent="0.3">
      <c r="A188" s="249">
        <v>184</v>
      </c>
      <c r="B188" s="91" t="s">
        <v>270</v>
      </c>
      <c r="C188" s="91" t="s">
        <v>133</v>
      </c>
      <c r="D188" s="91" t="s">
        <v>119</v>
      </c>
      <c r="E188" s="91" t="s">
        <v>613</v>
      </c>
      <c r="F188" s="91" t="s">
        <v>614</v>
      </c>
      <c r="G188" s="87" t="s">
        <v>615</v>
      </c>
      <c r="H188" s="87" t="s">
        <v>616</v>
      </c>
      <c r="I188" s="87" t="s">
        <v>103</v>
      </c>
      <c r="J188" s="87" t="s">
        <v>103</v>
      </c>
      <c r="K188" s="85" t="s">
        <v>183</v>
      </c>
      <c r="L188" s="85" t="s">
        <v>424</v>
      </c>
      <c r="M188" s="87" t="s">
        <v>106</v>
      </c>
      <c r="N188" s="87" t="s">
        <v>600</v>
      </c>
      <c r="O188" s="87" t="s">
        <v>127</v>
      </c>
      <c r="P188" s="241" t="s">
        <v>617</v>
      </c>
      <c r="Q188" s="87" t="s">
        <v>129</v>
      </c>
      <c r="R188" s="130">
        <v>2</v>
      </c>
      <c r="S188" s="88" t="s">
        <v>111</v>
      </c>
      <c r="T188" s="81">
        <v>0</v>
      </c>
      <c r="U188" s="81">
        <v>0</v>
      </c>
      <c r="V188" s="25" t="e">
        <f t="shared" si="150"/>
        <v>#DIV/0!</v>
      </c>
      <c r="W188" s="81">
        <v>2</v>
      </c>
      <c r="X188" s="81">
        <v>2</v>
      </c>
      <c r="Y188" s="25">
        <f t="shared" si="1"/>
        <v>100</v>
      </c>
      <c r="Z188" s="81">
        <v>0</v>
      </c>
      <c r="AA188" s="81"/>
      <c r="AB188" s="25" t="e">
        <f t="shared" si="2"/>
        <v>#DIV/0!</v>
      </c>
      <c r="AC188" s="81">
        <v>0</v>
      </c>
      <c r="AD188" s="81"/>
      <c r="AE188" s="25" t="e">
        <f t="shared" si="3"/>
        <v>#DIV/0!</v>
      </c>
      <c r="AF188" s="137">
        <f t="shared" si="132"/>
        <v>2</v>
      </c>
      <c r="AG188" s="137">
        <f t="shared" si="133"/>
        <v>2</v>
      </c>
      <c r="AH188" s="128">
        <f t="shared" si="130"/>
        <v>100</v>
      </c>
      <c r="AI188" s="90">
        <v>46054</v>
      </c>
      <c r="AJ188" s="90">
        <v>46477</v>
      </c>
      <c r="AK188" s="91" t="s">
        <v>112</v>
      </c>
      <c r="AL188" s="91" t="s">
        <v>113</v>
      </c>
      <c r="AM188" s="92" t="s">
        <v>114</v>
      </c>
      <c r="AN188" s="93">
        <v>80000000</v>
      </c>
      <c r="AO188" s="93">
        <v>80000000</v>
      </c>
      <c r="AP188" s="93">
        <v>80000000</v>
      </c>
      <c r="AQ188" s="94">
        <f>AO188</f>
        <v>80000000</v>
      </c>
      <c r="AR188" s="91" t="s">
        <v>159</v>
      </c>
      <c r="AS188" s="91" t="s">
        <v>112</v>
      </c>
      <c r="AT188" s="150" t="s">
        <v>602</v>
      </c>
      <c r="AU188" s="165" t="s">
        <v>2264</v>
      </c>
      <c r="AV188" s="232" t="s">
        <v>2234</v>
      </c>
      <c r="AW188" s="126" t="s">
        <v>2267</v>
      </c>
      <c r="BA188" s="255">
        <v>0</v>
      </c>
      <c r="BB188" s="256">
        <v>0</v>
      </c>
      <c r="BC188" s="223" t="e">
        <f t="shared" si="104"/>
        <v>#DIV/0!</v>
      </c>
      <c r="BD188" s="255">
        <v>0</v>
      </c>
      <c r="BE188" s="256">
        <v>0</v>
      </c>
      <c r="BF188" s="223" t="e">
        <f t="shared" si="105"/>
        <v>#DIV/0!</v>
      </c>
      <c r="BG188" s="255">
        <v>0</v>
      </c>
      <c r="BH188" s="256">
        <v>0</v>
      </c>
      <c r="BI188" s="223" t="e">
        <f t="shared" si="106"/>
        <v>#DIV/0!</v>
      </c>
      <c r="BJ188" s="224">
        <f t="shared" si="107"/>
        <v>0</v>
      </c>
      <c r="BK188" s="225">
        <f t="shared" si="108"/>
        <v>0</v>
      </c>
      <c r="BL188" s="223" t="e">
        <f t="shared" si="109"/>
        <v>#DIV/0!</v>
      </c>
      <c r="BM188" s="255">
        <v>2</v>
      </c>
      <c r="BN188" s="256">
        <v>2</v>
      </c>
      <c r="BO188" s="223">
        <f t="shared" si="134"/>
        <v>1</v>
      </c>
      <c r="BP188" s="255">
        <v>0</v>
      </c>
      <c r="BQ188" s="256">
        <v>0</v>
      </c>
      <c r="BR188" s="223" t="e">
        <f t="shared" si="135"/>
        <v>#DIV/0!</v>
      </c>
      <c r="BS188" s="255">
        <v>0</v>
      </c>
      <c r="BT188" s="255">
        <v>0</v>
      </c>
      <c r="BU188" s="223" t="e">
        <f t="shared" si="136"/>
        <v>#DIV/0!</v>
      </c>
      <c r="BV188" s="224">
        <f t="shared" si="110"/>
        <v>2</v>
      </c>
      <c r="BW188" s="224">
        <f t="shared" si="111"/>
        <v>2</v>
      </c>
      <c r="BX188" s="223">
        <f t="shared" si="112"/>
        <v>1</v>
      </c>
      <c r="BY188" s="223">
        <f t="shared" si="113"/>
        <v>1</v>
      </c>
      <c r="BZ188" s="223">
        <f t="shared" si="114"/>
        <v>-1</v>
      </c>
      <c r="CA188" s="226"/>
      <c r="CB188" s="175"/>
      <c r="CC188" s="191">
        <v>0</v>
      </c>
      <c r="CD188" s="192">
        <v>0</v>
      </c>
      <c r="CE188" s="193" t="e">
        <f t="shared" si="137"/>
        <v>#DIV/0!</v>
      </c>
      <c r="CF188" s="191">
        <v>0</v>
      </c>
      <c r="CG188" s="192">
        <v>0</v>
      </c>
      <c r="CH188" s="193" t="e">
        <f t="shared" si="138"/>
        <v>#DIV/0!</v>
      </c>
      <c r="CI188" s="197"/>
      <c r="CJ188" s="198"/>
      <c r="CK188" s="193" t="e">
        <f t="shared" si="139"/>
        <v>#DIV/0!</v>
      </c>
      <c r="CL188" s="195">
        <f t="shared" si="140"/>
        <v>0</v>
      </c>
      <c r="CM188" s="194">
        <f t="shared" si="141"/>
        <v>0</v>
      </c>
      <c r="CN188" s="193" t="e">
        <f t="shared" si="142"/>
        <v>#DIV/0!</v>
      </c>
      <c r="CO188" s="175"/>
      <c r="CP188" s="196">
        <f t="shared" si="143"/>
        <v>2</v>
      </c>
      <c r="CQ188" s="196">
        <f t="shared" si="144"/>
        <v>2</v>
      </c>
      <c r="CR188" s="199">
        <f t="shared" si="145"/>
        <v>1</v>
      </c>
      <c r="CS188" s="261">
        <f t="shared" si="115"/>
        <v>0</v>
      </c>
      <c r="CT188" s="175"/>
      <c r="CU188" s="196">
        <f t="shared" si="116"/>
        <v>0</v>
      </c>
      <c r="CV188" s="259"/>
      <c r="CW188" s="199" t="e">
        <f t="shared" si="117"/>
        <v>#DIV/0!</v>
      </c>
      <c r="CX188" s="196">
        <f t="shared" si="118"/>
        <v>0</v>
      </c>
      <c r="CY188" s="259"/>
      <c r="CZ188" s="199" t="e">
        <f t="shared" si="119"/>
        <v>#DIV/0!</v>
      </c>
      <c r="DA188" s="196">
        <f t="shared" si="120"/>
        <v>0</v>
      </c>
      <c r="DB188" s="259"/>
      <c r="DC188" s="199" t="e">
        <f t="shared" si="121"/>
        <v>#DIV/0!</v>
      </c>
      <c r="DD188" s="196">
        <f t="shared" si="122"/>
        <v>0</v>
      </c>
      <c r="DE188" s="259"/>
      <c r="DF188" s="199" t="e">
        <f t="shared" si="123"/>
        <v>#DIV/0!</v>
      </c>
      <c r="DG188" s="175"/>
      <c r="DH188" s="196">
        <f t="shared" si="124"/>
        <v>2</v>
      </c>
      <c r="DI188" s="196">
        <f t="shared" si="125"/>
        <v>2</v>
      </c>
      <c r="DJ188" s="199">
        <f t="shared" si="126"/>
        <v>1</v>
      </c>
      <c r="DK188" s="265">
        <f t="shared" si="127"/>
        <v>0</v>
      </c>
      <c r="DL188" s="247">
        <v>184</v>
      </c>
      <c r="DM188">
        <f t="shared" si="149"/>
        <v>0</v>
      </c>
    </row>
    <row r="189" spans="1:117" x14ac:dyDescent="0.3">
      <c r="A189" s="249">
        <v>185</v>
      </c>
      <c r="B189" s="91" t="s">
        <v>270</v>
      </c>
      <c r="C189" s="91" t="s">
        <v>133</v>
      </c>
      <c r="D189" s="91" t="s">
        <v>119</v>
      </c>
      <c r="E189" s="91" t="s">
        <v>212</v>
      </c>
      <c r="F189" s="91" t="s">
        <v>618</v>
      </c>
      <c r="G189" s="87" t="s">
        <v>615</v>
      </c>
      <c r="H189" s="87" t="s">
        <v>616</v>
      </c>
      <c r="I189" s="87" t="s">
        <v>103</v>
      </c>
      <c r="J189" s="87" t="s">
        <v>103</v>
      </c>
      <c r="K189" s="85" t="s">
        <v>183</v>
      </c>
      <c r="L189" s="85" t="s">
        <v>424</v>
      </c>
      <c r="M189" s="87" t="s">
        <v>106</v>
      </c>
      <c r="N189" s="87" t="s">
        <v>600</v>
      </c>
      <c r="O189" s="87" t="s">
        <v>127</v>
      </c>
      <c r="P189" s="87" t="s">
        <v>619</v>
      </c>
      <c r="Q189" s="87" t="s">
        <v>129</v>
      </c>
      <c r="R189" s="130">
        <v>24</v>
      </c>
      <c r="S189" s="88" t="s">
        <v>607</v>
      </c>
      <c r="T189" s="81">
        <v>6</v>
      </c>
      <c r="U189" s="81">
        <v>6</v>
      </c>
      <c r="V189" s="25">
        <f t="shared" si="150"/>
        <v>100</v>
      </c>
      <c r="W189" s="81">
        <v>6</v>
      </c>
      <c r="X189" s="81">
        <v>6</v>
      </c>
      <c r="Y189" s="25">
        <f t="shared" si="1"/>
        <v>100</v>
      </c>
      <c r="Z189" s="81">
        <v>6</v>
      </c>
      <c r="AA189" s="81"/>
      <c r="AB189" s="25">
        <f t="shared" si="2"/>
        <v>0</v>
      </c>
      <c r="AC189" s="81">
        <v>6</v>
      </c>
      <c r="AD189" s="81"/>
      <c r="AE189" s="25">
        <f t="shared" si="3"/>
        <v>0</v>
      </c>
      <c r="AF189" s="137">
        <f t="shared" si="132"/>
        <v>24</v>
      </c>
      <c r="AG189" s="137">
        <f t="shared" si="133"/>
        <v>12</v>
      </c>
      <c r="AH189" s="128">
        <f t="shared" si="130"/>
        <v>100</v>
      </c>
      <c r="AI189" s="90">
        <v>46113</v>
      </c>
      <c r="AJ189" s="90">
        <v>46477</v>
      </c>
      <c r="AK189" s="91" t="s">
        <v>112</v>
      </c>
      <c r="AL189" s="91" t="s">
        <v>113</v>
      </c>
      <c r="AM189" s="92" t="s">
        <v>114</v>
      </c>
      <c r="AN189" s="93"/>
      <c r="AO189" s="93"/>
      <c r="AP189" s="93"/>
      <c r="AQ189" s="94"/>
      <c r="AR189" s="91" t="s">
        <v>159</v>
      </c>
      <c r="AS189" s="91" t="s">
        <v>112</v>
      </c>
      <c r="AT189" s="150" t="s">
        <v>602</v>
      </c>
      <c r="AU189" s="165" t="s">
        <v>2264</v>
      </c>
      <c r="AV189" s="232" t="s">
        <v>2234</v>
      </c>
      <c r="AW189" s="126" t="s">
        <v>2267</v>
      </c>
      <c r="BA189" s="255">
        <v>0</v>
      </c>
      <c r="BB189" s="256">
        <v>0</v>
      </c>
      <c r="BC189" s="223" t="e">
        <f t="shared" si="104"/>
        <v>#DIV/0!</v>
      </c>
      <c r="BD189" s="255">
        <v>2</v>
      </c>
      <c r="BE189" s="256">
        <v>2</v>
      </c>
      <c r="BF189" s="223">
        <f t="shared" si="105"/>
        <v>1</v>
      </c>
      <c r="BG189" s="255">
        <v>4</v>
      </c>
      <c r="BH189" s="256">
        <v>4</v>
      </c>
      <c r="BI189" s="223">
        <f t="shared" si="106"/>
        <v>1</v>
      </c>
      <c r="BJ189" s="224">
        <f t="shared" si="107"/>
        <v>6</v>
      </c>
      <c r="BK189" s="225">
        <f t="shared" si="108"/>
        <v>6</v>
      </c>
      <c r="BL189" s="223">
        <f t="shared" si="109"/>
        <v>1</v>
      </c>
      <c r="BM189" s="255">
        <v>2</v>
      </c>
      <c r="BN189" s="256">
        <v>2</v>
      </c>
      <c r="BO189" s="223">
        <f t="shared" si="134"/>
        <v>1</v>
      </c>
      <c r="BP189" s="255">
        <v>2</v>
      </c>
      <c r="BQ189" s="256">
        <v>2</v>
      </c>
      <c r="BR189" s="223">
        <f t="shared" si="135"/>
        <v>1</v>
      </c>
      <c r="BS189" s="255">
        <v>2</v>
      </c>
      <c r="BT189" s="255">
        <v>2</v>
      </c>
      <c r="BU189" s="223">
        <f t="shared" si="136"/>
        <v>1</v>
      </c>
      <c r="BV189" s="224">
        <f t="shared" si="110"/>
        <v>6</v>
      </c>
      <c r="BW189" s="224">
        <f t="shared" si="111"/>
        <v>6</v>
      </c>
      <c r="BX189" s="223">
        <f t="shared" si="112"/>
        <v>1</v>
      </c>
      <c r="BY189" s="223">
        <f t="shared" si="113"/>
        <v>0.5</v>
      </c>
      <c r="BZ189" s="223">
        <f t="shared" si="114"/>
        <v>-0.5</v>
      </c>
      <c r="CA189" s="226"/>
      <c r="CB189" s="175"/>
      <c r="CC189" s="191">
        <v>2</v>
      </c>
      <c r="CD189" s="192"/>
      <c r="CE189" s="193">
        <f t="shared" si="137"/>
        <v>0</v>
      </c>
      <c r="CF189" s="191">
        <v>2</v>
      </c>
      <c r="CG189" s="192"/>
      <c r="CH189" s="193">
        <f t="shared" si="138"/>
        <v>0</v>
      </c>
      <c r="CI189" s="197"/>
      <c r="CJ189" s="198"/>
      <c r="CK189" s="193" t="e">
        <f t="shared" si="139"/>
        <v>#DIV/0!</v>
      </c>
      <c r="CL189" s="195">
        <f t="shared" si="140"/>
        <v>4</v>
      </c>
      <c r="CM189" s="194">
        <f t="shared" si="141"/>
        <v>0</v>
      </c>
      <c r="CN189" s="193">
        <f t="shared" si="142"/>
        <v>0</v>
      </c>
      <c r="CO189" s="175"/>
      <c r="CP189" s="196">
        <f t="shared" si="143"/>
        <v>16</v>
      </c>
      <c r="CQ189" s="196">
        <f t="shared" si="144"/>
        <v>12</v>
      </c>
      <c r="CR189" s="199">
        <f t="shared" si="145"/>
        <v>0.75</v>
      </c>
      <c r="CS189" s="261">
        <f t="shared" si="115"/>
        <v>12</v>
      </c>
      <c r="CT189" s="175"/>
      <c r="CU189" s="196">
        <f t="shared" si="116"/>
        <v>3.5999999999999996</v>
      </c>
      <c r="CV189" s="259"/>
      <c r="CW189" s="199">
        <f t="shared" si="117"/>
        <v>0</v>
      </c>
      <c r="CX189" s="196">
        <f t="shared" si="118"/>
        <v>3.5999999999999996</v>
      </c>
      <c r="CY189" s="259"/>
      <c r="CZ189" s="199">
        <f t="shared" si="119"/>
        <v>0</v>
      </c>
      <c r="DA189" s="196">
        <f t="shared" si="120"/>
        <v>3.5999999999999996</v>
      </c>
      <c r="DB189" s="259"/>
      <c r="DC189" s="199">
        <f t="shared" si="121"/>
        <v>0</v>
      </c>
      <c r="DD189" s="196">
        <f t="shared" si="122"/>
        <v>1.2000000000000002</v>
      </c>
      <c r="DE189" s="259"/>
      <c r="DF189" s="199">
        <f t="shared" si="123"/>
        <v>0</v>
      </c>
      <c r="DG189" s="175"/>
      <c r="DH189" s="196">
        <f t="shared" si="124"/>
        <v>24</v>
      </c>
      <c r="DI189" s="196">
        <f t="shared" si="125"/>
        <v>12</v>
      </c>
      <c r="DJ189" s="199">
        <f t="shared" si="126"/>
        <v>0.5</v>
      </c>
      <c r="DK189" s="265">
        <f t="shared" si="127"/>
        <v>12</v>
      </c>
      <c r="DL189" s="247">
        <v>185</v>
      </c>
      <c r="DM189">
        <f t="shared" si="149"/>
        <v>0</v>
      </c>
    </row>
    <row r="190" spans="1:117" x14ac:dyDescent="0.3">
      <c r="A190" s="249">
        <v>186</v>
      </c>
      <c r="B190" s="91" t="s">
        <v>270</v>
      </c>
      <c r="C190" s="91" t="s">
        <v>118</v>
      </c>
      <c r="D190" s="91" t="s">
        <v>119</v>
      </c>
      <c r="E190" s="91" t="s">
        <v>289</v>
      </c>
      <c r="F190" s="91" t="s">
        <v>251</v>
      </c>
      <c r="G190" s="87" t="s">
        <v>186</v>
      </c>
      <c r="H190" s="87" t="s">
        <v>187</v>
      </c>
      <c r="I190" s="87" t="s">
        <v>103</v>
      </c>
      <c r="J190" s="87" t="s">
        <v>103</v>
      </c>
      <c r="K190" s="85" t="s">
        <v>183</v>
      </c>
      <c r="L190" s="85" t="s">
        <v>424</v>
      </c>
      <c r="M190" s="87" t="s">
        <v>106</v>
      </c>
      <c r="N190" s="87" t="s">
        <v>600</v>
      </c>
      <c r="O190" s="87" t="s">
        <v>127</v>
      </c>
      <c r="P190" s="87" t="s">
        <v>620</v>
      </c>
      <c r="Q190" s="87" t="s">
        <v>129</v>
      </c>
      <c r="R190" s="130">
        <v>55</v>
      </c>
      <c r="S190" s="88" t="s">
        <v>607</v>
      </c>
      <c r="T190" s="81">
        <v>10</v>
      </c>
      <c r="U190" s="81">
        <v>21</v>
      </c>
      <c r="V190" s="25">
        <f t="shared" si="150"/>
        <v>210</v>
      </c>
      <c r="W190" s="81">
        <v>15</v>
      </c>
      <c r="X190" s="81">
        <v>45</v>
      </c>
      <c r="Y190" s="25">
        <f t="shared" si="1"/>
        <v>300</v>
      </c>
      <c r="Z190" s="81">
        <v>15</v>
      </c>
      <c r="AA190" s="81"/>
      <c r="AB190" s="25">
        <f t="shared" si="2"/>
        <v>0</v>
      </c>
      <c r="AC190" s="81">
        <v>15</v>
      </c>
      <c r="AD190" s="81"/>
      <c r="AE190" s="25">
        <f t="shared" si="3"/>
        <v>0</v>
      </c>
      <c r="AF190" s="137">
        <f t="shared" si="132"/>
        <v>55</v>
      </c>
      <c r="AG190" s="137">
        <f t="shared" si="133"/>
        <v>66</v>
      </c>
      <c r="AH190" s="128">
        <f t="shared" si="130"/>
        <v>264</v>
      </c>
      <c r="AI190" s="90">
        <v>46054</v>
      </c>
      <c r="AJ190" s="90">
        <v>46477</v>
      </c>
      <c r="AK190" s="91" t="s">
        <v>112</v>
      </c>
      <c r="AL190" s="91" t="s">
        <v>113</v>
      </c>
      <c r="AM190" s="92" t="s">
        <v>114</v>
      </c>
      <c r="AN190" s="93"/>
      <c r="AO190" s="93"/>
      <c r="AP190" s="93"/>
      <c r="AQ190" s="94"/>
      <c r="AR190" s="91" t="s">
        <v>159</v>
      </c>
      <c r="AS190" s="91" t="s">
        <v>112</v>
      </c>
      <c r="AT190" s="150" t="s">
        <v>602</v>
      </c>
      <c r="AU190" s="165" t="s">
        <v>2264</v>
      </c>
      <c r="AV190" s="232" t="s">
        <v>2234</v>
      </c>
      <c r="AW190" s="126" t="s">
        <v>2267</v>
      </c>
      <c r="BA190" s="255">
        <v>0</v>
      </c>
      <c r="BB190" s="256">
        <v>2</v>
      </c>
      <c r="BC190" s="223" t="e">
        <f t="shared" si="104"/>
        <v>#DIV/0!</v>
      </c>
      <c r="BD190" s="255">
        <v>5</v>
      </c>
      <c r="BE190" s="256">
        <v>8</v>
      </c>
      <c r="BF190" s="223">
        <f t="shared" si="105"/>
        <v>1.6</v>
      </c>
      <c r="BG190" s="255">
        <v>5</v>
      </c>
      <c r="BH190" s="256">
        <v>11</v>
      </c>
      <c r="BI190" s="223">
        <f t="shared" si="106"/>
        <v>2.2000000000000002</v>
      </c>
      <c r="BJ190" s="224">
        <f t="shared" si="107"/>
        <v>10</v>
      </c>
      <c r="BK190" s="225">
        <f t="shared" si="108"/>
        <v>21</v>
      </c>
      <c r="BL190" s="223">
        <f t="shared" si="109"/>
        <v>2.1</v>
      </c>
      <c r="BM190" s="255">
        <v>5</v>
      </c>
      <c r="BN190" s="256">
        <v>15</v>
      </c>
      <c r="BO190" s="223">
        <f t="shared" si="134"/>
        <v>3</v>
      </c>
      <c r="BP190" s="255">
        <v>5</v>
      </c>
      <c r="BQ190" s="256">
        <v>15</v>
      </c>
      <c r="BR190" s="223">
        <f t="shared" si="135"/>
        <v>3</v>
      </c>
      <c r="BS190" s="255">
        <v>5</v>
      </c>
      <c r="BT190" s="255">
        <v>15</v>
      </c>
      <c r="BU190" s="223">
        <f t="shared" si="136"/>
        <v>3</v>
      </c>
      <c r="BV190" s="224">
        <f t="shared" si="110"/>
        <v>15</v>
      </c>
      <c r="BW190" s="224">
        <f t="shared" si="111"/>
        <v>45</v>
      </c>
      <c r="BX190" s="223">
        <f t="shared" si="112"/>
        <v>3</v>
      </c>
      <c r="BY190" s="223">
        <f t="shared" si="113"/>
        <v>1.2</v>
      </c>
      <c r="BZ190" s="223">
        <f t="shared" si="114"/>
        <v>-1.2</v>
      </c>
      <c r="CA190" s="226"/>
      <c r="CB190" s="175"/>
      <c r="CC190" s="191">
        <v>5</v>
      </c>
      <c r="CD190" s="192"/>
      <c r="CE190" s="193">
        <f t="shared" si="137"/>
        <v>0</v>
      </c>
      <c r="CF190" s="191">
        <v>5</v>
      </c>
      <c r="CG190" s="192"/>
      <c r="CH190" s="193">
        <f t="shared" si="138"/>
        <v>0</v>
      </c>
      <c r="CI190" s="197"/>
      <c r="CJ190" s="198"/>
      <c r="CK190" s="193" t="e">
        <f t="shared" si="139"/>
        <v>#DIV/0!</v>
      </c>
      <c r="CL190" s="195">
        <f t="shared" si="140"/>
        <v>10</v>
      </c>
      <c r="CM190" s="194">
        <f t="shared" si="141"/>
        <v>0</v>
      </c>
      <c r="CN190" s="193">
        <f t="shared" si="142"/>
        <v>0</v>
      </c>
      <c r="CO190" s="175"/>
      <c r="CP190" s="196">
        <f t="shared" si="143"/>
        <v>35</v>
      </c>
      <c r="CQ190" s="196">
        <f t="shared" si="144"/>
        <v>66</v>
      </c>
      <c r="CR190" s="199">
        <f t="shared" si="145"/>
        <v>1.8857142857142857</v>
      </c>
      <c r="CS190" s="261">
        <f t="shared" si="115"/>
        <v>-11</v>
      </c>
      <c r="CT190" s="175"/>
      <c r="CU190" s="196">
        <f t="shared" si="116"/>
        <v>-3.3</v>
      </c>
      <c r="CV190" s="259"/>
      <c r="CW190" s="199">
        <f t="shared" si="117"/>
        <v>0</v>
      </c>
      <c r="CX190" s="196">
        <f t="shared" si="118"/>
        <v>-3.3</v>
      </c>
      <c r="CY190" s="259"/>
      <c r="CZ190" s="199">
        <f t="shared" si="119"/>
        <v>0</v>
      </c>
      <c r="DA190" s="196">
        <f t="shared" si="120"/>
        <v>-3.3</v>
      </c>
      <c r="DB190" s="259"/>
      <c r="DC190" s="199">
        <f t="shared" si="121"/>
        <v>0</v>
      </c>
      <c r="DD190" s="196">
        <f t="shared" si="122"/>
        <v>-1.1000000000000001</v>
      </c>
      <c r="DE190" s="259"/>
      <c r="DF190" s="199">
        <f t="shared" si="123"/>
        <v>0</v>
      </c>
      <c r="DG190" s="175"/>
      <c r="DH190" s="196">
        <f t="shared" si="124"/>
        <v>55</v>
      </c>
      <c r="DI190" s="196">
        <f t="shared" si="125"/>
        <v>66</v>
      </c>
      <c r="DJ190" s="199">
        <f t="shared" si="126"/>
        <v>1.2</v>
      </c>
      <c r="DK190" s="265">
        <f t="shared" si="127"/>
        <v>-11</v>
      </c>
      <c r="DL190" s="247">
        <v>186</v>
      </c>
      <c r="DM190">
        <f t="shared" si="149"/>
        <v>0</v>
      </c>
    </row>
    <row r="191" spans="1:117" x14ac:dyDescent="0.3">
      <c r="A191" s="81">
        <v>187</v>
      </c>
      <c r="B191" s="91" t="s">
        <v>270</v>
      </c>
      <c r="C191" s="91" t="s">
        <v>118</v>
      </c>
      <c r="D191" s="91" t="s">
        <v>119</v>
      </c>
      <c r="E191" s="91" t="s">
        <v>155</v>
      </c>
      <c r="F191" s="91" t="s">
        <v>598</v>
      </c>
      <c r="G191" s="87" t="s">
        <v>186</v>
      </c>
      <c r="H191" s="87" t="s">
        <v>187</v>
      </c>
      <c r="I191" s="87" t="s">
        <v>621</v>
      </c>
      <c r="J191" s="87" t="s">
        <v>621</v>
      </c>
      <c r="K191" s="85" t="s">
        <v>104</v>
      </c>
      <c r="L191" s="85" t="s">
        <v>105</v>
      </c>
      <c r="M191" s="87" t="s">
        <v>106</v>
      </c>
      <c r="N191" s="87" t="s">
        <v>622</v>
      </c>
      <c r="O191" s="87" t="s">
        <v>127</v>
      </c>
      <c r="P191" s="87" t="s">
        <v>623</v>
      </c>
      <c r="Q191" s="87" t="s">
        <v>129</v>
      </c>
      <c r="R191" s="130">
        <v>100</v>
      </c>
      <c r="S191" s="88" t="s">
        <v>158</v>
      </c>
      <c r="T191" s="81">
        <v>0</v>
      </c>
      <c r="U191" s="81"/>
      <c r="V191" s="25" t="e">
        <f t="shared" si="150"/>
        <v>#DIV/0!</v>
      </c>
      <c r="W191" s="81">
        <v>1</v>
      </c>
      <c r="X191" s="81"/>
      <c r="Y191" s="25">
        <f t="shared" si="1"/>
        <v>0</v>
      </c>
      <c r="Z191" s="81">
        <v>2</v>
      </c>
      <c r="AA191" s="81"/>
      <c r="AB191" s="25">
        <f t="shared" si="2"/>
        <v>0</v>
      </c>
      <c r="AC191" s="81">
        <v>2</v>
      </c>
      <c r="AD191" s="81"/>
      <c r="AE191" s="25">
        <f t="shared" si="3"/>
        <v>0</v>
      </c>
      <c r="AF191" s="137">
        <f t="shared" si="132"/>
        <v>100</v>
      </c>
      <c r="AG191" s="137">
        <f t="shared" si="133"/>
        <v>0</v>
      </c>
      <c r="AH191" s="128">
        <f t="shared" si="130"/>
        <v>0</v>
      </c>
      <c r="AI191" s="90">
        <v>46113</v>
      </c>
      <c r="AJ191" s="90">
        <v>46477</v>
      </c>
      <c r="AK191" s="91" t="s">
        <v>112</v>
      </c>
      <c r="AL191" s="91" t="s">
        <v>113</v>
      </c>
      <c r="AM191" s="92" t="s">
        <v>114</v>
      </c>
      <c r="AN191" s="93">
        <v>25000000</v>
      </c>
      <c r="AO191" s="93">
        <v>25000000</v>
      </c>
      <c r="AP191" s="93">
        <v>25000000</v>
      </c>
      <c r="AQ191" s="94">
        <v>0</v>
      </c>
      <c r="AR191" s="91" t="s">
        <v>159</v>
      </c>
      <c r="AS191" s="91" t="s">
        <v>112</v>
      </c>
      <c r="AT191" s="150"/>
      <c r="AU191" s="91"/>
      <c r="AV191" s="126" t="s">
        <v>2234</v>
      </c>
      <c r="AW191" s="167" t="s">
        <v>2266</v>
      </c>
      <c r="AX191" s="167"/>
      <c r="AY191" s="257"/>
      <c r="AZ191" s="254" t="s">
        <v>2359</v>
      </c>
      <c r="BA191" s="255"/>
      <c r="BB191" s="256"/>
      <c r="BC191" s="223" t="e">
        <f t="shared" si="104"/>
        <v>#DIV/0!</v>
      </c>
      <c r="BD191" s="255"/>
      <c r="BE191" s="256"/>
      <c r="BF191" s="223" t="e">
        <f t="shared" si="105"/>
        <v>#DIV/0!</v>
      </c>
      <c r="BG191" s="255"/>
      <c r="BH191" s="256"/>
      <c r="BI191" s="223" t="e">
        <f t="shared" si="106"/>
        <v>#DIV/0!</v>
      </c>
      <c r="BJ191" s="224">
        <f t="shared" si="107"/>
        <v>0</v>
      </c>
      <c r="BK191" s="225">
        <f t="shared" si="108"/>
        <v>0</v>
      </c>
      <c r="BL191" s="223" t="e">
        <f t="shared" si="109"/>
        <v>#DIV/0!</v>
      </c>
      <c r="BM191" s="255"/>
      <c r="BN191" s="256"/>
      <c r="BO191" s="223" t="e">
        <f t="shared" si="134"/>
        <v>#DIV/0!</v>
      </c>
      <c r="BP191" s="255"/>
      <c r="BQ191" s="256"/>
      <c r="BR191" s="223" t="e">
        <f t="shared" si="135"/>
        <v>#DIV/0!</v>
      </c>
      <c r="BS191" s="255"/>
      <c r="BT191" s="255"/>
      <c r="BU191" s="223" t="e">
        <f t="shared" si="136"/>
        <v>#DIV/0!</v>
      </c>
      <c r="BV191" s="224">
        <f t="shared" si="110"/>
        <v>0</v>
      </c>
      <c r="BW191" s="224">
        <f t="shared" si="111"/>
        <v>0</v>
      </c>
      <c r="BX191" s="223" t="e">
        <f t="shared" si="112"/>
        <v>#DIV/0!</v>
      </c>
      <c r="BY191" s="223">
        <f t="shared" si="113"/>
        <v>0</v>
      </c>
      <c r="BZ191" s="223">
        <f t="shared" si="114"/>
        <v>0</v>
      </c>
      <c r="CA191" s="226"/>
      <c r="CB191" s="175"/>
      <c r="CC191" s="191"/>
      <c r="CD191" s="192"/>
      <c r="CE191" s="193" t="e">
        <f t="shared" si="137"/>
        <v>#DIV/0!</v>
      </c>
      <c r="CF191" s="191"/>
      <c r="CG191" s="192"/>
      <c r="CH191" s="193" t="e">
        <f t="shared" si="138"/>
        <v>#DIV/0!</v>
      </c>
      <c r="CI191" s="197"/>
      <c r="CJ191" s="198"/>
      <c r="CK191" s="193" t="e">
        <f t="shared" si="139"/>
        <v>#DIV/0!</v>
      </c>
      <c r="CL191" s="195">
        <f t="shared" si="140"/>
        <v>0</v>
      </c>
      <c r="CM191" s="194">
        <f t="shared" si="141"/>
        <v>0</v>
      </c>
      <c r="CN191" s="193" t="e">
        <f t="shared" si="142"/>
        <v>#DIV/0!</v>
      </c>
      <c r="CO191" s="175"/>
      <c r="CP191" s="196">
        <f t="shared" si="143"/>
        <v>0</v>
      </c>
      <c r="CQ191" s="196">
        <f t="shared" si="144"/>
        <v>0</v>
      </c>
      <c r="CR191" s="199" t="e">
        <f t="shared" si="145"/>
        <v>#DIV/0!</v>
      </c>
      <c r="CS191" s="261">
        <f t="shared" si="115"/>
        <v>100</v>
      </c>
      <c r="CT191" s="175"/>
      <c r="CU191" s="196">
        <f t="shared" si="116"/>
        <v>30</v>
      </c>
      <c r="CV191" s="259"/>
      <c r="CW191" s="199">
        <f t="shared" si="117"/>
        <v>0</v>
      </c>
      <c r="CX191" s="196">
        <f t="shared" si="118"/>
        <v>30</v>
      </c>
      <c r="CY191" s="259"/>
      <c r="CZ191" s="199">
        <f t="shared" si="119"/>
        <v>0</v>
      </c>
      <c r="DA191" s="196">
        <f t="shared" si="120"/>
        <v>30</v>
      </c>
      <c r="DB191" s="259"/>
      <c r="DC191" s="199">
        <f t="shared" si="121"/>
        <v>0</v>
      </c>
      <c r="DD191" s="196">
        <f t="shared" si="122"/>
        <v>10</v>
      </c>
      <c r="DE191" s="259"/>
      <c r="DF191" s="199">
        <f t="shared" si="123"/>
        <v>0</v>
      </c>
      <c r="DG191" s="175"/>
      <c r="DH191" s="196">
        <f t="shared" si="124"/>
        <v>100</v>
      </c>
      <c r="DI191" s="196">
        <f t="shared" si="125"/>
        <v>0</v>
      </c>
      <c r="DJ191" s="199">
        <f t="shared" si="126"/>
        <v>0</v>
      </c>
      <c r="DK191" s="265">
        <f t="shared" si="127"/>
        <v>100</v>
      </c>
      <c r="DM191">
        <f t="shared" si="149"/>
        <v>187</v>
      </c>
    </row>
    <row r="192" spans="1:117" x14ac:dyDescent="0.3">
      <c r="A192" s="81">
        <v>188</v>
      </c>
      <c r="B192" s="91" t="s">
        <v>270</v>
      </c>
      <c r="C192" s="91" t="s">
        <v>118</v>
      </c>
      <c r="D192" s="91" t="s">
        <v>119</v>
      </c>
      <c r="E192" s="91" t="s">
        <v>155</v>
      </c>
      <c r="F192" s="91" t="s">
        <v>598</v>
      </c>
      <c r="G192" s="87" t="s">
        <v>186</v>
      </c>
      <c r="H192" s="87" t="s">
        <v>187</v>
      </c>
      <c r="I192" s="87" t="s">
        <v>592</v>
      </c>
      <c r="J192" s="87" t="s">
        <v>592</v>
      </c>
      <c r="K192" s="85" t="s">
        <v>104</v>
      </c>
      <c r="L192" s="85" t="s">
        <v>105</v>
      </c>
      <c r="M192" s="87" t="s">
        <v>106</v>
      </c>
      <c r="N192" s="87" t="s">
        <v>622</v>
      </c>
      <c r="O192" s="87" t="s">
        <v>127</v>
      </c>
      <c r="P192" s="87" t="s">
        <v>624</v>
      </c>
      <c r="Q192" s="87" t="s">
        <v>129</v>
      </c>
      <c r="R192" s="130">
        <v>100</v>
      </c>
      <c r="S192" s="88" t="s">
        <v>158</v>
      </c>
      <c r="T192" s="81">
        <v>0</v>
      </c>
      <c r="U192" s="81"/>
      <c r="V192" s="25" t="e">
        <f t="shared" si="150"/>
        <v>#DIV/0!</v>
      </c>
      <c r="W192" s="81">
        <v>1</v>
      </c>
      <c r="X192" s="81"/>
      <c r="Y192" s="25">
        <f t="shared" si="1"/>
        <v>0</v>
      </c>
      <c r="Z192" s="81">
        <v>2</v>
      </c>
      <c r="AA192" s="81"/>
      <c r="AB192" s="25">
        <f t="shared" si="2"/>
        <v>0</v>
      </c>
      <c r="AC192" s="81">
        <v>1</v>
      </c>
      <c r="AD192" s="81"/>
      <c r="AE192" s="25">
        <f t="shared" si="3"/>
        <v>0</v>
      </c>
      <c r="AF192" s="137">
        <f t="shared" si="132"/>
        <v>100</v>
      </c>
      <c r="AG192" s="137">
        <f t="shared" si="133"/>
        <v>0</v>
      </c>
      <c r="AH192" s="128">
        <f t="shared" si="130"/>
        <v>0</v>
      </c>
      <c r="AI192" s="90">
        <v>46113</v>
      </c>
      <c r="AJ192" s="90">
        <v>46477</v>
      </c>
      <c r="AK192" s="91" t="s">
        <v>112</v>
      </c>
      <c r="AL192" s="91" t="s">
        <v>113</v>
      </c>
      <c r="AM192" s="92" t="s">
        <v>114</v>
      </c>
      <c r="AN192" s="93">
        <v>70000000</v>
      </c>
      <c r="AO192" s="93">
        <v>70000000</v>
      </c>
      <c r="AP192" s="93">
        <v>70000000</v>
      </c>
      <c r="AQ192" s="94">
        <v>0</v>
      </c>
      <c r="AR192" s="91" t="s">
        <v>191</v>
      </c>
      <c r="AS192" s="91" t="s">
        <v>112</v>
      </c>
      <c r="AT192" s="150"/>
      <c r="AU192" s="91"/>
      <c r="AV192" s="126" t="s">
        <v>2234</v>
      </c>
      <c r="AW192" s="167" t="s">
        <v>2266</v>
      </c>
      <c r="AX192" s="167"/>
      <c r="AY192" s="257"/>
      <c r="AZ192" s="254" t="s">
        <v>2359</v>
      </c>
      <c r="BA192" s="255"/>
      <c r="BB192" s="256"/>
      <c r="BC192" s="223" t="e">
        <f t="shared" si="104"/>
        <v>#DIV/0!</v>
      </c>
      <c r="BD192" s="255"/>
      <c r="BE192" s="256"/>
      <c r="BF192" s="223" t="e">
        <f t="shared" si="105"/>
        <v>#DIV/0!</v>
      </c>
      <c r="BG192" s="255"/>
      <c r="BH192" s="256"/>
      <c r="BI192" s="223" t="e">
        <f t="shared" si="106"/>
        <v>#DIV/0!</v>
      </c>
      <c r="BJ192" s="224">
        <f t="shared" si="107"/>
        <v>0</v>
      </c>
      <c r="BK192" s="225">
        <f t="shared" si="108"/>
        <v>0</v>
      </c>
      <c r="BL192" s="223" t="e">
        <f t="shared" si="109"/>
        <v>#DIV/0!</v>
      </c>
      <c r="BM192" s="255"/>
      <c r="BN192" s="256"/>
      <c r="BO192" s="223" t="e">
        <f t="shared" si="134"/>
        <v>#DIV/0!</v>
      </c>
      <c r="BP192" s="255"/>
      <c r="BQ192" s="256"/>
      <c r="BR192" s="223" t="e">
        <f t="shared" si="135"/>
        <v>#DIV/0!</v>
      </c>
      <c r="BS192" s="255"/>
      <c r="BT192" s="255"/>
      <c r="BU192" s="223" t="e">
        <f t="shared" si="136"/>
        <v>#DIV/0!</v>
      </c>
      <c r="BV192" s="224">
        <f t="shared" si="110"/>
        <v>0</v>
      </c>
      <c r="BW192" s="224">
        <f t="shared" si="111"/>
        <v>0</v>
      </c>
      <c r="BX192" s="223" t="e">
        <f t="shared" si="112"/>
        <v>#DIV/0!</v>
      </c>
      <c r="BY192" s="223">
        <f t="shared" si="113"/>
        <v>0</v>
      </c>
      <c r="BZ192" s="223">
        <f t="shared" si="114"/>
        <v>0</v>
      </c>
      <c r="CA192" s="226"/>
      <c r="CB192" s="175"/>
      <c r="CC192" s="191"/>
      <c r="CD192" s="192"/>
      <c r="CE192" s="193" t="e">
        <f t="shared" si="137"/>
        <v>#DIV/0!</v>
      </c>
      <c r="CF192" s="191"/>
      <c r="CG192" s="192"/>
      <c r="CH192" s="193" t="e">
        <f t="shared" si="138"/>
        <v>#DIV/0!</v>
      </c>
      <c r="CI192" s="197"/>
      <c r="CJ192" s="198"/>
      <c r="CK192" s="193" t="e">
        <f t="shared" si="139"/>
        <v>#DIV/0!</v>
      </c>
      <c r="CL192" s="195">
        <f t="shared" si="140"/>
        <v>0</v>
      </c>
      <c r="CM192" s="194">
        <f t="shared" si="141"/>
        <v>0</v>
      </c>
      <c r="CN192" s="193" t="e">
        <f t="shared" si="142"/>
        <v>#DIV/0!</v>
      </c>
      <c r="CO192" s="175"/>
      <c r="CP192" s="196">
        <f t="shared" si="143"/>
        <v>0</v>
      </c>
      <c r="CQ192" s="196">
        <f t="shared" si="144"/>
        <v>0</v>
      </c>
      <c r="CR192" s="199" t="e">
        <f t="shared" si="145"/>
        <v>#DIV/0!</v>
      </c>
      <c r="CS192" s="261">
        <f t="shared" si="115"/>
        <v>100</v>
      </c>
      <c r="CT192" s="175"/>
      <c r="CU192" s="196">
        <f t="shared" si="116"/>
        <v>30</v>
      </c>
      <c r="CV192" s="259"/>
      <c r="CW192" s="199">
        <f t="shared" si="117"/>
        <v>0</v>
      </c>
      <c r="CX192" s="196">
        <f t="shared" si="118"/>
        <v>30</v>
      </c>
      <c r="CY192" s="259"/>
      <c r="CZ192" s="199">
        <f t="shared" si="119"/>
        <v>0</v>
      </c>
      <c r="DA192" s="196">
        <f t="shared" si="120"/>
        <v>30</v>
      </c>
      <c r="DB192" s="259"/>
      <c r="DC192" s="199">
        <f t="shared" si="121"/>
        <v>0</v>
      </c>
      <c r="DD192" s="196">
        <f t="shared" si="122"/>
        <v>10</v>
      </c>
      <c r="DE192" s="259"/>
      <c r="DF192" s="199">
        <f t="shared" si="123"/>
        <v>0</v>
      </c>
      <c r="DG192" s="175"/>
      <c r="DH192" s="196">
        <f t="shared" si="124"/>
        <v>100</v>
      </c>
      <c r="DI192" s="196">
        <f t="shared" si="125"/>
        <v>0</v>
      </c>
      <c r="DJ192" s="199">
        <f t="shared" si="126"/>
        <v>0</v>
      </c>
      <c r="DK192" s="265">
        <f t="shared" si="127"/>
        <v>100</v>
      </c>
      <c r="DM192">
        <f t="shared" si="149"/>
        <v>188</v>
      </c>
    </row>
    <row r="193" spans="1:117" x14ac:dyDescent="0.3">
      <c r="A193" s="81">
        <v>189</v>
      </c>
      <c r="B193" s="91" t="s">
        <v>270</v>
      </c>
      <c r="C193" s="91" t="s">
        <v>118</v>
      </c>
      <c r="D193" s="91" t="s">
        <v>119</v>
      </c>
      <c r="E193" s="91" t="s">
        <v>155</v>
      </c>
      <c r="F193" s="91" t="s">
        <v>598</v>
      </c>
      <c r="G193" s="87" t="s">
        <v>186</v>
      </c>
      <c r="H193" s="87" t="s">
        <v>187</v>
      </c>
      <c r="I193" s="87" t="s">
        <v>592</v>
      </c>
      <c r="J193" s="87" t="s">
        <v>592</v>
      </c>
      <c r="K193" s="85" t="s">
        <v>104</v>
      </c>
      <c r="L193" s="85" t="s">
        <v>105</v>
      </c>
      <c r="M193" s="87" t="s">
        <v>106</v>
      </c>
      <c r="N193" s="87" t="s">
        <v>622</v>
      </c>
      <c r="O193" s="87" t="s">
        <v>127</v>
      </c>
      <c r="P193" s="87" t="s">
        <v>625</v>
      </c>
      <c r="Q193" s="87" t="s">
        <v>129</v>
      </c>
      <c r="R193" s="130">
        <v>5</v>
      </c>
      <c r="S193" s="88" t="s">
        <v>111</v>
      </c>
      <c r="T193" s="81">
        <v>6</v>
      </c>
      <c r="U193" s="81"/>
      <c r="V193" s="25">
        <f t="shared" si="150"/>
        <v>0</v>
      </c>
      <c r="W193" s="81">
        <v>6</v>
      </c>
      <c r="X193" s="81"/>
      <c r="Y193" s="25">
        <f t="shared" si="1"/>
        <v>0</v>
      </c>
      <c r="Z193" s="81">
        <v>6</v>
      </c>
      <c r="AA193" s="81"/>
      <c r="AB193" s="25">
        <f t="shared" si="2"/>
        <v>0</v>
      </c>
      <c r="AC193" s="81">
        <v>6</v>
      </c>
      <c r="AD193" s="81"/>
      <c r="AE193" s="25">
        <f t="shared" si="3"/>
        <v>0</v>
      </c>
      <c r="AF193" s="137">
        <f t="shared" si="132"/>
        <v>5</v>
      </c>
      <c r="AG193" s="137">
        <f t="shared" si="133"/>
        <v>0</v>
      </c>
      <c r="AH193" s="128">
        <f t="shared" si="130"/>
        <v>0</v>
      </c>
      <c r="AI193" s="90">
        <v>46113</v>
      </c>
      <c r="AJ193" s="90">
        <v>46477</v>
      </c>
      <c r="AK193" s="91" t="s">
        <v>112</v>
      </c>
      <c r="AL193" s="91" t="s">
        <v>113</v>
      </c>
      <c r="AM193" s="92" t="s">
        <v>114</v>
      </c>
      <c r="AN193" s="93">
        <v>110000000</v>
      </c>
      <c r="AO193" s="93">
        <v>110000000</v>
      </c>
      <c r="AP193" s="93">
        <v>110000000</v>
      </c>
      <c r="AQ193" s="94">
        <v>0</v>
      </c>
      <c r="AR193" s="91" t="s">
        <v>159</v>
      </c>
      <c r="AS193" s="91" t="s">
        <v>112</v>
      </c>
      <c r="AT193" s="150"/>
      <c r="AU193" s="91"/>
      <c r="AV193" s="126" t="s">
        <v>2234</v>
      </c>
      <c r="AW193" s="167"/>
      <c r="AX193" s="167"/>
      <c r="AY193" s="257"/>
      <c r="AZ193" s="254" t="s">
        <v>2359</v>
      </c>
      <c r="BA193" s="255"/>
      <c r="BB193" s="256"/>
      <c r="BC193" s="223" t="e">
        <f t="shared" si="104"/>
        <v>#DIV/0!</v>
      </c>
      <c r="BD193" s="255"/>
      <c r="BE193" s="256"/>
      <c r="BF193" s="223" t="e">
        <f t="shared" si="105"/>
        <v>#DIV/0!</v>
      </c>
      <c r="BG193" s="255"/>
      <c r="BH193" s="256"/>
      <c r="BI193" s="223" t="e">
        <f t="shared" si="106"/>
        <v>#DIV/0!</v>
      </c>
      <c r="BJ193" s="224">
        <f t="shared" si="107"/>
        <v>0</v>
      </c>
      <c r="BK193" s="225">
        <f t="shared" si="108"/>
        <v>0</v>
      </c>
      <c r="BL193" s="223" t="e">
        <f t="shared" si="109"/>
        <v>#DIV/0!</v>
      </c>
      <c r="BM193" s="255"/>
      <c r="BN193" s="256"/>
      <c r="BO193" s="223" t="e">
        <f t="shared" si="134"/>
        <v>#DIV/0!</v>
      </c>
      <c r="BP193" s="255"/>
      <c r="BQ193" s="256"/>
      <c r="BR193" s="223" t="e">
        <f t="shared" si="135"/>
        <v>#DIV/0!</v>
      </c>
      <c r="BS193" s="255"/>
      <c r="BT193" s="255"/>
      <c r="BU193" s="223" t="e">
        <f t="shared" si="136"/>
        <v>#DIV/0!</v>
      </c>
      <c r="BV193" s="224">
        <f t="shared" si="110"/>
        <v>0</v>
      </c>
      <c r="BW193" s="224">
        <f t="shared" si="111"/>
        <v>0</v>
      </c>
      <c r="BX193" s="223" t="e">
        <f t="shared" si="112"/>
        <v>#DIV/0!</v>
      </c>
      <c r="BY193" s="223">
        <f t="shared" si="113"/>
        <v>0</v>
      </c>
      <c r="BZ193" s="223">
        <f t="shared" si="114"/>
        <v>0</v>
      </c>
      <c r="CA193" s="226"/>
      <c r="CB193" s="175"/>
      <c r="CC193" s="191"/>
      <c r="CD193" s="192"/>
      <c r="CE193" s="193" t="e">
        <f t="shared" si="137"/>
        <v>#DIV/0!</v>
      </c>
      <c r="CF193" s="191"/>
      <c r="CG193" s="192"/>
      <c r="CH193" s="193" t="e">
        <f t="shared" si="138"/>
        <v>#DIV/0!</v>
      </c>
      <c r="CI193" s="197"/>
      <c r="CJ193" s="198"/>
      <c r="CK193" s="193" t="e">
        <f t="shared" si="139"/>
        <v>#DIV/0!</v>
      </c>
      <c r="CL193" s="195">
        <f t="shared" si="140"/>
        <v>0</v>
      </c>
      <c r="CM193" s="194">
        <f t="shared" si="141"/>
        <v>0</v>
      </c>
      <c r="CN193" s="193" t="e">
        <f t="shared" si="142"/>
        <v>#DIV/0!</v>
      </c>
      <c r="CO193" s="175"/>
      <c r="CP193" s="196">
        <f t="shared" si="143"/>
        <v>0</v>
      </c>
      <c r="CQ193" s="196">
        <f t="shared" si="144"/>
        <v>0</v>
      </c>
      <c r="CR193" s="199" t="e">
        <f t="shared" si="145"/>
        <v>#DIV/0!</v>
      </c>
      <c r="CS193" s="261">
        <f t="shared" si="115"/>
        <v>5</v>
      </c>
      <c r="CT193" s="175"/>
      <c r="CU193" s="196">
        <f t="shared" si="116"/>
        <v>1.5</v>
      </c>
      <c r="CV193" s="259"/>
      <c r="CW193" s="199">
        <f t="shared" si="117"/>
        <v>0</v>
      </c>
      <c r="CX193" s="196">
        <f t="shared" si="118"/>
        <v>1.5</v>
      </c>
      <c r="CY193" s="259"/>
      <c r="CZ193" s="199">
        <f t="shared" si="119"/>
        <v>0</v>
      </c>
      <c r="DA193" s="196">
        <f t="shared" si="120"/>
        <v>1.5</v>
      </c>
      <c r="DB193" s="259"/>
      <c r="DC193" s="199">
        <f t="shared" si="121"/>
        <v>0</v>
      </c>
      <c r="DD193" s="196">
        <f t="shared" si="122"/>
        <v>0.5</v>
      </c>
      <c r="DE193" s="259"/>
      <c r="DF193" s="199">
        <f t="shared" si="123"/>
        <v>0</v>
      </c>
      <c r="DG193" s="175"/>
      <c r="DH193" s="196">
        <f t="shared" si="124"/>
        <v>5</v>
      </c>
      <c r="DI193" s="196">
        <f t="shared" si="125"/>
        <v>0</v>
      </c>
      <c r="DJ193" s="199">
        <f t="shared" si="126"/>
        <v>0</v>
      </c>
      <c r="DK193" s="265">
        <f t="shared" si="127"/>
        <v>5</v>
      </c>
      <c r="DM193">
        <f t="shared" si="149"/>
        <v>189</v>
      </c>
    </row>
    <row r="194" spans="1:117" x14ac:dyDescent="0.3">
      <c r="A194" s="81">
        <v>190</v>
      </c>
      <c r="B194" s="91" t="s">
        <v>270</v>
      </c>
      <c r="C194" s="91" t="s">
        <v>118</v>
      </c>
      <c r="D194" s="91" t="s">
        <v>119</v>
      </c>
      <c r="E194" s="91" t="s">
        <v>155</v>
      </c>
      <c r="F194" s="91" t="s">
        <v>598</v>
      </c>
      <c r="G194" s="87" t="s">
        <v>186</v>
      </c>
      <c r="H194" s="87" t="s">
        <v>187</v>
      </c>
      <c r="I194" s="87" t="s">
        <v>103</v>
      </c>
      <c r="J194" s="87" t="s">
        <v>103</v>
      </c>
      <c r="K194" s="85" t="s">
        <v>104</v>
      </c>
      <c r="L194" s="85" t="s">
        <v>105</v>
      </c>
      <c r="M194" s="87" t="s">
        <v>106</v>
      </c>
      <c r="N194" s="87" t="s">
        <v>622</v>
      </c>
      <c r="O194" s="87" t="s">
        <v>127</v>
      </c>
      <c r="P194" s="87" t="s">
        <v>626</v>
      </c>
      <c r="Q194" s="87" t="s">
        <v>129</v>
      </c>
      <c r="R194" s="130">
        <v>4</v>
      </c>
      <c r="S194" s="88" t="s">
        <v>111</v>
      </c>
      <c r="T194" s="81">
        <v>10</v>
      </c>
      <c r="U194" s="81"/>
      <c r="V194" s="25">
        <f t="shared" si="150"/>
        <v>0</v>
      </c>
      <c r="W194" s="81">
        <v>15</v>
      </c>
      <c r="X194" s="81"/>
      <c r="Y194" s="25">
        <f t="shared" si="1"/>
        <v>0</v>
      </c>
      <c r="Z194" s="81">
        <v>15</v>
      </c>
      <c r="AA194" s="81"/>
      <c r="AB194" s="25">
        <f t="shared" si="2"/>
        <v>0</v>
      </c>
      <c r="AC194" s="81">
        <v>15</v>
      </c>
      <c r="AD194" s="81"/>
      <c r="AE194" s="25">
        <f t="shared" si="3"/>
        <v>0</v>
      </c>
      <c r="AF194" s="137">
        <f t="shared" si="132"/>
        <v>4</v>
      </c>
      <c r="AG194" s="137">
        <f t="shared" si="133"/>
        <v>0</v>
      </c>
      <c r="AH194" s="128">
        <f t="shared" si="130"/>
        <v>0</v>
      </c>
      <c r="AI194" s="90">
        <v>46054</v>
      </c>
      <c r="AJ194" s="90">
        <v>46477</v>
      </c>
      <c r="AK194" s="91" t="s">
        <v>112</v>
      </c>
      <c r="AL194" s="91" t="s">
        <v>113</v>
      </c>
      <c r="AM194" s="92" t="s">
        <v>114</v>
      </c>
      <c r="AN194" s="93">
        <v>80000000</v>
      </c>
      <c r="AO194" s="93">
        <v>80000000</v>
      </c>
      <c r="AP194" s="93">
        <v>80000000</v>
      </c>
      <c r="AQ194" s="94">
        <v>0</v>
      </c>
      <c r="AR194" s="91" t="s">
        <v>159</v>
      </c>
      <c r="AS194" s="91" t="s">
        <v>112</v>
      </c>
      <c r="AT194" s="150"/>
      <c r="AU194" s="91"/>
      <c r="AV194" s="126" t="s">
        <v>2234</v>
      </c>
      <c r="AW194" s="167"/>
      <c r="AX194" s="167"/>
      <c r="AY194" s="257"/>
      <c r="AZ194" s="254" t="s">
        <v>2359</v>
      </c>
      <c r="BA194" s="255"/>
      <c r="BB194" s="256"/>
      <c r="BC194" s="223" t="e">
        <f t="shared" si="104"/>
        <v>#DIV/0!</v>
      </c>
      <c r="BD194" s="255"/>
      <c r="BE194" s="256"/>
      <c r="BF194" s="223" t="e">
        <f t="shared" si="105"/>
        <v>#DIV/0!</v>
      </c>
      <c r="BG194" s="255"/>
      <c r="BH194" s="256"/>
      <c r="BI194" s="223" t="e">
        <f t="shared" si="106"/>
        <v>#DIV/0!</v>
      </c>
      <c r="BJ194" s="224">
        <f t="shared" si="107"/>
        <v>0</v>
      </c>
      <c r="BK194" s="225">
        <f t="shared" si="108"/>
        <v>0</v>
      </c>
      <c r="BL194" s="223" t="e">
        <f t="shared" si="109"/>
        <v>#DIV/0!</v>
      </c>
      <c r="BM194" s="255"/>
      <c r="BN194" s="256"/>
      <c r="BO194" s="223" t="e">
        <f t="shared" si="134"/>
        <v>#DIV/0!</v>
      </c>
      <c r="BP194" s="255"/>
      <c r="BQ194" s="256"/>
      <c r="BR194" s="223" t="e">
        <f t="shared" si="135"/>
        <v>#DIV/0!</v>
      </c>
      <c r="BS194" s="255"/>
      <c r="BT194" s="255"/>
      <c r="BU194" s="223" t="e">
        <f t="shared" si="136"/>
        <v>#DIV/0!</v>
      </c>
      <c r="BV194" s="224">
        <f t="shared" si="110"/>
        <v>0</v>
      </c>
      <c r="BW194" s="224">
        <f t="shared" si="111"/>
        <v>0</v>
      </c>
      <c r="BX194" s="223" t="e">
        <f t="shared" si="112"/>
        <v>#DIV/0!</v>
      </c>
      <c r="BY194" s="223">
        <f t="shared" si="113"/>
        <v>0</v>
      </c>
      <c r="BZ194" s="223">
        <f t="shared" si="114"/>
        <v>0</v>
      </c>
      <c r="CA194" s="226"/>
      <c r="CB194" s="175"/>
      <c r="CC194" s="191"/>
      <c r="CD194" s="192"/>
      <c r="CE194" s="193" t="e">
        <f t="shared" si="137"/>
        <v>#DIV/0!</v>
      </c>
      <c r="CF194" s="191"/>
      <c r="CG194" s="192"/>
      <c r="CH194" s="193" t="e">
        <f t="shared" si="138"/>
        <v>#DIV/0!</v>
      </c>
      <c r="CI194" s="197"/>
      <c r="CJ194" s="198"/>
      <c r="CK194" s="193" t="e">
        <f t="shared" si="139"/>
        <v>#DIV/0!</v>
      </c>
      <c r="CL194" s="195">
        <f t="shared" si="140"/>
        <v>0</v>
      </c>
      <c r="CM194" s="194">
        <f t="shared" si="141"/>
        <v>0</v>
      </c>
      <c r="CN194" s="193" t="e">
        <f t="shared" si="142"/>
        <v>#DIV/0!</v>
      </c>
      <c r="CO194" s="175"/>
      <c r="CP194" s="196">
        <f t="shared" si="143"/>
        <v>0</v>
      </c>
      <c r="CQ194" s="196">
        <f t="shared" si="144"/>
        <v>0</v>
      </c>
      <c r="CR194" s="199" t="e">
        <f t="shared" si="145"/>
        <v>#DIV/0!</v>
      </c>
      <c r="CS194" s="261">
        <f t="shared" si="115"/>
        <v>4</v>
      </c>
      <c r="CT194" s="175"/>
      <c r="CU194" s="196">
        <f t="shared" si="116"/>
        <v>1.2</v>
      </c>
      <c r="CV194" s="259"/>
      <c r="CW194" s="199">
        <f t="shared" si="117"/>
        <v>0</v>
      </c>
      <c r="CX194" s="196">
        <f t="shared" si="118"/>
        <v>1.2</v>
      </c>
      <c r="CY194" s="259"/>
      <c r="CZ194" s="199">
        <f t="shared" si="119"/>
        <v>0</v>
      </c>
      <c r="DA194" s="196">
        <f t="shared" si="120"/>
        <v>1.2</v>
      </c>
      <c r="DB194" s="259"/>
      <c r="DC194" s="199">
        <f t="shared" si="121"/>
        <v>0</v>
      </c>
      <c r="DD194" s="196">
        <f t="shared" si="122"/>
        <v>0.4</v>
      </c>
      <c r="DE194" s="259"/>
      <c r="DF194" s="199">
        <f t="shared" si="123"/>
        <v>0</v>
      </c>
      <c r="DG194" s="175"/>
      <c r="DH194" s="196">
        <f t="shared" si="124"/>
        <v>4</v>
      </c>
      <c r="DI194" s="196">
        <f t="shared" si="125"/>
        <v>0</v>
      </c>
      <c r="DJ194" s="199">
        <f t="shared" si="126"/>
        <v>0</v>
      </c>
      <c r="DK194" s="265">
        <f t="shared" si="127"/>
        <v>4</v>
      </c>
      <c r="DM194">
        <f t="shared" si="149"/>
        <v>190</v>
      </c>
    </row>
    <row r="195" spans="1:117" x14ac:dyDescent="0.3">
      <c r="A195" s="250">
        <v>191</v>
      </c>
      <c r="B195" s="91" t="s">
        <v>270</v>
      </c>
      <c r="C195" s="91" t="s">
        <v>118</v>
      </c>
      <c r="D195" s="91" t="s">
        <v>119</v>
      </c>
      <c r="E195" s="91" t="s">
        <v>155</v>
      </c>
      <c r="F195" s="91" t="s">
        <v>598</v>
      </c>
      <c r="G195" s="87" t="s">
        <v>186</v>
      </c>
      <c r="H195" s="87" t="s">
        <v>187</v>
      </c>
      <c r="I195" s="87" t="s">
        <v>103</v>
      </c>
      <c r="J195" s="87" t="s">
        <v>103</v>
      </c>
      <c r="K195" s="85" t="s">
        <v>104</v>
      </c>
      <c r="L195" s="85" t="s">
        <v>105</v>
      </c>
      <c r="M195" s="87" t="s">
        <v>106</v>
      </c>
      <c r="N195" s="87" t="s">
        <v>622</v>
      </c>
      <c r="O195" s="87" t="s">
        <v>127</v>
      </c>
      <c r="P195" s="87" t="s">
        <v>627</v>
      </c>
      <c r="Q195" s="87" t="s">
        <v>129</v>
      </c>
      <c r="R195" s="130">
        <v>100</v>
      </c>
      <c r="S195" s="88" t="s">
        <v>158</v>
      </c>
      <c r="T195" s="81">
        <v>25</v>
      </c>
      <c r="U195" s="81"/>
      <c r="V195" s="25">
        <f t="shared" si="150"/>
        <v>0</v>
      </c>
      <c r="W195" s="81">
        <v>25</v>
      </c>
      <c r="X195" s="81"/>
      <c r="Y195" s="25">
        <f t="shared" si="1"/>
        <v>0</v>
      </c>
      <c r="Z195" s="81">
        <v>25</v>
      </c>
      <c r="AA195" s="81"/>
      <c r="AB195" s="25">
        <f t="shared" si="2"/>
        <v>0</v>
      </c>
      <c r="AC195" s="81">
        <v>25</v>
      </c>
      <c r="AD195" s="81"/>
      <c r="AE195" s="25">
        <f t="shared" si="3"/>
        <v>0</v>
      </c>
      <c r="AF195" s="137">
        <f t="shared" si="132"/>
        <v>100</v>
      </c>
      <c r="AG195" s="137">
        <f t="shared" si="133"/>
        <v>0</v>
      </c>
      <c r="AH195" s="128">
        <f t="shared" si="130"/>
        <v>0</v>
      </c>
      <c r="AI195" s="90">
        <v>46113</v>
      </c>
      <c r="AJ195" s="90">
        <v>46477</v>
      </c>
      <c r="AK195" s="91" t="s">
        <v>112</v>
      </c>
      <c r="AL195" s="91" t="s">
        <v>113</v>
      </c>
      <c r="AM195" s="92" t="s">
        <v>114</v>
      </c>
      <c r="AN195" s="93">
        <v>500000000</v>
      </c>
      <c r="AO195" s="93">
        <v>500000000</v>
      </c>
      <c r="AP195" s="93">
        <v>500000000</v>
      </c>
      <c r="AQ195" s="94">
        <v>0</v>
      </c>
      <c r="AR195" s="91" t="s">
        <v>159</v>
      </c>
      <c r="AS195" s="91" t="s">
        <v>112</v>
      </c>
      <c r="AT195" s="150" t="s">
        <v>628</v>
      </c>
      <c r="AU195" s="165" t="s">
        <v>2264</v>
      </c>
      <c r="AV195" s="232" t="s">
        <v>2234</v>
      </c>
      <c r="AW195" s="126" t="s">
        <v>2266</v>
      </c>
      <c r="BA195" s="255">
        <v>0</v>
      </c>
      <c r="BB195" s="256">
        <v>0</v>
      </c>
      <c r="BC195" s="223" t="e">
        <f t="shared" si="104"/>
        <v>#DIV/0!</v>
      </c>
      <c r="BD195" s="255">
        <v>0</v>
      </c>
      <c r="BE195" s="256">
        <v>0</v>
      </c>
      <c r="BF195" s="223" t="e">
        <f t="shared" si="105"/>
        <v>#DIV/0!</v>
      </c>
      <c r="BG195" s="255">
        <v>0</v>
      </c>
      <c r="BH195" s="256">
        <v>0</v>
      </c>
      <c r="BI195" s="223" t="e">
        <f t="shared" si="106"/>
        <v>#DIV/0!</v>
      </c>
      <c r="BJ195" s="224">
        <f t="shared" si="107"/>
        <v>0</v>
      </c>
      <c r="BK195" s="225">
        <f t="shared" si="108"/>
        <v>0</v>
      </c>
      <c r="BL195" s="223" t="e">
        <f t="shared" si="109"/>
        <v>#DIV/0!</v>
      </c>
      <c r="BM195" s="255">
        <v>0</v>
      </c>
      <c r="BN195" s="256">
        <v>0</v>
      </c>
      <c r="BO195" s="223" t="e">
        <f t="shared" si="134"/>
        <v>#DIV/0!</v>
      </c>
      <c r="BP195" s="255">
        <v>0</v>
      </c>
      <c r="BQ195" s="256">
        <v>0</v>
      </c>
      <c r="BR195" s="223" t="e">
        <f t="shared" si="135"/>
        <v>#DIV/0!</v>
      </c>
      <c r="BS195" s="255">
        <v>15</v>
      </c>
      <c r="BT195" s="255">
        <v>15</v>
      </c>
      <c r="BU195" s="223">
        <f t="shared" si="136"/>
        <v>1</v>
      </c>
      <c r="BV195" s="224">
        <f t="shared" si="110"/>
        <v>15</v>
      </c>
      <c r="BW195" s="224">
        <f t="shared" si="111"/>
        <v>15</v>
      </c>
      <c r="BX195" s="223">
        <f t="shared" si="112"/>
        <v>1</v>
      </c>
      <c r="BY195" s="223">
        <f t="shared" si="113"/>
        <v>0.15</v>
      </c>
      <c r="BZ195" s="223">
        <f t="shared" si="114"/>
        <v>-0.15</v>
      </c>
      <c r="CA195" s="226"/>
      <c r="CB195" s="175"/>
      <c r="CC195" s="191">
        <v>15</v>
      </c>
      <c r="CD195" s="192">
        <v>15</v>
      </c>
      <c r="CE195" s="193">
        <f t="shared" si="137"/>
        <v>1</v>
      </c>
      <c r="CF195" s="191">
        <v>20</v>
      </c>
      <c r="CG195" s="192">
        <v>20</v>
      </c>
      <c r="CH195" s="193">
        <f t="shared" si="138"/>
        <v>1</v>
      </c>
      <c r="CI195" s="197"/>
      <c r="CJ195" s="198"/>
      <c r="CK195" s="193" t="e">
        <f t="shared" si="139"/>
        <v>#DIV/0!</v>
      </c>
      <c r="CL195" s="195">
        <f t="shared" si="140"/>
        <v>35</v>
      </c>
      <c r="CM195" s="194">
        <f t="shared" si="141"/>
        <v>35</v>
      </c>
      <c r="CN195" s="193">
        <f t="shared" si="142"/>
        <v>1</v>
      </c>
      <c r="CO195" s="175"/>
      <c r="CP195" s="196">
        <f t="shared" si="143"/>
        <v>50</v>
      </c>
      <c r="CQ195" s="196">
        <f t="shared" si="144"/>
        <v>50</v>
      </c>
      <c r="CR195" s="199">
        <f t="shared" si="145"/>
        <v>1</v>
      </c>
      <c r="CS195" s="261">
        <f t="shared" si="115"/>
        <v>50</v>
      </c>
      <c r="CT195" s="175"/>
      <c r="CU195" s="196">
        <f t="shared" si="116"/>
        <v>15</v>
      </c>
      <c r="CV195" s="259"/>
      <c r="CW195" s="199">
        <f t="shared" si="117"/>
        <v>0</v>
      </c>
      <c r="CX195" s="196">
        <f t="shared" si="118"/>
        <v>15</v>
      </c>
      <c r="CY195" s="259"/>
      <c r="CZ195" s="199">
        <f t="shared" si="119"/>
        <v>0</v>
      </c>
      <c r="DA195" s="196">
        <f t="shared" si="120"/>
        <v>15</v>
      </c>
      <c r="DB195" s="259"/>
      <c r="DC195" s="199">
        <f t="shared" si="121"/>
        <v>0</v>
      </c>
      <c r="DD195" s="196">
        <f t="shared" si="122"/>
        <v>5</v>
      </c>
      <c r="DE195" s="259"/>
      <c r="DF195" s="199">
        <f t="shared" si="123"/>
        <v>0</v>
      </c>
      <c r="DG195" s="175"/>
      <c r="DH195" s="196">
        <f t="shared" si="124"/>
        <v>100</v>
      </c>
      <c r="DI195" s="196">
        <f t="shared" si="125"/>
        <v>50</v>
      </c>
      <c r="DJ195" s="199">
        <f t="shared" si="126"/>
        <v>0.5</v>
      </c>
      <c r="DK195" s="265">
        <f t="shared" si="127"/>
        <v>50</v>
      </c>
      <c r="DM195">
        <f t="shared" si="149"/>
        <v>191</v>
      </c>
    </row>
    <row r="196" spans="1:117" x14ac:dyDescent="0.3">
      <c r="A196" s="250">
        <v>192</v>
      </c>
      <c r="B196" s="91" t="s">
        <v>270</v>
      </c>
      <c r="C196" s="91" t="s">
        <v>118</v>
      </c>
      <c r="D196" s="91" t="s">
        <v>119</v>
      </c>
      <c r="E196" s="91" t="s">
        <v>155</v>
      </c>
      <c r="F196" s="91" t="s">
        <v>598</v>
      </c>
      <c r="G196" s="87" t="s">
        <v>186</v>
      </c>
      <c r="H196" s="87" t="s">
        <v>187</v>
      </c>
      <c r="I196" s="87" t="s">
        <v>103</v>
      </c>
      <c r="J196" s="87" t="s">
        <v>103</v>
      </c>
      <c r="K196" s="85" t="s">
        <v>104</v>
      </c>
      <c r="L196" s="85" t="s">
        <v>105</v>
      </c>
      <c r="M196" s="87" t="s">
        <v>106</v>
      </c>
      <c r="N196" s="87" t="s">
        <v>622</v>
      </c>
      <c r="O196" s="87" t="s">
        <v>127</v>
      </c>
      <c r="P196" s="87" t="s">
        <v>629</v>
      </c>
      <c r="Q196" s="87" t="s">
        <v>129</v>
      </c>
      <c r="R196" s="130">
        <v>100</v>
      </c>
      <c r="S196" s="88" t="s">
        <v>158</v>
      </c>
      <c r="T196" s="81">
        <v>25</v>
      </c>
      <c r="U196" s="81"/>
      <c r="V196" s="25">
        <f t="shared" si="150"/>
        <v>0</v>
      </c>
      <c r="W196" s="81">
        <v>25</v>
      </c>
      <c r="X196" s="81"/>
      <c r="Y196" s="25">
        <f t="shared" si="1"/>
        <v>0</v>
      </c>
      <c r="Z196" s="81">
        <v>25</v>
      </c>
      <c r="AA196" s="81"/>
      <c r="AB196" s="25">
        <f t="shared" si="2"/>
        <v>0</v>
      </c>
      <c r="AC196" s="81">
        <v>25</v>
      </c>
      <c r="AD196" s="81"/>
      <c r="AE196" s="25">
        <f t="shared" si="3"/>
        <v>0</v>
      </c>
      <c r="AF196" s="137">
        <f t="shared" si="132"/>
        <v>100</v>
      </c>
      <c r="AG196" s="137">
        <f t="shared" si="133"/>
        <v>0</v>
      </c>
      <c r="AH196" s="128">
        <f t="shared" si="130"/>
        <v>0</v>
      </c>
      <c r="AI196" s="90">
        <v>46113</v>
      </c>
      <c r="AJ196" s="90">
        <v>46477</v>
      </c>
      <c r="AK196" s="91" t="s">
        <v>112</v>
      </c>
      <c r="AL196" s="91" t="s">
        <v>113</v>
      </c>
      <c r="AM196" s="92" t="s">
        <v>114</v>
      </c>
      <c r="AN196" s="93">
        <v>40000000</v>
      </c>
      <c r="AO196" s="93">
        <v>40000000</v>
      </c>
      <c r="AP196" s="93">
        <v>40000000</v>
      </c>
      <c r="AQ196" s="94">
        <v>0</v>
      </c>
      <c r="AR196" s="91" t="s">
        <v>159</v>
      </c>
      <c r="AS196" s="91" t="s">
        <v>112</v>
      </c>
      <c r="AT196" s="150" t="s">
        <v>628</v>
      </c>
      <c r="AU196" s="165" t="s">
        <v>2264</v>
      </c>
      <c r="AV196" s="232" t="s">
        <v>2234</v>
      </c>
      <c r="AW196" s="126" t="s">
        <v>2266</v>
      </c>
      <c r="BA196" s="255">
        <v>0</v>
      </c>
      <c r="BB196" s="256">
        <v>0</v>
      </c>
      <c r="BC196" s="223" t="e">
        <f t="shared" si="104"/>
        <v>#DIV/0!</v>
      </c>
      <c r="BD196" s="255">
        <v>0</v>
      </c>
      <c r="BE196" s="256">
        <v>0</v>
      </c>
      <c r="BF196" s="223" t="e">
        <f t="shared" si="105"/>
        <v>#DIV/0!</v>
      </c>
      <c r="BG196" s="255">
        <v>0</v>
      </c>
      <c r="BH196" s="256">
        <v>0</v>
      </c>
      <c r="BI196" s="223" t="e">
        <f t="shared" si="106"/>
        <v>#DIV/0!</v>
      </c>
      <c r="BJ196" s="224">
        <f t="shared" si="107"/>
        <v>0</v>
      </c>
      <c r="BK196" s="225">
        <f t="shared" si="108"/>
        <v>0</v>
      </c>
      <c r="BL196" s="223" t="e">
        <f t="shared" si="109"/>
        <v>#DIV/0!</v>
      </c>
      <c r="BM196" s="255">
        <v>0</v>
      </c>
      <c r="BN196" s="256">
        <v>0</v>
      </c>
      <c r="BO196" s="223" t="e">
        <f t="shared" si="134"/>
        <v>#DIV/0!</v>
      </c>
      <c r="BP196" s="255">
        <v>25</v>
      </c>
      <c r="BQ196" s="256">
        <v>0</v>
      </c>
      <c r="BR196" s="223">
        <f t="shared" si="135"/>
        <v>0</v>
      </c>
      <c r="BS196" s="255">
        <v>25</v>
      </c>
      <c r="BT196" s="255">
        <v>0</v>
      </c>
      <c r="BU196" s="223">
        <f t="shared" si="136"/>
        <v>0</v>
      </c>
      <c r="BV196" s="224">
        <f t="shared" si="110"/>
        <v>50</v>
      </c>
      <c r="BW196" s="224">
        <f t="shared" si="111"/>
        <v>0</v>
      </c>
      <c r="BX196" s="223">
        <f t="shared" si="112"/>
        <v>0</v>
      </c>
      <c r="BY196" s="223">
        <f t="shared" si="113"/>
        <v>0</v>
      </c>
      <c r="BZ196" s="223">
        <f t="shared" si="114"/>
        <v>0</v>
      </c>
      <c r="CA196" s="226"/>
      <c r="CB196" s="175"/>
      <c r="CC196" s="191">
        <v>0</v>
      </c>
      <c r="CD196" s="192">
        <v>0</v>
      </c>
      <c r="CE196" s="193" t="e">
        <f t="shared" si="137"/>
        <v>#DIV/0!</v>
      </c>
      <c r="CF196" s="191">
        <v>0</v>
      </c>
      <c r="CG196" s="192">
        <v>0</v>
      </c>
      <c r="CH196" s="193" t="e">
        <f t="shared" si="138"/>
        <v>#DIV/0!</v>
      </c>
      <c r="CI196" s="197"/>
      <c r="CJ196" s="198"/>
      <c r="CK196" s="193" t="e">
        <f t="shared" si="139"/>
        <v>#DIV/0!</v>
      </c>
      <c r="CL196" s="195">
        <f t="shared" si="140"/>
        <v>0</v>
      </c>
      <c r="CM196" s="194">
        <f t="shared" si="141"/>
        <v>0</v>
      </c>
      <c r="CN196" s="193" t="e">
        <f t="shared" si="142"/>
        <v>#DIV/0!</v>
      </c>
      <c r="CO196" s="175"/>
      <c r="CP196" s="196">
        <f t="shared" si="143"/>
        <v>50</v>
      </c>
      <c r="CQ196" s="196">
        <f t="shared" si="144"/>
        <v>0</v>
      </c>
      <c r="CR196" s="199">
        <f t="shared" si="145"/>
        <v>0</v>
      </c>
      <c r="CS196" s="261">
        <f t="shared" si="115"/>
        <v>100</v>
      </c>
      <c r="CT196" s="175"/>
      <c r="CU196" s="196">
        <f t="shared" si="116"/>
        <v>30</v>
      </c>
      <c r="CV196" s="259"/>
      <c r="CW196" s="199">
        <f t="shared" si="117"/>
        <v>0</v>
      </c>
      <c r="CX196" s="196">
        <f t="shared" si="118"/>
        <v>30</v>
      </c>
      <c r="CY196" s="259"/>
      <c r="CZ196" s="199">
        <f t="shared" si="119"/>
        <v>0</v>
      </c>
      <c r="DA196" s="196">
        <f t="shared" si="120"/>
        <v>30</v>
      </c>
      <c r="DB196" s="259"/>
      <c r="DC196" s="199">
        <f t="shared" si="121"/>
        <v>0</v>
      </c>
      <c r="DD196" s="196">
        <f t="shared" si="122"/>
        <v>10</v>
      </c>
      <c r="DE196" s="259"/>
      <c r="DF196" s="199">
        <f t="shared" si="123"/>
        <v>0</v>
      </c>
      <c r="DG196" s="175"/>
      <c r="DH196" s="196">
        <f t="shared" si="124"/>
        <v>100</v>
      </c>
      <c r="DI196" s="196">
        <f t="shared" si="125"/>
        <v>0</v>
      </c>
      <c r="DJ196" s="199">
        <f t="shared" si="126"/>
        <v>0</v>
      </c>
      <c r="DK196" s="265">
        <f t="shared" si="127"/>
        <v>100</v>
      </c>
      <c r="DM196">
        <f t="shared" si="149"/>
        <v>192</v>
      </c>
    </row>
    <row r="197" spans="1:117" x14ac:dyDescent="0.3">
      <c r="A197" s="250">
        <v>193</v>
      </c>
      <c r="B197" s="91" t="s">
        <v>270</v>
      </c>
      <c r="C197" s="91" t="s">
        <v>118</v>
      </c>
      <c r="D197" s="91" t="s">
        <v>119</v>
      </c>
      <c r="E197" s="91" t="s">
        <v>155</v>
      </c>
      <c r="F197" s="91" t="s">
        <v>598</v>
      </c>
      <c r="G197" s="87" t="s">
        <v>186</v>
      </c>
      <c r="H197" s="87" t="s">
        <v>187</v>
      </c>
      <c r="I197" s="87" t="s">
        <v>592</v>
      </c>
      <c r="J197" s="87" t="s">
        <v>592</v>
      </c>
      <c r="K197" s="85" t="s">
        <v>104</v>
      </c>
      <c r="L197" s="85" t="s">
        <v>105</v>
      </c>
      <c r="M197" s="87" t="s">
        <v>106</v>
      </c>
      <c r="N197" s="87" t="s">
        <v>622</v>
      </c>
      <c r="O197" s="87" t="s">
        <v>127</v>
      </c>
      <c r="P197" s="87" t="s">
        <v>630</v>
      </c>
      <c r="Q197" s="87" t="s">
        <v>129</v>
      </c>
      <c r="R197" s="130">
        <v>100</v>
      </c>
      <c r="S197" s="88" t="s">
        <v>158</v>
      </c>
      <c r="T197" s="81">
        <v>1</v>
      </c>
      <c r="U197" s="81"/>
      <c r="V197" s="25">
        <f t="shared" si="150"/>
        <v>0</v>
      </c>
      <c r="W197" s="81">
        <v>2</v>
      </c>
      <c r="X197" s="81"/>
      <c r="Y197" s="25">
        <f t="shared" si="1"/>
        <v>0</v>
      </c>
      <c r="Z197" s="81">
        <v>1</v>
      </c>
      <c r="AA197" s="81"/>
      <c r="AB197" s="25">
        <f t="shared" si="2"/>
        <v>0</v>
      </c>
      <c r="AC197" s="81">
        <v>1</v>
      </c>
      <c r="AD197" s="81"/>
      <c r="AE197" s="25">
        <f t="shared" si="3"/>
        <v>0</v>
      </c>
      <c r="AF197" s="137">
        <f t="shared" si="132"/>
        <v>100</v>
      </c>
      <c r="AG197" s="137">
        <f t="shared" si="133"/>
        <v>0</v>
      </c>
      <c r="AH197" s="128">
        <f t="shared" si="130"/>
        <v>0</v>
      </c>
      <c r="AI197" s="90">
        <v>46113</v>
      </c>
      <c r="AJ197" s="90">
        <v>46477</v>
      </c>
      <c r="AK197" s="91" t="s">
        <v>112</v>
      </c>
      <c r="AL197" s="91" t="s">
        <v>113</v>
      </c>
      <c r="AM197" s="92" t="s">
        <v>114</v>
      </c>
      <c r="AN197" s="93">
        <v>500000000</v>
      </c>
      <c r="AO197" s="93">
        <v>500000000</v>
      </c>
      <c r="AP197" s="93">
        <v>500000000</v>
      </c>
      <c r="AQ197" s="94">
        <v>0</v>
      </c>
      <c r="AR197" s="91" t="s">
        <v>159</v>
      </c>
      <c r="AS197" s="91" t="s">
        <v>112</v>
      </c>
      <c r="AT197" s="150" t="s">
        <v>628</v>
      </c>
      <c r="AU197" s="165" t="s">
        <v>2264</v>
      </c>
      <c r="AV197" s="232" t="s">
        <v>2234</v>
      </c>
      <c r="AW197" s="126" t="s">
        <v>2266</v>
      </c>
      <c r="BA197" s="255">
        <v>0</v>
      </c>
      <c r="BB197" s="256">
        <v>0</v>
      </c>
      <c r="BC197" s="223" t="e">
        <f t="shared" si="104"/>
        <v>#DIV/0!</v>
      </c>
      <c r="BD197" s="255">
        <v>0</v>
      </c>
      <c r="BE197" s="256">
        <v>0</v>
      </c>
      <c r="BF197" s="223" t="e">
        <f t="shared" si="105"/>
        <v>#DIV/0!</v>
      </c>
      <c r="BG197" s="255">
        <v>0</v>
      </c>
      <c r="BH197" s="256">
        <v>0</v>
      </c>
      <c r="BI197" s="223" t="e">
        <f t="shared" si="106"/>
        <v>#DIV/0!</v>
      </c>
      <c r="BJ197" s="224">
        <f t="shared" si="107"/>
        <v>0</v>
      </c>
      <c r="BK197" s="225">
        <f t="shared" si="108"/>
        <v>0</v>
      </c>
      <c r="BL197" s="223" t="e">
        <f t="shared" si="109"/>
        <v>#DIV/0!</v>
      </c>
      <c r="BM197" s="255">
        <v>0</v>
      </c>
      <c r="BN197" s="256">
        <v>0</v>
      </c>
      <c r="BO197" s="223" t="e">
        <f t="shared" si="134"/>
        <v>#DIV/0!</v>
      </c>
      <c r="BP197" s="255">
        <v>50</v>
      </c>
      <c r="BQ197" s="256">
        <v>0</v>
      </c>
      <c r="BR197" s="223">
        <f t="shared" si="135"/>
        <v>0</v>
      </c>
      <c r="BS197" s="255">
        <v>50</v>
      </c>
      <c r="BT197" s="255">
        <v>0</v>
      </c>
      <c r="BU197" s="223">
        <f t="shared" si="136"/>
        <v>0</v>
      </c>
      <c r="BV197" s="224">
        <f t="shared" si="110"/>
        <v>100</v>
      </c>
      <c r="BW197" s="224">
        <f t="shared" si="111"/>
        <v>0</v>
      </c>
      <c r="BX197" s="223">
        <f t="shared" si="112"/>
        <v>0</v>
      </c>
      <c r="BY197" s="223">
        <f t="shared" si="113"/>
        <v>0</v>
      </c>
      <c r="BZ197" s="223">
        <f t="shared" si="114"/>
        <v>0</v>
      </c>
      <c r="CA197" s="226"/>
      <c r="CB197" s="175"/>
      <c r="CC197" s="191">
        <v>0</v>
      </c>
      <c r="CD197" s="192">
        <v>0</v>
      </c>
      <c r="CE197" s="193" t="e">
        <f t="shared" si="137"/>
        <v>#DIV/0!</v>
      </c>
      <c r="CF197" s="191">
        <v>0</v>
      </c>
      <c r="CG197" s="192">
        <v>0</v>
      </c>
      <c r="CH197" s="193" t="e">
        <f t="shared" si="138"/>
        <v>#DIV/0!</v>
      </c>
      <c r="CI197" s="197"/>
      <c r="CJ197" s="198"/>
      <c r="CK197" s="193" t="e">
        <f t="shared" si="139"/>
        <v>#DIV/0!</v>
      </c>
      <c r="CL197" s="195">
        <f t="shared" si="140"/>
        <v>0</v>
      </c>
      <c r="CM197" s="194">
        <f t="shared" si="141"/>
        <v>0</v>
      </c>
      <c r="CN197" s="193" t="e">
        <f t="shared" si="142"/>
        <v>#DIV/0!</v>
      </c>
      <c r="CO197" s="175"/>
      <c r="CP197" s="196">
        <f t="shared" si="143"/>
        <v>100</v>
      </c>
      <c r="CQ197" s="196">
        <f t="shared" si="144"/>
        <v>0</v>
      </c>
      <c r="CR197" s="199">
        <f t="shared" si="145"/>
        <v>0</v>
      </c>
      <c r="CS197" s="261">
        <f t="shared" si="115"/>
        <v>100</v>
      </c>
      <c r="CT197" s="175"/>
      <c r="CU197" s="196">
        <f t="shared" si="116"/>
        <v>30</v>
      </c>
      <c r="CV197" s="259"/>
      <c r="CW197" s="199">
        <f t="shared" si="117"/>
        <v>0</v>
      </c>
      <c r="CX197" s="196">
        <f t="shared" si="118"/>
        <v>30</v>
      </c>
      <c r="CY197" s="259"/>
      <c r="CZ197" s="199">
        <f t="shared" si="119"/>
        <v>0</v>
      </c>
      <c r="DA197" s="196">
        <f t="shared" si="120"/>
        <v>30</v>
      </c>
      <c r="DB197" s="259"/>
      <c r="DC197" s="199">
        <f t="shared" si="121"/>
        <v>0</v>
      </c>
      <c r="DD197" s="196">
        <f t="shared" si="122"/>
        <v>10</v>
      </c>
      <c r="DE197" s="259"/>
      <c r="DF197" s="199">
        <f t="shared" si="123"/>
        <v>0</v>
      </c>
      <c r="DG197" s="175"/>
      <c r="DH197" s="196">
        <f t="shared" si="124"/>
        <v>100</v>
      </c>
      <c r="DI197" s="196">
        <f t="shared" si="125"/>
        <v>0</v>
      </c>
      <c r="DJ197" s="199">
        <f t="shared" si="126"/>
        <v>0</v>
      </c>
      <c r="DK197" s="265">
        <f t="shared" si="127"/>
        <v>100</v>
      </c>
      <c r="DM197">
        <f t="shared" si="149"/>
        <v>193</v>
      </c>
    </row>
    <row r="198" spans="1:117" x14ac:dyDescent="0.3">
      <c r="A198" s="250">
        <v>194</v>
      </c>
      <c r="B198" s="91" t="s">
        <v>270</v>
      </c>
      <c r="C198" s="91" t="s">
        <v>118</v>
      </c>
      <c r="D198" s="91" t="s">
        <v>119</v>
      </c>
      <c r="E198" s="91" t="s">
        <v>155</v>
      </c>
      <c r="F198" s="91" t="s">
        <v>598</v>
      </c>
      <c r="G198" s="87" t="s">
        <v>186</v>
      </c>
      <c r="H198" s="87" t="s">
        <v>187</v>
      </c>
      <c r="I198" s="87" t="s">
        <v>592</v>
      </c>
      <c r="J198" s="87" t="s">
        <v>592</v>
      </c>
      <c r="K198" s="85" t="s">
        <v>104</v>
      </c>
      <c r="L198" s="85" t="s">
        <v>105</v>
      </c>
      <c r="M198" s="87" t="s">
        <v>106</v>
      </c>
      <c r="N198" s="87" t="s">
        <v>622</v>
      </c>
      <c r="O198" s="87" t="s">
        <v>127</v>
      </c>
      <c r="P198" s="87" t="s">
        <v>631</v>
      </c>
      <c r="Q198" s="87" t="s">
        <v>129</v>
      </c>
      <c r="R198" s="130">
        <v>100</v>
      </c>
      <c r="S198" s="88" t="s">
        <v>158</v>
      </c>
      <c r="T198" s="81">
        <v>1</v>
      </c>
      <c r="U198" s="81"/>
      <c r="V198" s="25">
        <f t="shared" si="150"/>
        <v>0</v>
      </c>
      <c r="W198" s="81">
        <v>1</v>
      </c>
      <c r="X198" s="81"/>
      <c r="Y198" s="25">
        <f t="shared" si="1"/>
        <v>0</v>
      </c>
      <c r="Z198" s="81">
        <v>1</v>
      </c>
      <c r="AA198" s="81"/>
      <c r="AB198" s="25">
        <f t="shared" si="2"/>
        <v>0</v>
      </c>
      <c r="AC198" s="81">
        <v>1</v>
      </c>
      <c r="AD198" s="81"/>
      <c r="AE198" s="25">
        <f t="shared" si="3"/>
        <v>0</v>
      </c>
      <c r="AF198" s="137">
        <f t="shared" si="132"/>
        <v>100</v>
      </c>
      <c r="AG198" s="137">
        <f t="shared" si="133"/>
        <v>0</v>
      </c>
      <c r="AH198" s="128">
        <f t="shared" si="130"/>
        <v>0</v>
      </c>
      <c r="AI198" s="90">
        <v>46113</v>
      </c>
      <c r="AJ198" s="90">
        <v>46477</v>
      </c>
      <c r="AK198" s="91" t="s">
        <v>112</v>
      </c>
      <c r="AL198" s="91" t="s">
        <v>113</v>
      </c>
      <c r="AM198" s="92" t="s">
        <v>114</v>
      </c>
      <c r="AN198" s="93">
        <v>1000000000</v>
      </c>
      <c r="AO198" s="93">
        <v>1000000000</v>
      </c>
      <c r="AP198" s="93">
        <v>1000000000</v>
      </c>
      <c r="AQ198" s="94">
        <v>0</v>
      </c>
      <c r="AR198" s="91" t="s">
        <v>159</v>
      </c>
      <c r="AS198" s="91" t="s">
        <v>112</v>
      </c>
      <c r="AT198" s="150" t="s">
        <v>628</v>
      </c>
      <c r="AU198" s="165" t="s">
        <v>2264</v>
      </c>
      <c r="AV198" s="232" t="s">
        <v>2234</v>
      </c>
      <c r="AW198" s="126" t="s">
        <v>2266</v>
      </c>
      <c r="BA198" s="255">
        <v>0</v>
      </c>
      <c r="BB198" s="256">
        <v>0</v>
      </c>
      <c r="BC198" s="223" t="e">
        <f t="shared" ref="BC198:BC261" si="151">+BB198/BA198</f>
        <v>#DIV/0!</v>
      </c>
      <c r="BD198" s="255">
        <v>0</v>
      </c>
      <c r="BE198" s="256">
        <v>0</v>
      </c>
      <c r="BF198" s="223" t="e">
        <f t="shared" ref="BF198:BF261" si="152">+BE198/BD198</f>
        <v>#DIV/0!</v>
      </c>
      <c r="BG198" s="255">
        <v>0</v>
      </c>
      <c r="BH198" s="256">
        <v>0</v>
      </c>
      <c r="BI198" s="223" t="e">
        <f t="shared" ref="BI198:BI261" si="153">+BH198/BG198</f>
        <v>#DIV/0!</v>
      </c>
      <c r="BJ198" s="224">
        <f t="shared" ref="BJ198:BJ261" si="154">+BA198+BD198+BG198</f>
        <v>0</v>
      </c>
      <c r="BK198" s="225">
        <f t="shared" ref="BK198:BK261" si="155">+BB198+BE198+BH198</f>
        <v>0</v>
      </c>
      <c r="BL198" s="223" t="e">
        <f t="shared" ref="BL198:BL261" si="156">+BK198/BJ198</f>
        <v>#DIV/0!</v>
      </c>
      <c r="BM198" s="255">
        <v>0</v>
      </c>
      <c r="BN198" s="256">
        <v>0</v>
      </c>
      <c r="BO198" s="223" t="e">
        <f t="shared" si="134"/>
        <v>#DIV/0!</v>
      </c>
      <c r="BP198" s="255">
        <v>20</v>
      </c>
      <c r="BQ198" s="256">
        <v>20</v>
      </c>
      <c r="BR198" s="223">
        <f t="shared" si="135"/>
        <v>1</v>
      </c>
      <c r="BS198" s="255">
        <v>10</v>
      </c>
      <c r="BT198" s="255">
        <v>10</v>
      </c>
      <c r="BU198" s="223">
        <f t="shared" si="136"/>
        <v>1</v>
      </c>
      <c r="BV198" s="224">
        <f t="shared" ref="BV198:BV261" si="157">+BM198+BP198+BS198</f>
        <v>30</v>
      </c>
      <c r="BW198" s="224">
        <f t="shared" ref="BW198:BW261" si="158">+BN198+BQ198+BT198</f>
        <v>30</v>
      </c>
      <c r="BX198" s="223">
        <f t="shared" ref="BX198:BX261" si="159">+BW198/BV198</f>
        <v>1</v>
      </c>
      <c r="BY198" s="223">
        <f t="shared" ref="BY198:BY261" si="160">+(BK198+BW198)/R198</f>
        <v>0.3</v>
      </c>
      <c r="BZ198" s="223">
        <f t="shared" ref="BZ198:BZ261" si="161">+$BZ$2-BY198</f>
        <v>-0.3</v>
      </c>
      <c r="CA198" s="226"/>
      <c r="CB198" s="175"/>
      <c r="CC198" s="191">
        <v>10</v>
      </c>
      <c r="CD198" s="192">
        <v>10</v>
      </c>
      <c r="CE198" s="193">
        <f t="shared" si="137"/>
        <v>1</v>
      </c>
      <c r="CF198" s="191">
        <v>10</v>
      </c>
      <c r="CG198" s="192">
        <v>10</v>
      </c>
      <c r="CH198" s="193">
        <f t="shared" si="138"/>
        <v>1</v>
      </c>
      <c r="CI198" s="197"/>
      <c r="CJ198" s="198"/>
      <c r="CK198" s="193" t="e">
        <f t="shared" si="139"/>
        <v>#DIV/0!</v>
      </c>
      <c r="CL198" s="195">
        <f t="shared" si="140"/>
        <v>20</v>
      </c>
      <c r="CM198" s="194">
        <f t="shared" si="141"/>
        <v>20</v>
      </c>
      <c r="CN198" s="193">
        <f t="shared" si="142"/>
        <v>1</v>
      </c>
      <c r="CO198" s="175"/>
      <c r="CP198" s="196">
        <f t="shared" si="143"/>
        <v>50</v>
      </c>
      <c r="CQ198" s="196">
        <f t="shared" si="144"/>
        <v>50</v>
      </c>
      <c r="CR198" s="199">
        <f t="shared" si="145"/>
        <v>1</v>
      </c>
      <c r="CS198" s="261">
        <f t="shared" ref="CS198:CS261" si="162">+R198-CQ198</f>
        <v>50</v>
      </c>
      <c r="CT198" s="175"/>
      <c r="CU198" s="196">
        <f t="shared" ref="CU198:CU261" si="163">+CS198*$CU$3</f>
        <v>15</v>
      </c>
      <c r="CV198" s="259"/>
      <c r="CW198" s="199">
        <f t="shared" ref="CW198:CW261" si="164">+CV198/CU198</f>
        <v>0</v>
      </c>
      <c r="CX198" s="196">
        <f t="shared" ref="CX198:CX261" si="165">+CS198*$CX$3</f>
        <v>15</v>
      </c>
      <c r="CY198" s="259"/>
      <c r="CZ198" s="199">
        <f t="shared" ref="CZ198:CZ261" si="166">+CY198/CX198</f>
        <v>0</v>
      </c>
      <c r="DA198" s="196">
        <f t="shared" ref="DA198:DA261" si="167">+CS198*$DA$3</f>
        <v>15</v>
      </c>
      <c r="DB198" s="259"/>
      <c r="DC198" s="199">
        <f t="shared" ref="DC198:DC261" si="168">+DB198/DA198</f>
        <v>0</v>
      </c>
      <c r="DD198" s="196">
        <f t="shared" ref="DD198:DD261" si="169">+CS198*$DD$3</f>
        <v>5</v>
      </c>
      <c r="DE198" s="259"/>
      <c r="DF198" s="199">
        <f t="shared" ref="DF198:DF261" si="170">+DE198/DD198</f>
        <v>0</v>
      </c>
      <c r="DG198" s="175"/>
      <c r="DH198" s="196">
        <f t="shared" ref="DH198:DH261" si="171">R198</f>
        <v>100</v>
      </c>
      <c r="DI198" s="196">
        <f t="shared" ref="DI198:DI261" si="172">+CQ198+CV198+CY198+DB198+DE198</f>
        <v>50</v>
      </c>
      <c r="DJ198" s="199">
        <f t="shared" ref="DJ198:DJ261" si="173">+DI198/DH198</f>
        <v>0.5</v>
      </c>
      <c r="DK198" s="265">
        <f t="shared" ref="DK198:DK261" si="174">+DH198-DI198</f>
        <v>50</v>
      </c>
      <c r="DM198">
        <f t="shared" si="149"/>
        <v>194</v>
      </c>
    </row>
    <row r="199" spans="1:117" x14ac:dyDescent="0.3">
      <c r="A199" s="250">
        <v>195</v>
      </c>
      <c r="B199" s="91" t="s">
        <v>270</v>
      </c>
      <c r="C199" s="91" t="s">
        <v>118</v>
      </c>
      <c r="D199" s="91" t="s">
        <v>119</v>
      </c>
      <c r="E199" s="91" t="s">
        <v>155</v>
      </c>
      <c r="F199" s="91" t="s">
        <v>598</v>
      </c>
      <c r="G199" s="87" t="s">
        <v>186</v>
      </c>
      <c r="H199" s="87" t="s">
        <v>187</v>
      </c>
      <c r="I199" s="87" t="s">
        <v>592</v>
      </c>
      <c r="J199" s="87" t="s">
        <v>592</v>
      </c>
      <c r="K199" s="85" t="s">
        <v>104</v>
      </c>
      <c r="L199" s="85" t="s">
        <v>105</v>
      </c>
      <c r="M199" s="87" t="s">
        <v>106</v>
      </c>
      <c r="N199" s="87" t="s">
        <v>622</v>
      </c>
      <c r="O199" s="87" t="s">
        <v>127</v>
      </c>
      <c r="P199" s="87" t="s">
        <v>632</v>
      </c>
      <c r="Q199" s="87" t="s">
        <v>129</v>
      </c>
      <c r="R199" s="130">
        <v>100</v>
      </c>
      <c r="S199" s="88" t="s">
        <v>158</v>
      </c>
      <c r="T199" s="81">
        <v>25</v>
      </c>
      <c r="U199" s="81"/>
      <c r="V199" s="25">
        <f t="shared" si="150"/>
        <v>0</v>
      </c>
      <c r="W199" s="81">
        <v>25</v>
      </c>
      <c r="X199" s="81"/>
      <c r="Y199" s="25">
        <f t="shared" si="1"/>
        <v>0</v>
      </c>
      <c r="Z199" s="81">
        <v>25</v>
      </c>
      <c r="AA199" s="81"/>
      <c r="AB199" s="25">
        <f t="shared" si="2"/>
        <v>0</v>
      </c>
      <c r="AC199" s="81">
        <v>25</v>
      </c>
      <c r="AD199" s="81"/>
      <c r="AE199" s="25">
        <f t="shared" si="3"/>
        <v>0</v>
      </c>
      <c r="AF199" s="137">
        <f t="shared" si="132"/>
        <v>100</v>
      </c>
      <c r="AG199" s="137">
        <f t="shared" si="133"/>
        <v>0</v>
      </c>
      <c r="AH199" s="128">
        <f t="shared" si="130"/>
        <v>0</v>
      </c>
      <c r="AI199" s="90">
        <v>46113</v>
      </c>
      <c r="AJ199" s="90">
        <v>46477</v>
      </c>
      <c r="AK199" s="91" t="s">
        <v>112</v>
      </c>
      <c r="AL199" s="91" t="s">
        <v>113</v>
      </c>
      <c r="AM199" s="92" t="s">
        <v>114</v>
      </c>
      <c r="AN199" s="93">
        <v>100000000</v>
      </c>
      <c r="AO199" s="93">
        <v>100000000</v>
      </c>
      <c r="AP199" s="93">
        <v>100000000</v>
      </c>
      <c r="AQ199" s="94">
        <v>0</v>
      </c>
      <c r="AR199" s="91" t="s">
        <v>159</v>
      </c>
      <c r="AS199" s="91" t="s">
        <v>112</v>
      </c>
      <c r="AT199" s="150" t="s">
        <v>628</v>
      </c>
      <c r="AU199" s="165" t="s">
        <v>2264</v>
      </c>
      <c r="AV199" s="232" t="s">
        <v>2234</v>
      </c>
      <c r="AW199" s="126" t="s">
        <v>2266</v>
      </c>
      <c r="BA199" s="255">
        <v>0</v>
      </c>
      <c r="BB199" s="256">
        <v>0</v>
      </c>
      <c r="BC199" s="223" t="e">
        <f t="shared" si="151"/>
        <v>#DIV/0!</v>
      </c>
      <c r="BD199" s="255">
        <v>0</v>
      </c>
      <c r="BE199" s="256">
        <v>0</v>
      </c>
      <c r="BF199" s="223" t="e">
        <f t="shared" si="152"/>
        <v>#DIV/0!</v>
      </c>
      <c r="BG199" s="255">
        <v>0</v>
      </c>
      <c r="BH199" s="256">
        <v>0</v>
      </c>
      <c r="BI199" s="223" t="e">
        <f t="shared" si="153"/>
        <v>#DIV/0!</v>
      </c>
      <c r="BJ199" s="224">
        <f t="shared" si="154"/>
        <v>0</v>
      </c>
      <c r="BK199" s="225">
        <f t="shared" si="155"/>
        <v>0</v>
      </c>
      <c r="BL199" s="223" t="e">
        <f t="shared" si="156"/>
        <v>#DIV/0!</v>
      </c>
      <c r="BM199" s="255">
        <v>40</v>
      </c>
      <c r="BN199" s="256">
        <v>20</v>
      </c>
      <c r="BO199" s="223">
        <f t="shared" si="134"/>
        <v>0.5</v>
      </c>
      <c r="BP199" s="255">
        <v>50</v>
      </c>
      <c r="BQ199" s="256">
        <v>40</v>
      </c>
      <c r="BR199" s="223">
        <f t="shared" si="135"/>
        <v>0.8</v>
      </c>
      <c r="BS199" s="255">
        <v>20</v>
      </c>
      <c r="BT199" s="255">
        <v>10</v>
      </c>
      <c r="BU199" s="223">
        <f t="shared" si="136"/>
        <v>0.5</v>
      </c>
      <c r="BV199" s="224">
        <f t="shared" si="157"/>
        <v>110</v>
      </c>
      <c r="BW199" s="224">
        <f t="shared" si="158"/>
        <v>70</v>
      </c>
      <c r="BX199" s="223">
        <f t="shared" si="159"/>
        <v>0.63636363636363635</v>
      </c>
      <c r="BY199" s="223">
        <f t="shared" si="160"/>
        <v>0.7</v>
      </c>
      <c r="BZ199" s="223">
        <f t="shared" si="161"/>
        <v>-0.7</v>
      </c>
      <c r="CA199" s="226"/>
      <c r="CB199" s="175"/>
      <c r="CC199" s="191">
        <v>0</v>
      </c>
      <c r="CD199" s="192">
        <v>0</v>
      </c>
      <c r="CE199" s="193" t="e">
        <f t="shared" si="137"/>
        <v>#DIV/0!</v>
      </c>
      <c r="CF199" s="191">
        <v>0</v>
      </c>
      <c r="CG199" s="192">
        <v>0</v>
      </c>
      <c r="CH199" s="193" t="e">
        <f t="shared" si="138"/>
        <v>#DIV/0!</v>
      </c>
      <c r="CI199" s="197"/>
      <c r="CJ199" s="198"/>
      <c r="CK199" s="193" t="e">
        <f t="shared" si="139"/>
        <v>#DIV/0!</v>
      </c>
      <c r="CL199" s="195">
        <f t="shared" si="140"/>
        <v>0</v>
      </c>
      <c r="CM199" s="194">
        <f t="shared" si="141"/>
        <v>0</v>
      </c>
      <c r="CN199" s="193" t="e">
        <f t="shared" si="142"/>
        <v>#DIV/0!</v>
      </c>
      <c r="CO199" s="175"/>
      <c r="CP199" s="196">
        <f t="shared" si="143"/>
        <v>110</v>
      </c>
      <c r="CQ199" s="196">
        <f t="shared" si="144"/>
        <v>70</v>
      </c>
      <c r="CR199" s="199">
        <f t="shared" si="145"/>
        <v>0.63636363636363635</v>
      </c>
      <c r="CS199" s="261">
        <f t="shared" si="162"/>
        <v>30</v>
      </c>
      <c r="CT199" s="175"/>
      <c r="CU199" s="196">
        <f t="shared" si="163"/>
        <v>9</v>
      </c>
      <c r="CV199" s="259"/>
      <c r="CW199" s="199">
        <f t="shared" si="164"/>
        <v>0</v>
      </c>
      <c r="CX199" s="196">
        <f t="shared" si="165"/>
        <v>9</v>
      </c>
      <c r="CY199" s="259"/>
      <c r="CZ199" s="199">
        <f t="shared" si="166"/>
        <v>0</v>
      </c>
      <c r="DA199" s="196">
        <f t="shared" si="167"/>
        <v>9</v>
      </c>
      <c r="DB199" s="259"/>
      <c r="DC199" s="199">
        <f t="shared" si="168"/>
        <v>0</v>
      </c>
      <c r="DD199" s="196">
        <f t="shared" si="169"/>
        <v>3</v>
      </c>
      <c r="DE199" s="259"/>
      <c r="DF199" s="199">
        <f t="shared" si="170"/>
        <v>0</v>
      </c>
      <c r="DG199" s="175"/>
      <c r="DH199" s="196">
        <f t="shared" si="171"/>
        <v>100</v>
      </c>
      <c r="DI199" s="196">
        <f t="shared" si="172"/>
        <v>70</v>
      </c>
      <c r="DJ199" s="199">
        <f t="shared" si="173"/>
        <v>0.7</v>
      </c>
      <c r="DK199" s="265">
        <f t="shared" si="174"/>
        <v>30</v>
      </c>
      <c r="DM199">
        <f t="shared" si="149"/>
        <v>195</v>
      </c>
    </row>
    <row r="200" spans="1:117" x14ac:dyDescent="0.3">
      <c r="A200" s="250">
        <v>196</v>
      </c>
      <c r="B200" s="91" t="s">
        <v>270</v>
      </c>
      <c r="C200" s="91" t="s">
        <v>118</v>
      </c>
      <c r="D200" s="91" t="s">
        <v>119</v>
      </c>
      <c r="E200" s="91" t="s">
        <v>155</v>
      </c>
      <c r="F200" s="91" t="s">
        <v>598</v>
      </c>
      <c r="G200" s="87" t="s">
        <v>186</v>
      </c>
      <c r="H200" s="87" t="s">
        <v>187</v>
      </c>
      <c r="I200" s="87" t="s">
        <v>592</v>
      </c>
      <c r="J200" s="87" t="s">
        <v>592</v>
      </c>
      <c r="K200" s="85" t="s">
        <v>104</v>
      </c>
      <c r="L200" s="85" t="s">
        <v>105</v>
      </c>
      <c r="M200" s="87" t="s">
        <v>106</v>
      </c>
      <c r="N200" s="87" t="s">
        <v>622</v>
      </c>
      <c r="O200" s="87" t="s">
        <v>127</v>
      </c>
      <c r="P200" s="87" t="s">
        <v>633</v>
      </c>
      <c r="Q200" s="87" t="s">
        <v>129</v>
      </c>
      <c r="R200" s="130">
        <v>1</v>
      </c>
      <c r="S200" s="88" t="s">
        <v>111</v>
      </c>
      <c r="T200" s="81">
        <v>25</v>
      </c>
      <c r="U200" s="81"/>
      <c r="V200" s="25">
        <f t="shared" si="150"/>
        <v>0</v>
      </c>
      <c r="W200" s="81">
        <v>25</v>
      </c>
      <c r="X200" s="81"/>
      <c r="Y200" s="25">
        <f t="shared" si="1"/>
        <v>0</v>
      </c>
      <c r="Z200" s="81">
        <v>25</v>
      </c>
      <c r="AA200" s="81"/>
      <c r="AB200" s="25">
        <f t="shared" si="2"/>
        <v>0</v>
      </c>
      <c r="AC200" s="81">
        <v>25</v>
      </c>
      <c r="AD200" s="81"/>
      <c r="AE200" s="25">
        <f t="shared" si="3"/>
        <v>0</v>
      </c>
      <c r="AF200" s="137">
        <f t="shared" si="132"/>
        <v>1</v>
      </c>
      <c r="AG200" s="137">
        <f t="shared" si="133"/>
        <v>0</v>
      </c>
      <c r="AH200" s="128">
        <f t="shared" si="130"/>
        <v>0</v>
      </c>
      <c r="AI200" s="90">
        <v>46113</v>
      </c>
      <c r="AJ200" s="90">
        <v>46477</v>
      </c>
      <c r="AK200" s="91" t="s">
        <v>112</v>
      </c>
      <c r="AL200" s="91" t="s">
        <v>113</v>
      </c>
      <c r="AM200" s="92" t="s">
        <v>114</v>
      </c>
      <c r="AN200" s="93">
        <v>200000000</v>
      </c>
      <c r="AO200" s="93">
        <v>200000000</v>
      </c>
      <c r="AP200" s="93">
        <v>200000000</v>
      </c>
      <c r="AQ200" s="94">
        <v>0</v>
      </c>
      <c r="AR200" s="91" t="s">
        <v>159</v>
      </c>
      <c r="AS200" s="91" t="s">
        <v>112</v>
      </c>
      <c r="AT200" s="150" t="s">
        <v>628</v>
      </c>
      <c r="AU200" s="165" t="s">
        <v>2264</v>
      </c>
      <c r="AV200" s="232" t="s">
        <v>2234</v>
      </c>
      <c r="AW200" s="126" t="s">
        <v>2266</v>
      </c>
      <c r="BA200" s="255">
        <v>0</v>
      </c>
      <c r="BB200" s="256">
        <v>0</v>
      </c>
      <c r="BC200" s="223" t="e">
        <f t="shared" si="151"/>
        <v>#DIV/0!</v>
      </c>
      <c r="BD200" s="255">
        <v>0</v>
      </c>
      <c r="BE200" s="256">
        <v>0</v>
      </c>
      <c r="BF200" s="223" t="e">
        <f t="shared" si="152"/>
        <v>#DIV/0!</v>
      </c>
      <c r="BG200" s="255">
        <v>0</v>
      </c>
      <c r="BH200" s="256">
        <v>0</v>
      </c>
      <c r="BI200" s="223" t="e">
        <f t="shared" si="153"/>
        <v>#DIV/0!</v>
      </c>
      <c r="BJ200" s="224">
        <f t="shared" si="154"/>
        <v>0</v>
      </c>
      <c r="BK200" s="225">
        <f t="shared" si="155"/>
        <v>0</v>
      </c>
      <c r="BL200" s="223" t="e">
        <f t="shared" si="156"/>
        <v>#DIV/0!</v>
      </c>
      <c r="BM200" s="255">
        <v>0</v>
      </c>
      <c r="BN200" s="256">
        <v>0</v>
      </c>
      <c r="BO200" s="223" t="e">
        <f t="shared" si="134"/>
        <v>#DIV/0!</v>
      </c>
      <c r="BP200" s="255">
        <v>20</v>
      </c>
      <c r="BQ200" s="256">
        <v>0</v>
      </c>
      <c r="BR200" s="223">
        <f t="shared" si="135"/>
        <v>0</v>
      </c>
      <c r="BS200" s="255">
        <v>20</v>
      </c>
      <c r="BT200" s="255">
        <v>0</v>
      </c>
      <c r="BU200" s="223">
        <f t="shared" si="136"/>
        <v>0</v>
      </c>
      <c r="BV200" s="224">
        <f t="shared" si="157"/>
        <v>40</v>
      </c>
      <c r="BW200" s="224">
        <f t="shared" si="158"/>
        <v>0</v>
      </c>
      <c r="BX200" s="223">
        <f t="shared" si="159"/>
        <v>0</v>
      </c>
      <c r="BY200" s="223">
        <f t="shared" si="160"/>
        <v>0</v>
      </c>
      <c r="BZ200" s="223">
        <f t="shared" si="161"/>
        <v>0</v>
      </c>
      <c r="CA200" s="226"/>
      <c r="CB200" s="175"/>
      <c r="CC200" s="191">
        <v>20</v>
      </c>
      <c r="CD200" s="192">
        <v>0</v>
      </c>
      <c r="CE200" s="193">
        <f t="shared" si="137"/>
        <v>0</v>
      </c>
      <c r="CF200" s="191">
        <v>20</v>
      </c>
      <c r="CG200" s="192">
        <v>0</v>
      </c>
      <c r="CH200" s="193">
        <f t="shared" si="138"/>
        <v>0</v>
      </c>
      <c r="CI200" s="197"/>
      <c r="CJ200" s="198"/>
      <c r="CK200" s="193" t="e">
        <f t="shared" si="139"/>
        <v>#DIV/0!</v>
      </c>
      <c r="CL200" s="195">
        <f t="shared" si="140"/>
        <v>40</v>
      </c>
      <c r="CM200" s="194">
        <f t="shared" si="141"/>
        <v>0</v>
      </c>
      <c r="CN200" s="193">
        <f t="shared" si="142"/>
        <v>0</v>
      </c>
      <c r="CO200" s="175"/>
      <c r="CP200" s="196">
        <f t="shared" si="143"/>
        <v>80</v>
      </c>
      <c r="CQ200" s="196">
        <f t="shared" si="144"/>
        <v>0</v>
      </c>
      <c r="CR200" s="199">
        <f t="shared" si="145"/>
        <v>0</v>
      </c>
      <c r="CS200" s="261">
        <f t="shared" si="162"/>
        <v>1</v>
      </c>
      <c r="CT200" s="175"/>
      <c r="CU200" s="196">
        <f t="shared" si="163"/>
        <v>0.3</v>
      </c>
      <c r="CV200" s="259"/>
      <c r="CW200" s="199">
        <f t="shared" si="164"/>
        <v>0</v>
      </c>
      <c r="CX200" s="196">
        <f t="shared" si="165"/>
        <v>0.3</v>
      </c>
      <c r="CY200" s="259"/>
      <c r="CZ200" s="199">
        <f t="shared" si="166"/>
        <v>0</v>
      </c>
      <c r="DA200" s="196">
        <f t="shared" si="167"/>
        <v>0.3</v>
      </c>
      <c r="DB200" s="259"/>
      <c r="DC200" s="199">
        <f t="shared" si="168"/>
        <v>0</v>
      </c>
      <c r="DD200" s="196">
        <f t="shared" si="169"/>
        <v>0.1</v>
      </c>
      <c r="DE200" s="259"/>
      <c r="DF200" s="199">
        <f t="shared" si="170"/>
        <v>0</v>
      </c>
      <c r="DG200" s="175"/>
      <c r="DH200" s="196">
        <f t="shared" si="171"/>
        <v>1</v>
      </c>
      <c r="DI200" s="196">
        <f t="shared" si="172"/>
        <v>0</v>
      </c>
      <c r="DJ200" s="199">
        <f t="shared" si="173"/>
        <v>0</v>
      </c>
      <c r="DK200" s="265">
        <f t="shared" si="174"/>
        <v>1</v>
      </c>
      <c r="DM200">
        <f t="shared" si="149"/>
        <v>196</v>
      </c>
    </row>
    <row r="201" spans="1:117" x14ac:dyDescent="0.3">
      <c r="A201" s="250">
        <v>197</v>
      </c>
      <c r="B201" s="91" t="s">
        <v>270</v>
      </c>
      <c r="C201" s="91" t="s">
        <v>118</v>
      </c>
      <c r="D201" s="91" t="s">
        <v>119</v>
      </c>
      <c r="E201" s="91" t="s">
        <v>155</v>
      </c>
      <c r="F201" s="91" t="s">
        <v>598</v>
      </c>
      <c r="G201" s="87" t="s">
        <v>186</v>
      </c>
      <c r="H201" s="87" t="s">
        <v>187</v>
      </c>
      <c r="I201" s="87" t="s">
        <v>592</v>
      </c>
      <c r="J201" s="87" t="s">
        <v>592</v>
      </c>
      <c r="K201" s="85" t="s">
        <v>104</v>
      </c>
      <c r="L201" s="85" t="s">
        <v>105</v>
      </c>
      <c r="M201" s="87" t="s">
        <v>106</v>
      </c>
      <c r="N201" s="87" t="s">
        <v>622</v>
      </c>
      <c r="O201" s="87" t="s">
        <v>127</v>
      </c>
      <c r="P201" s="87" t="s">
        <v>634</v>
      </c>
      <c r="Q201" s="87" t="s">
        <v>129</v>
      </c>
      <c r="R201" s="130">
        <v>100</v>
      </c>
      <c r="S201" s="88" t="s">
        <v>158</v>
      </c>
      <c r="T201" s="81">
        <v>25</v>
      </c>
      <c r="U201" s="81"/>
      <c r="V201" s="25">
        <f t="shared" si="150"/>
        <v>0</v>
      </c>
      <c r="W201" s="81">
        <v>25</v>
      </c>
      <c r="X201" s="81"/>
      <c r="Y201" s="25">
        <f t="shared" si="1"/>
        <v>0</v>
      </c>
      <c r="Z201" s="81">
        <v>25</v>
      </c>
      <c r="AA201" s="81"/>
      <c r="AB201" s="25">
        <f t="shared" si="2"/>
        <v>0</v>
      </c>
      <c r="AC201" s="81">
        <v>25</v>
      </c>
      <c r="AD201" s="81"/>
      <c r="AE201" s="25">
        <f t="shared" si="3"/>
        <v>0</v>
      </c>
      <c r="AF201" s="137">
        <f t="shared" si="132"/>
        <v>100</v>
      </c>
      <c r="AG201" s="137">
        <f t="shared" si="133"/>
        <v>0</v>
      </c>
      <c r="AH201" s="128">
        <f t="shared" si="130"/>
        <v>0</v>
      </c>
      <c r="AI201" s="90">
        <v>46113</v>
      </c>
      <c r="AJ201" s="90">
        <v>46477</v>
      </c>
      <c r="AK201" s="91" t="s">
        <v>112</v>
      </c>
      <c r="AL201" s="91" t="s">
        <v>113</v>
      </c>
      <c r="AM201" s="92" t="s">
        <v>114</v>
      </c>
      <c r="AN201" s="93">
        <v>10000000</v>
      </c>
      <c r="AO201" s="93">
        <v>10000000</v>
      </c>
      <c r="AP201" s="93">
        <v>10000000</v>
      </c>
      <c r="AQ201" s="94">
        <v>0</v>
      </c>
      <c r="AR201" s="91" t="s">
        <v>159</v>
      </c>
      <c r="AS201" s="91" t="s">
        <v>112</v>
      </c>
      <c r="AT201" s="150" t="s">
        <v>628</v>
      </c>
      <c r="AU201" s="165" t="s">
        <v>2264</v>
      </c>
      <c r="AV201" s="232" t="s">
        <v>2234</v>
      </c>
      <c r="AW201" s="126" t="s">
        <v>2266</v>
      </c>
      <c r="BA201" s="255">
        <v>0</v>
      </c>
      <c r="BB201" s="256">
        <v>0</v>
      </c>
      <c r="BC201" s="223" t="e">
        <f t="shared" si="151"/>
        <v>#DIV/0!</v>
      </c>
      <c r="BD201" s="255">
        <v>0</v>
      </c>
      <c r="BE201" s="256">
        <v>0</v>
      </c>
      <c r="BF201" s="223" t="e">
        <f t="shared" si="152"/>
        <v>#DIV/0!</v>
      </c>
      <c r="BG201" s="255">
        <v>0</v>
      </c>
      <c r="BH201" s="256">
        <v>0</v>
      </c>
      <c r="BI201" s="223" t="e">
        <f t="shared" si="153"/>
        <v>#DIV/0!</v>
      </c>
      <c r="BJ201" s="224">
        <f t="shared" si="154"/>
        <v>0</v>
      </c>
      <c r="BK201" s="225">
        <f t="shared" si="155"/>
        <v>0</v>
      </c>
      <c r="BL201" s="223" t="e">
        <f t="shared" si="156"/>
        <v>#DIV/0!</v>
      </c>
      <c r="BM201" s="255">
        <v>0</v>
      </c>
      <c r="BN201" s="256">
        <v>0</v>
      </c>
      <c r="BO201" s="223" t="e">
        <f t="shared" si="134"/>
        <v>#DIV/0!</v>
      </c>
      <c r="BP201" s="255">
        <v>50</v>
      </c>
      <c r="BQ201" s="256">
        <v>0</v>
      </c>
      <c r="BR201" s="223">
        <f t="shared" si="135"/>
        <v>0</v>
      </c>
      <c r="BS201" s="255">
        <v>0</v>
      </c>
      <c r="BT201" s="255">
        <v>0</v>
      </c>
      <c r="BU201" s="223" t="e">
        <f t="shared" si="136"/>
        <v>#DIV/0!</v>
      </c>
      <c r="BV201" s="224">
        <f t="shared" si="157"/>
        <v>50</v>
      </c>
      <c r="BW201" s="224">
        <f t="shared" si="158"/>
        <v>0</v>
      </c>
      <c r="BX201" s="223">
        <f t="shared" si="159"/>
        <v>0</v>
      </c>
      <c r="BY201" s="223">
        <f t="shared" si="160"/>
        <v>0</v>
      </c>
      <c r="BZ201" s="223">
        <f t="shared" si="161"/>
        <v>0</v>
      </c>
      <c r="CA201" s="226"/>
      <c r="CB201" s="175"/>
      <c r="CC201" s="191">
        <v>0</v>
      </c>
      <c r="CD201" s="192">
        <v>0</v>
      </c>
      <c r="CE201" s="193" t="e">
        <f t="shared" si="137"/>
        <v>#DIV/0!</v>
      </c>
      <c r="CF201" s="191">
        <v>0</v>
      </c>
      <c r="CG201" s="192">
        <v>0</v>
      </c>
      <c r="CH201" s="193" t="e">
        <f t="shared" si="138"/>
        <v>#DIV/0!</v>
      </c>
      <c r="CI201" s="197"/>
      <c r="CJ201" s="198"/>
      <c r="CK201" s="193" t="e">
        <f t="shared" si="139"/>
        <v>#DIV/0!</v>
      </c>
      <c r="CL201" s="195">
        <f t="shared" si="140"/>
        <v>0</v>
      </c>
      <c r="CM201" s="194">
        <f t="shared" si="141"/>
        <v>0</v>
      </c>
      <c r="CN201" s="193" t="e">
        <f t="shared" si="142"/>
        <v>#DIV/0!</v>
      </c>
      <c r="CO201" s="175"/>
      <c r="CP201" s="196">
        <f t="shared" si="143"/>
        <v>50</v>
      </c>
      <c r="CQ201" s="196">
        <f t="shared" si="144"/>
        <v>0</v>
      </c>
      <c r="CR201" s="199">
        <f t="shared" si="145"/>
        <v>0</v>
      </c>
      <c r="CS201" s="261">
        <f t="shared" si="162"/>
        <v>100</v>
      </c>
      <c r="CT201" s="175"/>
      <c r="CU201" s="196">
        <f t="shared" si="163"/>
        <v>30</v>
      </c>
      <c r="CV201" s="259"/>
      <c r="CW201" s="199">
        <f t="shared" si="164"/>
        <v>0</v>
      </c>
      <c r="CX201" s="196">
        <f t="shared" si="165"/>
        <v>30</v>
      </c>
      <c r="CY201" s="259"/>
      <c r="CZ201" s="199">
        <f t="shared" si="166"/>
        <v>0</v>
      </c>
      <c r="DA201" s="196">
        <f t="shared" si="167"/>
        <v>30</v>
      </c>
      <c r="DB201" s="259"/>
      <c r="DC201" s="199">
        <f t="shared" si="168"/>
        <v>0</v>
      </c>
      <c r="DD201" s="196">
        <f t="shared" si="169"/>
        <v>10</v>
      </c>
      <c r="DE201" s="259"/>
      <c r="DF201" s="199">
        <f t="shared" si="170"/>
        <v>0</v>
      </c>
      <c r="DG201" s="175"/>
      <c r="DH201" s="196">
        <f t="shared" si="171"/>
        <v>100</v>
      </c>
      <c r="DI201" s="196">
        <f t="shared" si="172"/>
        <v>0</v>
      </c>
      <c r="DJ201" s="199">
        <f t="shared" si="173"/>
        <v>0</v>
      </c>
      <c r="DK201" s="265">
        <f t="shared" si="174"/>
        <v>100</v>
      </c>
      <c r="DM201">
        <f t="shared" si="149"/>
        <v>197</v>
      </c>
    </row>
    <row r="202" spans="1:117" x14ac:dyDescent="0.3">
      <c r="A202" s="250">
        <v>198</v>
      </c>
      <c r="B202" s="91" t="s">
        <v>270</v>
      </c>
      <c r="C202" s="91" t="s">
        <v>118</v>
      </c>
      <c r="D202" s="91" t="s">
        <v>119</v>
      </c>
      <c r="E202" s="91" t="s">
        <v>155</v>
      </c>
      <c r="F202" s="91" t="s">
        <v>598</v>
      </c>
      <c r="G202" s="87" t="s">
        <v>186</v>
      </c>
      <c r="H202" s="87" t="s">
        <v>187</v>
      </c>
      <c r="I202" s="87" t="s">
        <v>592</v>
      </c>
      <c r="J202" s="87" t="s">
        <v>592</v>
      </c>
      <c r="K202" s="85" t="s">
        <v>104</v>
      </c>
      <c r="L202" s="85" t="s">
        <v>105</v>
      </c>
      <c r="M202" s="87" t="s">
        <v>106</v>
      </c>
      <c r="N202" s="87" t="s">
        <v>622</v>
      </c>
      <c r="O202" s="87" t="s">
        <v>127</v>
      </c>
      <c r="P202" s="87" t="s">
        <v>635</v>
      </c>
      <c r="Q202" s="87" t="s">
        <v>129</v>
      </c>
      <c r="R202" s="130">
        <v>100</v>
      </c>
      <c r="S202" s="88" t="s">
        <v>158</v>
      </c>
      <c r="T202" s="81">
        <v>25</v>
      </c>
      <c r="U202" s="81"/>
      <c r="V202" s="25">
        <f t="shared" si="150"/>
        <v>0</v>
      </c>
      <c r="W202" s="81">
        <v>25</v>
      </c>
      <c r="X202" s="81"/>
      <c r="Y202" s="25">
        <f t="shared" si="1"/>
        <v>0</v>
      </c>
      <c r="Z202" s="81">
        <v>25</v>
      </c>
      <c r="AA202" s="81"/>
      <c r="AB202" s="25">
        <f t="shared" si="2"/>
        <v>0</v>
      </c>
      <c r="AC202" s="81">
        <v>25</v>
      </c>
      <c r="AD202" s="81"/>
      <c r="AE202" s="25">
        <f t="shared" si="3"/>
        <v>0</v>
      </c>
      <c r="AF202" s="137">
        <f t="shared" si="132"/>
        <v>100</v>
      </c>
      <c r="AG202" s="137">
        <f t="shared" si="133"/>
        <v>0</v>
      </c>
      <c r="AH202" s="128">
        <f t="shared" si="130"/>
        <v>0</v>
      </c>
      <c r="AI202" s="90">
        <v>46113</v>
      </c>
      <c r="AJ202" s="90">
        <v>46477</v>
      </c>
      <c r="AK202" s="91" t="s">
        <v>112</v>
      </c>
      <c r="AL202" s="91" t="s">
        <v>113</v>
      </c>
      <c r="AM202" s="92" t="s">
        <v>114</v>
      </c>
      <c r="AN202" s="93">
        <v>10000000</v>
      </c>
      <c r="AO202" s="93">
        <v>10000000</v>
      </c>
      <c r="AP202" s="93">
        <v>10000000</v>
      </c>
      <c r="AQ202" s="94">
        <v>0</v>
      </c>
      <c r="AR202" s="91" t="s">
        <v>159</v>
      </c>
      <c r="AS202" s="91" t="s">
        <v>112</v>
      </c>
      <c r="AT202" s="150" t="s">
        <v>628</v>
      </c>
      <c r="AU202" s="165" t="s">
        <v>2264</v>
      </c>
      <c r="AV202" s="232" t="s">
        <v>2234</v>
      </c>
      <c r="AW202" s="126" t="s">
        <v>2266</v>
      </c>
      <c r="BA202" s="255">
        <v>0</v>
      </c>
      <c r="BB202" s="256">
        <v>0</v>
      </c>
      <c r="BC202" s="223" t="e">
        <f t="shared" si="151"/>
        <v>#DIV/0!</v>
      </c>
      <c r="BD202" s="255">
        <v>0</v>
      </c>
      <c r="BE202" s="256">
        <v>0</v>
      </c>
      <c r="BF202" s="223" t="e">
        <f t="shared" si="152"/>
        <v>#DIV/0!</v>
      </c>
      <c r="BG202" s="255">
        <v>0</v>
      </c>
      <c r="BH202" s="256">
        <v>0</v>
      </c>
      <c r="BI202" s="223" t="e">
        <f t="shared" si="153"/>
        <v>#DIV/0!</v>
      </c>
      <c r="BJ202" s="224">
        <f t="shared" si="154"/>
        <v>0</v>
      </c>
      <c r="BK202" s="225">
        <f t="shared" si="155"/>
        <v>0</v>
      </c>
      <c r="BL202" s="223" t="e">
        <f t="shared" si="156"/>
        <v>#DIV/0!</v>
      </c>
      <c r="BM202" s="255">
        <v>0</v>
      </c>
      <c r="BN202" s="256">
        <v>0</v>
      </c>
      <c r="BO202" s="223" t="e">
        <f t="shared" si="134"/>
        <v>#DIV/0!</v>
      </c>
      <c r="BP202" s="255">
        <v>0</v>
      </c>
      <c r="BQ202" s="256">
        <v>0</v>
      </c>
      <c r="BR202" s="223" t="e">
        <f t="shared" si="135"/>
        <v>#DIV/0!</v>
      </c>
      <c r="BS202" s="255">
        <v>100</v>
      </c>
      <c r="BT202" s="255">
        <v>100</v>
      </c>
      <c r="BU202" s="223">
        <f t="shared" si="136"/>
        <v>1</v>
      </c>
      <c r="BV202" s="224">
        <f t="shared" si="157"/>
        <v>100</v>
      </c>
      <c r="BW202" s="224">
        <f t="shared" si="158"/>
        <v>100</v>
      </c>
      <c r="BX202" s="223">
        <f t="shared" si="159"/>
        <v>1</v>
      </c>
      <c r="BY202" s="223">
        <f t="shared" si="160"/>
        <v>1</v>
      </c>
      <c r="BZ202" s="223">
        <f t="shared" si="161"/>
        <v>-1</v>
      </c>
      <c r="CA202" s="226"/>
      <c r="CB202" s="175"/>
      <c r="CC202" s="191">
        <v>0</v>
      </c>
      <c r="CD202" s="192">
        <v>0</v>
      </c>
      <c r="CE202" s="193" t="e">
        <f t="shared" si="137"/>
        <v>#DIV/0!</v>
      </c>
      <c r="CF202" s="191">
        <v>0</v>
      </c>
      <c r="CG202" s="192">
        <v>0</v>
      </c>
      <c r="CH202" s="193" t="e">
        <f t="shared" si="138"/>
        <v>#DIV/0!</v>
      </c>
      <c r="CI202" s="197"/>
      <c r="CJ202" s="198"/>
      <c r="CK202" s="193" t="e">
        <f t="shared" si="139"/>
        <v>#DIV/0!</v>
      </c>
      <c r="CL202" s="195">
        <f t="shared" si="140"/>
        <v>0</v>
      </c>
      <c r="CM202" s="194">
        <f t="shared" si="141"/>
        <v>0</v>
      </c>
      <c r="CN202" s="193" t="e">
        <f t="shared" si="142"/>
        <v>#DIV/0!</v>
      </c>
      <c r="CO202" s="175"/>
      <c r="CP202" s="196">
        <f t="shared" si="143"/>
        <v>100</v>
      </c>
      <c r="CQ202" s="196">
        <f t="shared" si="144"/>
        <v>100</v>
      </c>
      <c r="CR202" s="199">
        <f t="shared" si="145"/>
        <v>1</v>
      </c>
      <c r="CS202" s="261">
        <f t="shared" si="162"/>
        <v>0</v>
      </c>
      <c r="CT202" s="175"/>
      <c r="CU202" s="196">
        <f t="shared" si="163"/>
        <v>0</v>
      </c>
      <c r="CV202" s="259"/>
      <c r="CW202" s="199" t="e">
        <f t="shared" si="164"/>
        <v>#DIV/0!</v>
      </c>
      <c r="CX202" s="196">
        <f t="shared" si="165"/>
        <v>0</v>
      </c>
      <c r="CY202" s="259"/>
      <c r="CZ202" s="199" t="e">
        <f t="shared" si="166"/>
        <v>#DIV/0!</v>
      </c>
      <c r="DA202" s="196">
        <f t="shared" si="167"/>
        <v>0</v>
      </c>
      <c r="DB202" s="259"/>
      <c r="DC202" s="199" t="e">
        <f t="shared" si="168"/>
        <v>#DIV/0!</v>
      </c>
      <c r="DD202" s="196">
        <f t="shared" si="169"/>
        <v>0</v>
      </c>
      <c r="DE202" s="259"/>
      <c r="DF202" s="199" t="e">
        <f t="shared" si="170"/>
        <v>#DIV/0!</v>
      </c>
      <c r="DG202" s="175"/>
      <c r="DH202" s="196">
        <f t="shared" si="171"/>
        <v>100</v>
      </c>
      <c r="DI202" s="196">
        <f t="shared" si="172"/>
        <v>100</v>
      </c>
      <c r="DJ202" s="199">
        <f t="shared" si="173"/>
        <v>1</v>
      </c>
      <c r="DK202" s="265">
        <f t="shared" si="174"/>
        <v>0</v>
      </c>
      <c r="DM202">
        <f t="shared" si="149"/>
        <v>198</v>
      </c>
    </row>
    <row r="203" spans="1:117" x14ac:dyDescent="0.3">
      <c r="A203" s="250">
        <v>199</v>
      </c>
      <c r="B203" s="91" t="s">
        <v>270</v>
      </c>
      <c r="C203" s="91" t="s">
        <v>118</v>
      </c>
      <c r="D203" s="91" t="s">
        <v>119</v>
      </c>
      <c r="E203" s="91" t="s">
        <v>155</v>
      </c>
      <c r="F203" s="91" t="s">
        <v>598</v>
      </c>
      <c r="G203" s="87" t="s">
        <v>186</v>
      </c>
      <c r="H203" s="87" t="s">
        <v>187</v>
      </c>
      <c r="I203" s="87" t="s">
        <v>124</v>
      </c>
      <c r="J203" s="87" t="s">
        <v>124</v>
      </c>
      <c r="K203" s="85" t="s">
        <v>104</v>
      </c>
      <c r="L203" s="85" t="s">
        <v>105</v>
      </c>
      <c r="M203" s="87" t="s">
        <v>106</v>
      </c>
      <c r="N203" s="87" t="s">
        <v>622</v>
      </c>
      <c r="O203" s="87" t="s">
        <v>127</v>
      </c>
      <c r="P203" s="87" t="s">
        <v>636</v>
      </c>
      <c r="Q203" s="87" t="s">
        <v>129</v>
      </c>
      <c r="R203" s="130">
        <v>100</v>
      </c>
      <c r="S203" s="88" t="s">
        <v>158</v>
      </c>
      <c r="T203" s="81">
        <v>25</v>
      </c>
      <c r="U203" s="81"/>
      <c r="V203" s="25">
        <f t="shared" si="150"/>
        <v>0</v>
      </c>
      <c r="W203" s="81">
        <v>25</v>
      </c>
      <c r="X203" s="81"/>
      <c r="Y203" s="25">
        <f t="shared" si="1"/>
        <v>0</v>
      </c>
      <c r="Z203" s="81">
        <v>25</v>
      </c>
      <c r="AA203" s="81"/>
      <c r="AB203" s="25">
        <f t="shared" si="2"/>
        <v>0</v>
      </c>
      <c r="AC203" s="81">
        <v>25</v>
      </c>
      <c r="AD203" s="81"/>
      <c r="AE203" s="25">
        <f t="shared" si="3"/>
        <v>0</v>
      </c>
      <c r="AF203" s="137">
        <f t="shared" si="132"/>
        <v>100</v>
      </c>
      <c r="AG203" s="137">
        <f t="shared" si="133"/>
        <v>0</v>
      </c>
      <c r="AH203" s="128">
        <f t="shared" si="130"/>
        <v>0</v>
      </c>
      <c r="AI203" s="90">
        <v>46113</v>
      </c>
      <c r="AJ203" s="90">
        <v>46477</v>
      </c>
      <c r="AK203" s="91" t="s">
        <v>112</v>
      </c>
      <c r="AL203" s="91" t="s">
        <v>113</v>
      </c>
      <c r="AM203" s="92" t="s">
        <v>114</v>
      </c>
      <c r="AN203" s="93">
        <v>15000000</v>
      </c>
      <c r="AO203" s="93">
        <v>15000000</v>
      </c>
      <c r="AP203" s="93">
        <v>15000000</v>
      </c>
      <c r="AQ203" s="94">
        <v>0</v>
      </c>
      <c r="AR203" s="91" t="s">
        <v>159</v>
      </c>
      <c r="AS203" s="91" t="s">
        <v>112</v>
      </c>
      <c r="AT203" s="150" t="s">
        <v>628</v>
      </c>
      <c r="AU203" s="165" t="s">
        <v>2264</v>
      </c>
      <c r="AV203" s="232" t="s">
        <v>2234</v>
      </c>
      <c r="AW203" s="126" t="s">
        <v>2266</v>
      </c>
      <c r="BA203" s="255">
        <v>0</v>
      </c>
      <c r="BB203" s="256">
        <v>0</v>
      </c>
      <c r="BC203" s="223" t="e">
        <f t="shared" si="151"/>
        <v>#DIV/0!</v>
      </c>
      <c r="BD203" s="255">
        <v>0</v>
      </c>
      <c r="BE203" s="256">
        <v>0</v>
      </c>
      <c r="BF203" s="223" t="e">
        <f t="shared" si="152"/>
        <v>#DIV/0!</v>
      </c>
      <c r="BG203" s="255">
        <v>0</v>
      </c>
      <c r="BH203" s="256">
        <v>0</v>
      </c>
      <c r="BI203" s="223" t="e">
        <f t="shared" si="153"/>
        <v>#DIV/0!</v>
      </c>
      <c r="BJ203" s="224">
        <f t="shared" si="154"/>
        <v>0</v>
      </c>
      <c r="BK203" s="225">
        <f t="shared" si="155"/>
        <v>0</v>
      </c>
      <c r="BL203" s="223" t="e">
        <f t="shared" si="156"/>
        <v>#DIV/0!</v>
      </c>
      <c r="BM203" s="255">
        <v>0</v>
      </c>
      <c r="BN203" s="256">
        <v>0</v>
      </c>
      <c r="BO203" s="223" t="e">
        <f t="shared" si="134"/>
        <v>#DIV/0!</v>
      </c>
      <c r="BP203" s="255">
        <v>0</v>
      </c>
      <c r="BQ203" s="256">
        <v>0</v>
      </c>
      <c r="BR203" s="223" t="e">
        <f t="shared" si="135"/>
        <v>#DIV/0!</v>
      </c>
      <c r="BS203" s="255">
        <v>50</v>
      </c>
      <c r="BT203" s="255">
        <v>0</v>
      </c>
      <c r="BU203" s="223">
        <f t="shared" si="136"/>
        <v>0</v>
      </c>
      <c r="BV203" s="224">
        <f t="shared" si="157"/>
        <v>50</v>
      </c>
      <c r="BW203" s="224">
        <f t="shared" si="158"/>
        <v>0</v>
      </c>
      <c r="BX203" s="223">
        <f t="shared" si="159"/>
        <v>0</v>
      </c>
      <c r="BY203" s="223">
        <f t="shared" si="160"/>
        <v>0</v>
      </c>
      <c r="BZ203" s="223">
        <f t="shared" si="161"/>
        <v>0</v>
      </c>
      <c r="CA203" s="226"/>
      <c r="CB203" s="175"/>
      <c r="CC203" s="191">
        <v>50</v>
      </c>
      <c r="CD203" s="192">
        <v>0</v>
      </c>
      <c r="CE203" s="193">
        <f t="shared" si="137"/>
        <v>0</v>
      </c>
      <c r="CF203" s="191">
        <v>0</v>
      </c>
      <c r="CG203" s="192">
        <v>0</v>
      </c>
      <c r="CH203" s="193" t="e">
        <f t="shared" si="138"/>
        <v>#DIV/0!</v>
      </c>
      <c r="CI203" s="197"/>
      <c r="CJ203" s="198"/>
      <c r="CK203" s="193" t="e">
        <f t="shared" si="139"/>
        <v>#DIV/0!</v>
      </c>
      <c r="CL203" s="195">
        <f t="shared" si="140"/>
        <v>50</v>
      </c>
      <c r="CM203" s="194">
        <f t="shared" si="141"/>
        <v>0</v>
      </c>
      <c r="CN203" s="193">
        <f t="shared" si="142"/>
        <v>0</v>
      </c>
      <c r="CO203" s="175"/>
      <c r="CP203" s="196">
        <f t="shared" si="143"/>
        <v>100</v>
      </c>
      <c r="CQ203" s="196">
        <f t="shared" si="144"/>
        <v>0</v>
      </c>
      <c r="CR203" s="199">
        <f t="shared" si="145"/>
        <v>0</v>
      </c>
      <c r="CS203" s="261">
        <f t="shared" si="162"/>
        <v>100</v>
      </c>
      <c r="CT203" s="175"/>
      <c r="CU203" s="196">
        <f t="shared" si="163"/>
        <v>30</v>
      </c>
      <c r="CV203" s="259"/>
      <c r="CW203" s="199">
        <f t="shared" si="164"/>
        <v>0</v>
      </c>
      <c r="CX203" s="196">
        <f t="shared" si="165"/>
        <v>30</v>
      </c>
      <c r="CY203" s="259"/>
      <c r="CZ203" s="199">
        <f t="shared" si="166"/>
        <v>0</v>
      </c>
      <c r="DA203" s="196">
        <f t="shared" si="167"/>
        <v>30</v>
      </c>
      <c r="DB203" s="259"/>
      <c r="DC203" s="199">
        <f t="shared" si="168"/>
        <v>0</v>
      </c>
      <c r="DD203" s="196">
        <f t="shared" si="169"/>
        <v>10</v>
      </c>
      <c r="DE203" s="259"/>
      <c r="DF203" s="199">
        <f t="shared" si="170"/>
        <v>0</v>
      </c>
      <c r="DG203" s="175"/>
      <c r="DH203" s="196">
        <f t="shared" si="171"/>
        <v>100</v>
      </c>
      <c r="DI203" s="196">
        <f t="shared" si="172"/>
        <v>0</v>
      </c>
      <c r="DJ203" s="199">
        <f t="shared" si="173"/>
        <v>0</v>
      </c>
      <c r="DK203" s="265">
        <f t="shared" si="174"/>
        <v>100</v>
      </c>
      <c r="DM203">
        <f t="shared" si="149"/>
        <v>199</v>
      </c>
    </row>
    <row r="204" spans="1:117" x14ac:dyDescent="0.3">
      <c r="A204" s="250">
        <v>200</v>
      </c>
      <c r="B204" s="91" t="s">
        <v>270</v>
      </c>
      <c r="C204" s="91" t="s">
        <v>118</v>
      </c>
      <c r="D204" s="91" t="s">
        <v>119</v>
      </c>
      <c r="E204" s="91" t="s">
        <v>155</v>
      </c>
      <c r="F204" s="91" t="s">
        <v>598</v>
      </c>
      <c r="G204" s="87" t="s">
        <v>186</v>
      </c>
      <c r="H204" s="87" t="s">
        <v>187</v>
      </c>
      <c r="I204" s="87" t="s">
        <v>103</v>
      </c>
      <c r="J204" s="87" t="s">
        <v>103</v>
      </c>
      <c r="K204" s="85" t="s">
        <v>104</v>
      </c>
      <c r="L204" s="85" t="s">
        <v>105</v>
      </c>
      <c r="M204" s="87" t="s">
        <v>106</v>
      </c>
      <c r="N204" s="87" t="s">
        <v>622</v>
      </c>
      <c r="O204" s="87" t="s">
        <v>127</v>
      </c>
      <c r="P204" s="87" t="s">
        <v>637</v>
      </c>
      <c r="Q204" s="87" t="s">
        <v>129</v>
      </c>
      <c r="R204" s="130">
        <v>100</v>
      </c>
      <c r="S204" s="88" t="s">
        <v>158</v>
      </c>
      <c r="T204" s="81"/>
      <c r="U204" s="81"/>
      <c r="V204" s="25" t="e">
        <f t="shared" si="150"/>
        <v>#DIV/0!</v>
      </c>
      <c r="W204" s="81"/>
      <c r="X204" s="81"/>
      <c r="Y204" s="25" t="e">
        <f t="shared" si="1"/>
        <v>#DIV/0!</v>
      </c>
      <c r="Z204" s="81"/>
      <c r="AA204" s="81"/>
      <c r="AB204" s="25" t="e">
        <f t="shared" si="2"/>
        <v>#DIV/0!</v>
      </c>
      <c r="AC204" s="81">
        <v>1</v>
      </c>
      <c r="AD204" s="81"/>
      <c r="AE204" s="25">
        <f t="shared" si="3"/>
        <v>0</v>
      </c>
      <c r="AF204" s="137">
        <f t="shared" si="132"/>
        <v>100</v>
      </c>
      <c r="AG204" s="137">
        <f t="shared" si="133"/>
        <v>0</v>
      </c>
      <c r="AH204" s="128">
        <f t="shared" si="130"/>
        <v>0</v>
      </c>
      <c r="AI204" s="90">
        <v>46113</v>
      </c>
      <c r="AJ204" s="90">
        <v>46477</v>
      </c>
      <c r="AK204" s="91" t="s">
        <v>112</v>
      </c>
      <c r="AL204" s="91" t="s">
        <v>113</v>
      </c>
      <c r="AM204" s="92" t="s">
        <v>114</v>
      </c>
      <c r="AN204" s="93">
        <v>70000000</v>
      </c>
      <c r="AO204" s="93">
        <v>70000000</v>
      </c>
      <c r="AP204" s="93">
        <v>70000000</v>
      </c>
      <c r="AQ204" s="94">
        <v>0</v>
      </c>
      <c r="AR204" s="91" t="s">
        <v>159</v>
      </c>
      <c r="AS204" s="91" t="s">
        <v>112</v>
      </c>
      <c r="AT204" s="150" t="s">
        <v>628</v>
      </c>
      <c r="AU204" s="165" t="s">
        <v>2264</v>
      </c>
      <c r="AV204" s="232" t="s">
        <v>2234</v>
      </c>
      <c r="AW204" s="126" t="s">
        <v>2266</v>
      </c>
      <c r="BA204" s="255"/>
      <c r="BB204" s="256"/>
      <c r="BC204" s="223" t="e">
        <f t="shared" si="151"/>
        <v>#DIV/0!</v>
      </c>
      <c r="BD204" s="255"/>
      <c r="BE204" s="256"/>
      <c r="BF204" s="223" t="e">
        <f t="shared" si="152"/>
        <v>#DIV/0!</v>
      </c>
      <c r="BG204" s="255"/>
      <c r="BH204" s="256"/>
      <c r="BI204" s="223" t="e">
        <f t="shared" si="153"/>
        <v>#DIV/0!</v>
      </c>
      <c r="BJ204" s="224">
        <f t="shared" si="154"/>
        <v>0</v>
      </c>
      <c r="BK204" s="225">
        <f t="shared" si="155"/>
        <v>0</v>
      </c>
      <c r="BL204" s="223" t="e">
        <f t="shared" si="156"/>
        <v>#DIV/0!</v>
      </c>
      <c r="BM204" s="255"/>
      <c r="BN204" s="256"/>
      <c r="BO204" s="223" t="e">
        <f t="shared" si="134"/>
        <v>#DIV/0!</v>
      </c>
      <c r="BP204" s="255"/>
      <c r="BQ204" s="256"/>
      <c r="BR204" s="223" t="e">
        <f t="shared" si="135"/>
        <v>#DIV/0!</v>
      </c>
      <c r="BS204" s="255"/>
      <c r="BT204" s="255"/>
      <c r="BU204" s="223" t="e">
        <f t="shared" si="136"/>
        <v>#DIV/0!</v>
      </c>
      <c r="BV204" s="224">
        <f t="shared" si="157"/>
        <v>0</v>
      </c>
      <c r="BW204" s="224">
        <f t="shared" si="158"/>
        <v>0</v>
      </c>
      <c r="BX204" s="223" t="e">
        <f t="shared" si="159"/>
        <v>#DIV/0!</v>
      </c>
      <c r="BY204" s="223">
        <f t="shared" si="160"/>
        <v>0</v>
      </c>
      <c r="BZ204" s="223">
        <f t="shared" si="161"/>
        <v>0</v>
      </c>
      <c r="CA204" s="226"/>
      <c r="CB204" s="175"/>
      <c r="CC204" s="191"/>
      <c r="CD204" s="192"/>
      <c r="CE204" s="193" t="e">
        <f t="shared" si="137"/>
        <v>#DIV/0!</v>
      </c>
      <c r="CF204" s="191"/>
      <c r="CG204" s="192"/>
      <c r="CH204" s="193" t="e">
        <f t="shared" si="138"/>
        <v>#DIV/0!</v>
      </c>
      <c r="CI204" s="197"/>
      <c r="CJ204" s="198"/>
      <c r="CK204" s="193" t="e">
        <f t="shared" si="139"/>
        <v>#DIV/0!</v>
      </c>
      <c r="CL204" s="195">
        <f t="shared" si="140"/>
        <v>0</v>
      </c>
      <c r="CM204" s="194">
        <f t="shared" si="141"/>
        <v>0</v>
      </c>
      <c r="CN204" s="193" t="e">
        <f t="shared" si="142"/>
        <v>#DIV/0!</v>
      </c>
      <c r="CO204" s="175"/>
      <c r="CP204" s="196">
        <f t="shared" si="143"/>
        <v>0</v>
      </c>
      <c r="CQ204" s="196">
        <f t="shared" si="144"/>
        <v>0</v>
      </c>
      <c r="CR204" s="199" t="e">
        <f t="shared" si="145"/>
        <v>#DIV/0!</v>
      </c>
      <c r="CS204" s="261">
        <f t="shared" si="162"/>
        <v>100</v>
      </c>
      <c r="CT204" s="175"/>
      <c r="CU204" s="196">
        <f t="shared" si="163"/>
        <v>30</v>
      </c>
      <c r="CV204" s="259"/>
      <c r="CW204" s="199">
        <f t="shared" si="164"/>
        <v>0</v>
      </c>
      <c r="CX204" s="196">
        <f t="shared" si="165"/>
        <v>30</v>
      </c>
      <c r="CY204" s="259"/>
      <c r="CZ204" s="199">
        <f t="shared" si="166"/>
        <v>0</v>
      </c>
      <c r="DA204" s="196">
        <f t="shared" si="167"/>
        <v>30</v>
      </c>
      <c r="DB204" s="259"/>
      <c r="DC204" s="199">
        <f t="shared" si="168"/>
        <v>0</v>
      </c>
      <c r="DD204" s="196">
        <f t="shared" si="169"/>
        <v>10</v>
      </c>
      <c r="DE204" s="259"/>
      <c r="DF204" s="199">
        <f t="shared" si="170"/>
        <v>0</v>
      </c>
      <c r="DG204" s="175"/>
      <c r="DH204" s="196">
        <f t="shared" si="171"/>
        <v>100</v>
      </c>
      <c r="DI204" s="196">
        <f t="shared" si="172"/>
        <v>0</v>
      </c>
      <c r="DJ204" s="199">
        <f t="shared" si="173"/>
        <v>0</v>
      </c>
      <c r="DK204" s="265">
        <f t="shared" si="174"/>
        <v>100</v>
      </c>
      <c r="DM204">
        <f t="shared" si="149"/>
        <v>200</v>
      </c>
    </row>
    <row r="205" spans="1:117" x14ac:dyDescent="0.3">
      <c r="A205" s="250">
        <v>201</v>
      </c>
      <c r="B205" s="91" t="s">
        <v>270</v>
      </c>
      <c r="C205" s="91" t="s">
        <v>118</v>
      </c>
      <c r="D205" s="91" t="s">
        <v>119</v>
      </c>
      <c r="E205" s="91" t="s">
        <v>155</v>
      </c>
      <c r="F205" s="91" t="s">
        <v>598</v>
      </c>
      <c r="G205" s="87" t="s">
        <v>186</v>
      </c>
      <c r="H205" s="87" t="s">
        <v>187</v>
      </c>
      <c r="I205" s="87" t="s">
        <v>592</v>
      </c>
      <c r="J205" s="87" t="s">
        <v>592</v>
      </c>
      <c r="K205" s="85" t="s">
        <v>104</v>
      </c>
      <c r="L205" s="85" t="s">
        <v>105</v>
      </c>
      <c r="M205" s="87" t="s">
        <v>106</v>
      </c>
      <c r="N205" s="87" t="s">
        <v>622</v>
      </c>
      <c r="O205" s="87" t="s">
        <v>127</v>
      </c>
      <c r="P205" s="87" t="s">
        <v>638</v>
      </c>
      <c r="Q205" s="87" t="s">
        <v>129</v>
      </c>
      <c r="R205" s="130">
        <v>1</v>
      </c>
      <c r="S205" s="88" t="s">
        <v>111</v>
      </c>
      <c r="T205" s="81">
        <v>25</v>
      </c>
      <c r="U205" s="81"/>
      <c r="V205" s="25">
        <f t="shared" si="150"/>
        <v>0</v>
      </c>
      <c r="W205" s="81">
        <v>25</v>
      </c>
      <c r="X205" s="81"/>
      <c r="Y205" s="25">
        <f t="shared" si="1"/>
        <v>0</v>
      </c>
      <c r="Z205" s="81">
        <v>25</v>
      </c>
      <c r="AA205" s="81"/>
      <c r="AB205" s="25">
        <f t="shared" si="2"/>
        <v>0</v>
      </c>
      <c r="AC205" s="81">
        <v>25</v>
      </c>
      <c r="AD205" s="81"/>
      <c r="AE205" s="25">
        <f t="shared" si="3"/>
        <v>0</v>
      </c>
      <c r="AF205" s="137">
        <f t="shared" si="132"/>
        <v>1</v>
      </c>
      <c r="AG205" s="137">
        <f t="shared" si="133"/>
        <v>0</v>
      </c>
      <c r="AH205" s="128">
        <f t="shared" si="130"/>
        <v>0</v>
      </c>
      <c r="AI205" s="90">
        <v>46113</v>
      </c>
      <c r="AJ205" s="90">
        <v>46477</v>
      </c>
      <c r="AK205" s="91" t="s">
        <v>112</v>
      </c>
      <c r="AL205" s="91" t="s">
        <v>113</v>
      </c>
      <c r="AM205" s="92" t="s">
        <v>114</v>
      </c>
      <c r="AN205" s="93">
        <v>50000000</v>
      </c>
      <c r="AO205" s="93">
        <v>50000000</v>
      </c>
      <c r="AP205" s="93">
        <v>50000000</v>
      </c>
      <c r="AQ205" s="94">
        <v>0</v>
      </c>
      <c r="AR205" s="91" t="s">
        <v>159</v>
      </c>
      <c r="AS205" s="91" t="s">
        <v>112</v>
      </c>
      <c r="AT205" s="150" t="s">
        <v>628</v>
      </c>
      <c r="AU205" s="165" t="s">
        <v>2264</v>
      </c>
      <c r="AV205" s="232" t="s">
        <v>2234</v>
      </c>
      <c r="AW205" s="126" t="s">
        <v>2266</v>
      </c>
      <c r="BA205" s="255">
        <v>0</v>
      </c>
      <c r="BB205" s="256">
        <v>0</v>
      </c>
      <c r="BC205" s="223" t="e">
        <f t="shared" si="151"/>
        <v>#DIV/0!</v>
      </c>
      <c r="BD205" s="255">
        <v>0</v>
      </c>
      <c r="BE205" s="256">
        <v>0</v>
      </c>
      <c r="BF205" s="223" t="e">
        <f t="shared" si="152"/>
        <v>#DIV/0!</v>
      </c>
      <c r="BG205" s="255">
        <v>0</v>
      </c>
      <c r="BH205" s="256">
        <v>0</v>
      </c>
      <c r="BI205" s="223" t="e">
        <f t="shared" si="153"/>
        <v>#DIV/0!</v>
      </c>
      <c r="BJ205" s="224">
        <f t="shared" si="154"/>
        <v>0</v>
      </c>
      <c r="BK205" s="225">
        <f t="shared" si="155"/>
        <v>0</v>
      </c>
      <c r="BL205" s="223" t="e">
        <f t="shared" si="156"/>
        <v>#DIV/0!</v>
      </c>
      <c r="BM205" s="255">
        <v>0</v>
      </c>
      <c r="BN205" s="256">
        <v>0</v>
      </c>
      <c r="BO205" s="223" t="e">
        <f t="shared" si="134"/>
        <v>#DIV/0!</v>
      </c>
      <c r="BP205" s="255">
        <v>0</v>
      </c>
      <c r="BQ205" s="256">
        <v>0</v>
      </c>
      <c r="BR205" s="223" t="e">
        <f t="shared" si="135"/>
        <v>#DIV/0!</v>
      </c>
      <c r="BS205" s="255">
        <v>100</v>
      </c>
      <c r="BT205" s="255">
        <v>100</v>
      </c>
      <c r="BU205" s="223">
        <f t="shared" si="136"/>
        <v>1</v>
      </c>
      <c r="BV205" s="224">
        <f t="shared" si="157"/>
        <v>100</v>
      </c>
      <c r="BW205" s="224">
        <f t="shared" si="158"/>
        <v>100</v>
      </c>
      <c r="BX205" s="223">
        <f t="shared" si="159"/>
        <v>1</v>
      </c>
      <c r="BY205" s="223">
        <f t="shared" si="160"/>
        <v>100</v>
      </c>
      <c r="BZ205" s="223">
        <f t="shared" si="161"/>
        <v>-100</v>
      </c>
      <c r="CA205" s="226"/>
      <c r="CB205" s="175"/>
      <c r="CC205" s="191">
        <v>0</v>
      </c>
      <c r="CD205" s="192">
        <v>0</v>
      </c>
      <c r="CE205" s="193" t="e">
        <f t="shared" si="137"/>
        <v>#DIV/0!</v>
      </c>
      <c r="CF205" s="191">
        <v>0</v>
      </c>
      <c r="CG205" s="192">
        <v>0</v>
      </c>
      <c r="CH205" s="193" t="e">
        <f t="shared" si="138"/>
        <v>#DIV/0!</v>
      </c>
      <c r="CI205" s="197"/>
      <c r="CJ205" s="198"/>
      <c r="CK205" s="193" t="e">
        <f t="shared" si="139"/>
        <v>#DIV/0!</v>
      </c>
      <c r="CL205" s="195">
        <f t="shared" si="140"/>
        <v>0</v>
      </c>
      <c r="CM205" s="194">
        <f t="shared" si="141"/>
        <v>0</v>
      </c>
      <c r="CN205" s="193" t="e">
        <f t="shared" si="142"/>
        <v>#DIV/0!</v>
      </c>
      <c r="CO205" s="175"/>
      <c r="CP205" s="196">
        <f t="shared" si="143"/>
        <v>100</v>
      </c>
      <c r="CQ205" s="196">
        <f t="shared" si="144"/>
        <v>100</v>
      </c>
      <c r="CR205" s="199">
        <f t="shared" si="145"/>
        <v>1</v>
      </c>
      <c r="CS205" s="261">
        <f t="shared" si="162"/>
        <v>-99</v>
      </c>
      <c r="CT205" s="175"/>
      <c r="CU205" s="196">
        <f t="shared" si="163"/>
        <v>-29.7</v>
      </c>
      <c r="CV205" s="259"/>
      <c r="CW205" s="199">
        <f t="shared" si="164"/>
        <v>0</v>
      </c>
      <c r="CX205" s="196">
        <f t="shared" si="165"/>
        <v>-29.7</v>
      </c>
      <c r="CY205" s="259"/>
      <c r="CZ205" s="199">
        <f t="shared" si="166"/>
        <v>0</v>
      </c>
      <c r="DA205" s="196">
        <f t="shared" si="167"/>
        <v>-29.7</v>
      </c>
      <c r="DB205" s="259"/>
      <c r="DC205" s="199">
        <f t="shared" si="168"/>
        <v>0</v>
      </c>
      <c r="DD205" s="196">
        <f t="shared" si="169"/>
        <v>-9.9</v>
      </c>
      <c r="DE205" s="259"/>
      <c r="DF205" s="199">
        <f t="shared" si="170"/>
        <v>0</v>
      </c>
      <c r="DG205" s="175"/>
      <c r="DH205" s="196">
        <f t="shared" si="171"/>
        <v>1</v>
      </c>
      <c r="DI205" s="196">
        <f t="shared" si="172"/>
        <v>100</v>
      </c>
      <c r="DJ205" s="199">
        <f t="shared" si="173"/>
        <v>100</v>
      </c>
      <c r="DK205" s="265">
        <f t="shared" si="174"/>
        <v>-99</v>
      </c>
      <c r="DM205">
        <f t="shared" si="149"/>
        <v>201</v>
      </c>
    </row>
    <row r="206" spans="1:117" x14ac:dyDescent="0.3">
      <c r="A206" s="250">
        <v>202</v>
      </c>
      <c r="B206" s="91" t="s">
        <v>270</v>
      </c>
      <c r="C206" s="91" t="s">
        <v>118</v>
      </c>
      <c r="D206" s="91" t="s">
        <v>119</v>
      </c>
      <c r="E206" s="91" t="s">
        <v>155</v>
      </c>
      <c r="F206" s="91" t="s">
        <v>598</v>
      </c>
      <c r="G206" s="87" t="s">
        <v>186</v>
      </c>
      <c r="H206" s="87" t="s">
        <v>187</v>
      </c>
      <c r="I206" s="87" t="s">
        <v>639</v>
      </c>
      <c r="J206" s="87" t="s">
        <v>639</v>
      </c>
      <c r="K206" s="85" t="s">
        <v>104</v>
      </c>
      <c r="L206" s="85" t="s">
        <v>105</v>
      </c>
      <c r="M206" s="87" t="s">
        <v>106</v>
      </c>
      <c r="N206" s="87" t="s">
        <v>622</v>
      </c>
      <c r="O206" s="87" t="s">
        <v>127</v>
      </c>
      <c r="P206" s="87" t="s">
        <v>640</v>
      </c>
      <c r="Q206" s="87" t="s">
        <v>129</v>
      </c>
      <c r="R206" s="130">
        <v>100</v>
      </c>
      <c r="S206" s="88" t="s">
        <v>158</v>
      </c>
      <c r="T206" s="81">
        <v>25</v>
      </c>
      <c r="U206" s="81"/>
      <c r="V206" s="25">
        <f t="shared" si="150"/>
        <v>0</v>
      </c>
      <c r="W206" s="81">
        <v>25</v>
      </c>
      <c r="X206" s="81"/>
      <c r="Y206" s="25">
        <f t="shared" si="1"/>
        <v>0</v>
      </c>
      <c r="Z206" s="81">
        <v>25</v>
      </c>
      <c r="AA206" s="81"/>
      <c r="AB206" s="25">
        <f t="shared" si="2"/>
        <v>0</v>
      </c>
      <c r="AC206" s="81">
        <v>25</v>
      </c>
      <c r="AD206" s="81"/>
      <c r="AE206" s="25">
        <f t="shared" si="3"/>
        <v>0</v>
      </c>
      <c r="AF206" s="137">
        <f t="shared" si="132"/>
        <v>100</v>
      </c>
      <c r="AG206" s="137">
        <f t="shared" si="133"/>
        <v>0</v>
      </c>
      <c r="AH206" s="128">
        <f t="shared" si="130"/>
        <v>0</v>
      </c>
      <c r="AI206" s="90">
        <v>46113</v>
      </c>
      <c r="AJ206" s="90">
        <v>46477</v>
      </c>
      <c r="AK206" s="91" t="s">
        <v>112</v>
      </c>
      <c r="AL206" s="91" t="s">
        <v>113</v>
      </c>
      <c r="AM206" s="92" t="s">
        <v>114</v>
      </c>
      <c r="AN206" s="93"/>
      <c r="AO206" s="93"/>
      <c r="AP206" s="93"/>
      <c r="AQ206" s="94"/>
      <c r="AR206" s="91" t="s">
        <v>159</v>
      </c>
      <c r="AS206" s="91" t="s">
        <v>112</v>
      </c>
      <c r="AT206" s="150" t="s">
        <v>628</v>
      </c>
      <c r="AU206" s="165" t="s">
        <v>2264</v>
      </c>
      <c r="AV206" s="232" t="s">
        <v>2234</v>
      </c>
      <c r="AW206" s="126" t="s">
        <v>2266</v>
      </c>
      <c r="BA206" s="255">
        <v>0</v>
      </c>
      <c r="BB206" s="256">
        <v>0</v>
      </c>
      <c r="BC206" s="223" t="e">
        <f t="shared" si="151"/>
        <v>#DIV/0!</v>
      </c>
      <c r="BD206" s="255">
        <v>10</v>
      </c>
      <c r="BE206" s="256">
        <v>10</v>
      </c>
      <c r="BF206" s="223">
        <f t="shared" si="152"/>
        <v>1</v>
      </c>
      <c r="BG206" s="255">
        <v>10</v>
      </c>
      <c r="BH206" s="256">
        <v>10</v>
      </c>
      <c r="BI206" s="223">
        <f t="shared" si="153"/>
        <v>1</v>
      </c>
      <c r="BJ206" s="224">
        <f t="shared" si="154"/>
        <v>20</v>
      </c>
      <c r="BK206" s="225">
        <f t="shared" si="155"/>
        <v>20</v>
      </c>
      <c r="BL206" s="223">
        <f t="shared" si="156"/>
        <v>1</v>
      </c>
      <c r="BM206" s="255">
        <v>10</v>
      </c>
      <c r="BN206" s="256">
        <v>10</v>
      </c>
      <c r="BO206" s="223">
        <f t="shared" si="134"/>
        <v>1</v>
      </c>
      <c r="BP206" s="255">
        <v>10</v>
      </c>
      <c r="BQ206" s="256">
        <v>10</v>
      </c>
      <c r="BR206" s="223">
        <f t="shared" si="135"/>
        <v>1</v>
      </c>
      <c r="BS206" s="255">
        <v>20</v>
      </c>
      <c r="BT206" s="255">
        <v>20</v>
      </c>
      <c r="BU206" s="223">
        <f t="shared" si="136"/>
        <v>1</v>
      </c>
      <c r="BV206" s="224">
        <f t="shared" si="157"/>
        <v>40</v>
      </c>
      <c r="BW206" s="224">
        <f t="shared" si="158"/>
        <v>40</v>
      </c>
      <c r="BX206" s="223">
        <f t="shared" si="159"/>
        <v>1</v>
      </c>
      <c r="BY206" s="223">
        <f t="shared" si="160"/>
        <v>0.6</v>
      </c>
      <c r="BZ206" s="223">
        <f t="shared" si="161"/>
        <v>-0.6</v>
      </c>
      <c r="CA206" s="226"/>
      <c r="CB206" s="175"/>
      <c r="CC206" s="191">
        <v>10</v>
      </c>
      <c r="CD206" s="192">
        <v>10</v>
      </c>
      <c r="CE206" s="193">
        <f t="shared" si="137"/>
        <v>1</v>
      </c>
      <c r="CF206" s="191">
        <v>10</v>
      </c>
      <c r="CG206" s="192">
        <v>10</v>
      </c>
      <c r="CH206" s="193">
        <f t="shared" si="138"/>
        <v>1</v>
      </c>
      <c r="CI206" s="197"/>
      <c r="CJ206" s="198"/>
      <c r="CK206" s="193" t="e">
        <f t="shared" si="139"/>
        <v>#DIV/0!</v>
      </c>
      <c r="CL206" s="195">
        <f t="shared" si="140"/>
        <v>20</v>
      </c>
      <c r="CM206" s="194">
        <f t="shared" si="141"/>
        <v>20</v>
      </c>
      <c r="CN206" s="193">
        <f t="shared" si="142"/>
        <v>1</v>
      </c>
      <c r="CO206" s="175"/>
      <c r="CP206" s="196">
        <f t="shared" si="143"/>
        <v>80</v>
      </c>
      <c r="CQ206" s="196">
        <f t="shared" si="144"/>
        <v>80</v>
      </c>
      <c r="CR206" s="199">
        <f t="shared" si="145"/>
        <v>1</v>
      </c>
      <c r="CS206" s="261">
        <f t="shared" si="162"/>
        <v>20</v>
      </c>
      <c r="CT206" s="175"/>
      <c r="CU206" s="196">
        <f t="shared" si="163"/>
        <v>6</v>
      </c>
      <c r="CV206" s="259"/>
      <c r="CW206" s="199">
        <f t="shared" si="164"/>
        <v>0</v>
      </c>
      <c r="CX206" s="196">
        <f t="shared" si="165"/>
        <v>6</v>
      </c>
      <c r="CY206" s="259"/>
      <c r="CZ206" s="199">
        <f t="shared" si="166"/>
        <v>0</v>
      </c>
      <c r="DA206" s="196">
        <f t="shared" si="167"/>
        <v>6</v>
      </c>
      <c r="DB206" s="259"/>
      <c r="DC206" s="199">
        <f t="shared" si="168"/>
        <v>0</v>
      </c>
      <c r="DD206" s="196">
        <f t="shared" si="169"/>
        <v>2</v>
      </c>
      <c r="DE206" s="259"/>
      <c r="DF206" s="199">
        <f t="shared" si="170"/>
        <v>0</v>
      </c>
      <c r="DG206" s="175"/>
      <c r="DH206" s="196">
        <f t="shared" si="171"/>
        <v>100</v>
      </c>
      <c r="DI206" s="196">
        <f t="shared" si="172"/>
        <v>80</v>
      </c>
      <c r="DJ206" s="199">
        <f t="shared" si="173"/>
        <v>0.8</v>
      </c>
      <c r="DK206" s="265">
        <f t="shared" si="174"/>
        <v>20</v>
      </c>
      <c r="DM206">
        <f t="shared" si="149"/>
        <v>202</v>
      </c>
    </row>
    <row r="207" spans="1:117" x14ac:dyDescent="0.3">
      <c r="A207" s="250">
        <v>203</v>
      </c>
      <c r="B207" s="91" t="s">
        <v>270</v>
      </c>
      <c r="C207" s="91" t="s">
        <v>118</v>
      </c>
      <c r="D207" s="91" t="s">
        <v>119</v>
      </c>
      <c r="E207" s="91" t="s">
        <v>155</v>
      </c>
      <c r="F207" s="91" t="s">
        <v>598</v>
      </c>
      <c r="G207" s="87" t="s">
        <v>186</v>
      </c>
      <c r="H207" s="87" t="s">
        <v>187</v>
      </c>
      <c r="I207" s="87" t="s">
        <v>124</v>
      </c>
      <c r="J207" s="87" t="s">
        <v>124</v>
      </c>
      <c r="K207" s="85" t="s">
        <v>104</v>
      </c>
      <c r="L207" s="85" t="s">
        <v>105</v>
      </c>
      <c r="M207" s="87" t="s">
        <v>106</v>
      </c>
      <c r="N207" s="87" t="s">
        <v>622</v>
      </c>
      <c r="O207" s="87" t="s">
        <v>127</v>
      </c>
      <c r="P207" s="87" t="s">
        <v>641</v>
      </c>
      <c r="Q207" s="87" t="s">
        <v>129</v>
      </c>
      <c r="R207" s="130">
        <v>120</v>
      </c>
      <c r="S207" s="88" t="s">
        <v>111</v>
      </c>
      <c r="T207" s="81">
        <v>25</v>
      </c>
      <c r="U207" s="81"/>
      <c r="V207" s="25">
        <f t="shared" si="150"/>
        <v>0</v>
      </c>
      <c r="W207" s="81">
        <v>25</v>
      </c>
      <c r="X207" s="81"/>
      <c r="Y207" s="25">
        <f t="shared" si="1"/>
        <v>0</v>
      </c>
      <c r="Z207" s="81">
        <v>25</v>
      </c>
      <c r="AA207" s="81"/>
      <c r="AB207" s="25">
        <f t="shared" si="2"/>
        <v>0</v>
      </c>
      <c r="AC207" s="81">
        <v>25</v>
      </c>
      <c r="AD207" s="81"/>
      <c r="AE207" s="25">
        <f t="shared" si="3"/>
        <v>0</v>
      </c>
      <c r="AF207" s="137">
        <f t="shared" si="132"/>
        <v>120</v>
      </c>
      <c r="AG207" s="137">
        <f t="shared" si="133"/>
        <v>0</v>
      </c>
      <c r="AH207" s="128">
        <f t="shared" si="130"/>
        <v>0</v>
      </c>
      <c r="AI207" s="90">
        <v>46113</v>
      </c>
      <c r="AJ207" s="90">
        <v>46477</v>
      </c>
      <c r="AK207" s="91" t="s">
        <v>112</v>
      </c>
      <c r="AL207" s="91" t="s">
        <v>113</v>
      </c>
      <c r="AM207" s="92" t="s">
        <v>114</v>
      </c>
      <c r="AN207" s="93"/>
      <c r="AO207" s="93"/>
      <c r="AP207" s="93"/>
      <c r="AQ207" s="94"/>
      <c r="AR207" s="91" t="s">
        <v>159</v>
      </c>
      <c r="AS207" s="91" t="s">
        <v>112</v>
      </c>
      <c r="AT207" s="150" t="s">
        <v>628</v>
      </c>
      <c r="AU207" s="165" t="s">
        <v>2264</v>
      </c>
      <c r="AV207" s="232" t="s">
        <v>2234</v>
      </c>
      <c r="AW207" s="126" t="s">
        <v>2266</v>
      </c>
      <c r="BA207" s="255">
        <v>10</v>
      </c>
      <c r="BB207" s="256">
        <v>10</v>
      </c>
      <c r="BC207" s="223">
        <f t="shared" si="151"/>
        <v>1</v>
      </c>
      <c r="BD207" s="255">
        <v>10</v>
      </c>
      <c r="BE207" s="256">
        <v>10</v>
      </c>
      <c r="BF207" s="223">
        <f t="shared" si="152"/>
        <v>1</v>
      </c>
      <c r="BG207" s="255">
        <v>10</v>
      </c>
      <c r="BH207" s="256">
        <v>10</v>
      </c>
      <c r="BI207" s="223">
        <f t="shared" si="153"/>
        <v>1</v>
      </c>
      <c r="BJ207" s="224">
        <f t="shared" si="154"/>
        <v>30</v>
      </c>
      <c r="BK207" s="225">
        <f t="shared" si="155"/>
        <v>30</v>
      </c>
      <c r="BL207" s="223">
        <f t="shared" si="156"/>
        <v>1</v>
      </c>
      <c r="BM207" s="255">
        <v>10</v>
      </c>
      <c r="BN207" s="256">
        <v>10</v>
      </c>
      <c r="BO207" s="223">
        <f t="shared" si="134"/>
        <v>1</v>
      </c>
      <c r="BP207" s="255">
        <v>10</v>
      </c>
      <c r="BQ207" s="256">
        <v>10</v>
      </c>
      <c r="BR207" s="223">
        <f t="shared" si="135"/>
        <v>1</v>
      </c>
      <c r="BS207" s="255">
        <v>10</v>
      </c>
      <c r="BT207" s="255">
        <v>10</v>
      </c>
      <c r="BU207" s="223">
        <f t="shared" si="136"/>
        <v>1</v>
      </c>
      <c r="BV207" s="224">
        <f t="shared" si="157"/>
        <v>30</v>
      </c>
      <c r="BW207" s="224">
        <f t="shared" si="158"/>
        <v>30</v>
      </c>
      <c r="BX207" s="223">
        <f t="shared" si="159"/>
        <v>1</v>
      </c>
      <c r="BY207" s="223">
        <f t="shared" si="160"/>
        <v>0.5</v>
      </c>
      <c r="BZ207" s="223">
        <f t="shared" si="161"/>
        <v>-0.5</v>
      </c>
      <c r="CA207" s="226"/>
      <c r="CB207" s="175"/>
      <c r="CC207" s="191">
        <v>10</v>
      </c>
      <c r="CD207" s="192">
        <v>10</v>
      </c>
      <c r="CE207" s="193">
        <f t="shared" si="137"/>
        <v>1</v>
      </c>
      <c r="CF207" s="191">
        <v>10</v>
      </c>
      <c r="CG207" s="192">
        <v>10</v>
      </c>
      <c r="CH207" s="193">
        <f t="shared" si="138"/>
        <v>1</v>
      </c>
      <c r="CI207" s="197"/>
      <c r="CJ207" s="198"/>
      <c r="CK207" s="193" t="e">
        <f t="shared" si="139"/>
        <v>#DIV/0!</v>
      </c>
      <c r="CL207" s="195">
        <f t="shared" si="140"/>
        <v>20</v>
      </c>
      <c r="CM207" s="194">
        <f t="shared" si="141"/>
        <v>20</v>
      </c>
      <c r="CN207" s="193">
        <f t="shared" si="142"/>
        <v>1</v>
      </c>
      <c r="CO207" s="175"/>
      <c r="CP207" s="196">
        <f t="shared" si="143"/>
        <v>80</v>
      </c>
      <c r="CQ207" s="196">
        <f t="shared" si="144"/>
        <v>80</v>
      </c>
      <c r="CR207" s="199">
        <f t="shared" si="145"/>
        <v>1</v>
      </c>
      <c r="CS207" s="261">
        <f t="shared" si="162"/>
        <v>40</v>
      </c>
      <c r="CT207" s="175"/>
      <c r="CU207" s="196">
        <f t="shared" si="163"/>
        <v>12</v>
      </c>
      <c r="CV207" s="259"/>
      <c r="CW207" s="199">
        <f t="shared" si="164"/>
        <v>0</v>
      </c>
      <c r="CX207" s="196">
        <f t="shared" si="165"/>
        <v>12</v>
      </c>
      <c r="CY207" s="259"/>
      <c r="CZ207" s="199">
        <f t="shared" si="166"/>
        <v>0</v>
      </c>
      <c r="DA207" s="196">
        <f t="shared" si="167"/>
        <v>12</v>
      </c>
      <c r="DB207" s="259"/>
      <c r="DC207" s="199">
        <f t="shared" si="168"/>
        <v>0</v>
      </c>
      <c r="DD207" s="196">
        <f t="shared" si="169"/>
        <v>4</v>
      </c>
      <c r="DE207" s="259"/>
      <c r="DF207" s="199">
        <f t="shared" si="170"/>
        <v>0</v>
      </c>
      <c r="DG207" s="175"/>
      <c r="DH207" s="196">
        <f t="shared" si="171"/>
        <v>120</v>
      </c>
      <c r="DI207" s="196">
        <f t="shared" si="172"/>
        <v>80</v>
      </c>
      <c r="DJ207" s="199">
        <f t="shared" si="173"/>
        <v>0.66666666666666663</v>
      </c>
      <c r="DK207" s="265">
        <f t="shared" si="174"/>
        <v>40</v>
      </c>
      <c r="DM207">
        <f t="shared" si="149"/>
        <v>203</v>
      </c>
    </row>
    <row r="208" spans="1:117" ht="26.4" x14ac:dyDescent="0.3">
      <c r="A208" s="250">
        <v>204</v>
      </c>
      <c r="B208" s="91" t="s">
        <v>270</v>
      </c>
      <c r="C208" s="91" t="s">
        <v>118</v>
      </c>
      <c r="D208" s="91" t="s">
        <v>119</v>
      </c>
      <c r="E208" s="91" t="s">
        <v>155</v>
      </c>
      <c r="F208" s="91" t="s">
        <v>598</v>
      </c>
      <c r="G208" s="87" t="s">
        <v>186</v>
      </c>
      <c r="H208" s="87" t="s">
        <v>187</v>
      </c>
      <c r="I208" s="87" t="s">
        <v>173</v>
      </c>
      <c r="J208" s="87" t="s">
        <v>173</v>
      </c>
      <c r="K208" s="85" t="s">
        <v>104</v>
      </c>
      <c r="L208" s="85" t="s">
        <v>105</v>
      </c>
      <c r="M208" s="87" t="s">
        <v>106</v>
      </c>
      <c r="N208" s="87" t="s">
        <v>622</v>
      </c>
      <c r="O208" s="87" t="s">
        <v>127</v>
      </c>
      <c r="P208" s="229" t="s">
        <v>642</v>
      </c>
      <c r="Q208" s="87" t="s">
        <v>129</v>
      </c>
      <c r="R208" s="130">
        <v>12</v>
      </c>
      <c r="S208" s="88" t="s">
        <v>111</v>
      </c>
      <c r="T208" s="81">
        <v>25</v>
      </c>
      <c r="U208" s="81"/>
      <c r="V208" s="25">
        <f t="shared" si="150"/>
        <v>0</v>
      </c>
      <c r="W208" s="81">
        <v>25</v>
      </c>
      <c r="X208" s="81"/>
      <c r="Y208" s="25">
        <f t="shared" si="1"/>
        <v>0</v>
      </c>
      <c r="Z208" s="81">
        <v>25</v>
      </c>
      <c r="AA208" s="81"/>
      <c r="AB208" s="25">
        <f t="shared" si="2"/>
        <v>0</v>
      </c>
      <c r="AC208" s="81">
        <v>25</v>
      </c>
      <c r="AD208" s="81"/>
      <c r="AE208" s="25">
        <f t="shared" si="3"/>
        <v>0</v>
      </c>
      <c r="AF208" s="137">
        <f t="shared" si="132"/>
        <v>12</v>
      </c>
      <c r="AG208" s="137">
        <f t="shared" si="133"/>
        <v>0</v>
      </c>
      <c r="AH208" s="128">
        <f t="shared" si="130"/>
        <v>0</v>
      </c>
      <c r="AI208" s="90">
        <v>46113</v>
      </c>
      <c r="AJ208" s="90">
        <v>46477</v>
      </c>
      <c r="AK208" s="91" t="s">
        <v>112</v>
      </c>
      <c r="AL208" s="91" t="s">
        <v>113</v>
      </c>
      <c r="AM208" s="92" t="s">
        <v>114</v>
      </c>
      <c r="AN208" s="93"/>
      <c r="AO208" s="93"/>
      <c r="AP208" s="93"/>
      <c r="AQ208" s="94"/>
      <c r="AR208" s="91" t="s">
        <v>159</v>
      </c>
      <c r="AS208" s="91" t="s">
        <v>112</v>
      </c>
      <c r="AT208" s="150" t="s">
        <v>628</v>
      </c>
      <c r="AU208" s="165" t="s">
        <v>2264</v>
      </c>
      <c r="AV208" s="232" t="s">
        <v>2234</v>
      </c>
      <c r="AW208" s="126" t="s">
        <v>2266</v>
      </c>
      <c r="BA208" s="255">
        <v>1</v>
      </c>
      <c r="BB208" s="256">
        <v>1</v>
      </c>
      <c r="BC208" s="223">
        <f t="shared" si="151"/>
        <v>1</v>
      </c>
      <c r="BD208" s="255">
        <v>1</v>
      </c>
      <c r="BE208" s="256">
        <v>1</v>
      </c>
      <c r="BF208" s="223">
        <f t="shared" si="152"/>
        <v>1</v>
      </c>
      <c r="BG208" s="255">
        <v>1</v>
      </c>
      <c r="BH208" s="256">
        <v>1</v>
      </c>
      <c r="BI208" s="223">
        <f t="shared" si="153"/>
        <v>1</v>
      </c>
      <c r="BJ208" s="224">
        <f t="shared" si="154"/>
        <v>3</v>
      </c>
      <c r="BK208" s="225">
        <f t="shared" si="155"/>
        <v>3</v>
      </c>
      <c r="BL208" s="223">
        <f t="shared" si="156"/>
        <v>1</v>
      </c>
      <c r="BM208" s="255">
        <v>1</v>
      </c>
      <c r="BN208" s="256">
        <v>1</v>
      </c>
      <c r="BO208" s="223">
        <f t="shared" si="134"/>
        <v>1</v>
      </c>
      <c r="BP208" s="255">
        <v>1</v>
      </c>
      <c r="BQ208" s="256">
        <v>1</v>
      </c>
      <c r="BR208" s="223">
        <f t="shared" si="135"/>
        <v>1</v>
      </c>
      <c r="BS208" s="255">
        <v>1</v>
      </c>
      <c r="BT208" s="255">
        <v>1</v>
      </c>
      <c r="BU208" s="223">
        <f t="shared" si="136"/>
        <v>1</v>
      </c>
      <c r="BV208" s="224">
        <f t="shared" si="157"/>
        <v>3</v>
      </c>
      <c r="BW208" s="224">
        <f t="shared" si="158"/>
        <v>3</v>
      </c>
      <c r="BX208" s="223">
        <f t="shared" si="159"/>
        <v>1</v>
      </c>
      <c r="BY208" s="223">
        <f t="shared" si="160"/>
        <v>0.5</v>
      </c>
      <c r="BZ208" s="223">
        <f t="shared" si="161"/>
        <v>-0.5</v>
      </c>
      <c r="CA208" s="226"/>
      <c r="CB208" s="175"/>
      <c r="CC208" s="191">
        <v>10</v>
      </c>
      <c r="CD208" s="192">
        <v>10</v>
      </c>
      <c r="CE208" s="193">
        <f t="shared" si="137"/>
        <v>1</v>
      </c>
      <c r="CF208" s="191">
        <v>10</v>
      </c>
      <c r="CG208" s="192">
        <v>10</v>
      </c>
      <c r="CH208" s="193">
        <f t="shared" si="138"/>
        <v>1</v>
      </c>
      <c r="CI208" s="197"/>
      <c r="CJ208" s="198"/>
      <c r="CK208" s="193" t="e">
        <f t="shared" si="139"/>
        <v>#DIV/0!</v>
      </c>
      <c r="CL208" s="195">
        <f t="shared" si="140"/>
        <v>20</v>
      </c>
      <c r="CM208" s="194">
        <f t="shared" si="141"/>
        <v>20</v>
      </c>
      <c r="CN208" s="193">
        <f t="shared" si="142"/>
        <v>1</v>
      </c>
      <c r="CO208" s="175"/>
      <c r="CP208" s="196">
        <f t="shared" si="143"/>
        <v>26</v>
      </c>
      <c r="CQ208" s="196">
        <f t="shared" si="144"/>
        <v>26</v>
      </c>
      <c r="CR208" s="199">
        <f t="shared" si="145"/>
        <v>1</v>
      </c>
      <c r="CS208" s="261">
        <f t="shared" si="162"/>
        <v>-14</v>
      </c>
      <c r="CT208" s="175"/>
      <c r="CU208" s="196">
        <f t="shared" si="163"/>
        <v>-4.2</v>
      </c>
      <c r="CV208" s="259"/>
      <c r="CW208" s="199">
        <f t="shared" si="164"/>
        <v>0</v>
      </c>
      <c r="CX208" s="196">
        <f t="shared" si="165"/>
        <v>-4.2</v>
      </c>
      <c r="CY208" s="259"/>
      <c r="CZ208" s="199">
        <f t="shared" si="166"/>
        <v>0</v>
      </c>
      <c r="DA208" s="196">
        <f t="shared" si="167"/>
        <v>-4.2</v>
      </c>
      <c r="DB208" s="259"/>
      <c r="DC208" s="199">
        <f t="shared" si="168"/>
        <v>0</v>
      </c>
      <c r="DD208" s="196">
        <f t="shared" si="169"/>
        <v>-1.4000000000000001</v>
      </c>
      <c r="DE208" s="259"/>
      <c r="DF208" s="199">
        <f t="shared" si="170"/>
        <v>0</v>
      </c>
      <c r="DG208" s="175"/>
      <c r="DH208" s="196">
        <f t="shared" si="171"/>
        <v>12</v>
      </c>
      <c r="DI208" s="196">
        <f t="shared" si="172"/>
        <v>26</v>
      </c>
      <c r="DJ208" s="199">
        <f t="shared" si="173"/>
        <v>2.1666666666666665</v>
      </c>
      <c r="DK208" s="265">
        <f t="shared" si="174"/>
        <v>-14</v>
      </c>
      <c r="DM208">
        <f t="shared" si="149"/>
        <v>204</v>
      </c>
    </row>
    <row r="209" spans="1:117" x14ac:dyDescent="0.3">
      <c r="A209" s="250">
        <v>205</v>
      </c>
      <c r="B209" s="91" t="s">
        <v>270</v>
      </c>
      <c r="C209" s="91" t="s">
        <v>118</v>
      </c>
      <c r="D209" s="91" t="s">
        <v>119</v>
      </c>
      <c r="E209" s="91" t="s">
        <v>155</v>
      </c>
      <c r="F209" s="91" t="s">
        <v>598</v>
      </c>
      <c r="G209" s="87" t="s">
        <v>186</v>
      </c>
      <c r="H209" s="87" t="s">
        <v>187</v>
      </c>
      <c r="I209" s="87" t="s">
        <v>621</v>
      </c>
      <c r="J209" s="87" t="s">
        <v>621</v>
      </c>
      <c r="K209" s="85" t="s">
        <v>104</v>
      </c>
      <c r="L209" s="85" t="s">
        <v>105</v>
      </c>
      <c r="M209" s="87" t="s">
        <v>106</v>
      </c>
      <c r="N209" s="87" t="s">
        <v>622</v>
      </c>
      <c r="O209" s="87" t="s">
        <v>127</v>
      </c>
      <c r="P209" s="87" t="s">
        <v>643</v>
      </c>
      <c r="Q209" s="87" t="s">
        <v>129</v>
      </c>
      <c r="R209" s="130">
        <v>4</v>
      </c>
      <c r="S209" s="88" t="s">
        <v>111</v>
      </c>
      <c r="T209" s="81"/>
      <c r="U209" s="81"/>
      <c r="V209" s="25" t="e">
        <f t="shared" si="150"/>
        <v>#DIV/0!</v>
      </c>
      <c r="W209" s="81"/>
      <c r="X209" s="81"/>
      <c r="Y209" s="25" t="e">
        <f t="shared" si="1"/>
        <v>#DIV/0!</v>
      </c>
      <c r="Z209" s="81">
        <v>1</v>
      </c>
      <c r="AA209" s="81"/>
      <c r="AB209" s="25">
        <f t="shared" si="2"/>
        <v>0</v>
      </c>
      <c r="AC209" s="81"/>
      <c r="AD209" s="81"/>
      <c r="AE209" s="25" t="e">
        <f t="shared" si="3"/>
        <v>#DIV/0!</v>
      </c>
      <c r="AF209" s="137">
        <f t="shared" si="132"/>
        <v>4</v>
      </c>
      <c r="AG209" s="137">
        <f t="shared" si="133"/>
        <v>0</v>
      </c>
      <c r="AH209" s="128">
        <f t="shared" si="130"/>
        <v>0</v>
      </c>
      <c r="AI209" s="90">
        <v>46113</v>
      </c>
      <c r="AJ209" s="90">
        <v>46477</v>
      </c>
      <c r="AK209" s="91" t="s">
        <v>112</v>
      </c>
      <c r="AL209" s="91" t="s">
        <v>113</v>
      </c>
      <c r="AM209" s="92" t="s">
        <v>114</v>
      </c>
      <c r="AN209" s="93"/>
      <c r="AO209" s="93"/>
      <c r="AP209" s="93"/>
      <c r="AQ209" s="94"/>
      <c r="AR209" s="91" t="s">
        <v>159</v>
      </c>
      <c r="AS209" s="91" t="s">
        <v>112</v>
      </c>
      <c r="AT209" s="150" t="s">
        <v>628</v>
      </c>
      <c r="AU209" s="165" t="s">
        <v>2264</v>
      </c>
      <c r="AV209" s="232" t="s">
        <v>2234</v>
      </c>
      <c r="AW209" s="126" t="s">
        <v>2266</v>
      </c>
      <c r="BA209" s="255">
        <v>0</v>
      </c>
      <c r="BB209" s="256">
        <v>0</v>
      </c>
      <c r="BC209" s="223" t="e">
        <f t="shared" si="151"/>
        <v>#DIV/0!</v>
      </c>
      <c r="BD209" s="255">
        <v>0</v>
      </c>
      <c r="BE209" s="256">
        <v>0</v>
      </c>
      <c r="BF209" s="223" t="e">
        <f t="shared" si="152"/>
        <v>#DIV/0!</v>
      </c>
      <c r="BG209" s="255">
        <v>0</v>
      </c>
      <c r="BH209" s="256">
        <v>0</v>
      </c>
      <c r="BI209" s="223" t="e">
        <f t="shared" si="153"/>
        <v>#DIV/0!</v>
      </c>
      <c r="BJ209" s="224">
        <f t="shared" si="154"/>
        <v>0</v>
      </c>
      <c r="BK209" s="225">
        <f t="shared" si="155"/>
        <v>0</v>
      </c>
      <c r="BL209" s="223" t="e">
        <f t="shared" si="156"/>
        <v>#DIV/0!</v>
      </c>
      <c r="BM209" s="255">
        <v>0</v>
      </c>
      <c r="BN209" s="256">
        <v>0</v>
      </c>
      <c r="BO209" s="223" t="e">
        <f t="shared" si="134"/>
        <v>#DIV/0!</v>
      </c>
      <c r="BP209" s="255">
        <v>0</v>
      </c>
      <c r="BQ209" s="256">
        <v>0</v>
      </c>
      <c r="BR209" s="223" t="e">
        <f t="shared" si="135"/>
        <v>#DIV/0!</v>
      </c>
      <c r="BS209" s="255">
        <v>0</v>
      </c>
      <c r="BT209" s="255">
        <v>0</v>
      </c>
      <c r="BU209" s="223" t="e">
        <f t="shared" si="136"/>
        <v>#DIV/0!</v>
      </c>
      <c r="BV209" s="224">
        <f t="shared" si="157"/>
        <v>0</v>
      </c>
      <c r="BW209" s="224">
        <f t="shared" si="158"/>
        <v>0</v>
      </c>
      <c r="BX209" s="223" t="e">
        <f t="shared" si="159"/>
        <v>#DIV/0!</v>
      </c>
      <c r="BY209" s="223">
        <f t="shared" si="160"/>
        <v>0</v>
      </c>
      <c r="BZ209" s="223">
        <f t="shared" si="161"/>
        <v>0</v>
      </c>
      <c r="CA209" s="226"/>
      <c r="CB209" s="175"/>
      <c r="CC209" s="191">
        <v>0</v>
      </c>
      <c r="CD209" s="192">
        <v>0</v>
      </c>
      <c r="CE209" s="193" t="e">
        <f t="shared" si="137"/>
        <v>#DIV/0!</v>
      </c>
      <c r="CF209" s="191">
        <v>0</v>
      </c>
      <c r="CG209" s="192">
        <v>0</v>
      </c>
      <c r="CH209" s="193" t="e">
        <f t="shared" si="138"/>
        <v>#DIV/0!</v>
      </c>
      <c r="CI209" s="197"/>
      <c r="CJ209" s="198"/>
      <c r="CK209" s="193" t="e">
        <f t="shared" si="139"/>
        <v>#DIV/0!</v>
      </c>
      <c r="CL209" s="195">
        <f t="shared" si="140"/>
        <v>0</v>
      </c>
      <c r="CM209" s="194">
        <f t="shared" si="141"/>
        <v>0</v>
      </c>
      <c r="CN209" s="193" t="e">
        <f t="shared" si="142"/>
        <v>#DIV/0!</v>
      </c>
      <c r="CO209" s="175"/>
      <c r="CP209" s="196">
        <f t="shared" si="143"/>
        <v>0</v>
      </c>
      <c r="CQ209" s="196">
        <f t="shared" si="144"/>
        <v>0</v>
      </c>
      <c r="CR209" s="199" t="e">
        <f t="shared" si="145"/>
        <v>#DIV/0!</v>
      </c>
      <c r="CS209" s="261">
        <f t="shared" si="162"/>
        <v>4</v>
      </c>
      <c r="CT209" s="175"/>
      <c r="CU209" s="196">
        <f t="shared" si="163"/>
        <v>1.2</v>
      </c>
      <c r="CV209" s="259"/>
      <c r="CW209" s="199">
        <f t="shared" si="164"/>
        <v>0</v>
      </c>
      <c r="CX209" s="196">
        <f t="shared" si="165"/>
        <v>1.2</v>
      </c>
      <c r="CY209" s="259"/>
      <c r="CZ209" s="199">
        <f t="shared" si="166"/>
        <v>0</v>
      </c>
      <c r="DA209" s="196">
        <f t="shared" si="167"/>
        <v>1.2</v>
      </c>
      <c r="DB209" s="259"/>
      <c r="DC209" s="199">
        <f t="shared" si="168"/>
        <v>0</v>
      </c>
      <c r="DD209" s="196">
        <f t="shared" si="169"/>
        <v>0.4</v>
      </c>
      <c r="DE209" s="259"/>
      <c r="DF209" s="199">
        <f t="shared" si="170"/>
        <v>0</v>
      </c>
      <c r="DG209" s="175"/>
      <c r="DH209" s="196">
        <f t="shared" si="171"/>
        <v>4</v>
      </c>
      <c r="DI209" s="196">
        <f t="shared" si="172"/>
        <v>0</v>
      </c>
      <c r="DJ209" s="199">
        <f t="shared" si="173"/>
        <v>0</v>
      </c>
      <c r="DK209" s="265">
        <f t="shared" si="174"/>
        <v>4</v>
      </c>
      <c r="DM209">
        <f t="shared" si="149"/>
        <v>205</v>
      </c>
    </row>
    <row r="210" spans="1:117" x14ac:dyDescent="0.3">
      <c r="A210" s="250">
        <v>206</v>
      </c>
      <c r="B210" s="91" t="s">
        <v>270</v>
      </c>
      <c r="C210" s="91" t="s">
        <v>118</v>
      </c>
      <c r="D210" s="91" t="s">
        <v>119</v>
      </c>
      <c r="E210" s="91" t="s">
        <v>155</v>
      </c>
      <c r="F210" s="91" t="s">
        <v>598</v>
      </c>
      <c r="G210" s="87" t="s">
        <v>186</v>
      </c>
      <c r="H210" s="87" t="s">
        <v>187</v>
      </c>
      <c r="I210" s="87" t="s">
        <v>103</v>
      </c>
      <c r="J210" s="87" t="s">
        <v>103</v>
      </c>
      <c r="K210" s="85" t="s">
        <v>104</v>
      </c>
      <c r="L210" s="85" t="s">
        <v>105</v>
      </c>
      <c r="M210" s="87" t="s">
        <v>106</v>
      </c>
      <c r="N210" s="87" t="s">
        <v>622</v>
      </c>
      <c r="O210" s="87" t="s">
        <v>127</v>
      </c>
      <c r="P210" s="87" t="s">
        <v>644</v>
      </c>
      <c r="Q210" s="87" t="s">
        <v>129</v>
      </c>
      <c r="R210" s="130">
        <v>400</v>
      </c>
      <c r="S210" s="88" t="s">
        <v>158</v>
      </c>
      <c r="T210" s="81">
        <v>25</v>
      </c>
      <c r="U210" s="81"/>
      <c r="V210" s="25">
        <f t="shared" si="150"/>
        <v>0</v>
      </c>
      <c r="W210" s="81">
        <v>25</v>
      </c>
      <c r="X210" s="81"/>
      <c r="Y210" s="25">
        <f t="shared" si="1"/>
        <v>0</v>
      </c>
      <c r="Z210" s="81">
        <v>25</v>
      </c>
      <c r="AA210" s="81"/>
      <c r="AB210" s="25">
        <f t="shared" si="2"/>
        <v>0</v>
      </c>
      <c r="AC210" s="81">
        <v>25</v>
      </c>
      <c r="AD210" s="81"/>
      <c r="AE210" s="25">
        <f t="shared" si="3"/>
        <v>0</v>
      </c>
      <c r="AF210" s="137">
        <f t="shared" si="132"/>
        <v>400</v>
      </c>
      <c r="AG210" s="137">
        <f t="shared" si="133"/>
        <v>0</v>
      </c>
      <c r="AH210" s="128">
        <f t="shared" si="130"/>
        <v>0</v>
      </c>
      <c r="AI210" s="90">
        <v>46054</v>
      </c>
      <c r="AJ210" s="90">
        <v>46477</v>
      </c>
      <c r="AK210" s="91" t="s">
        <v>112</v>
      </c>
      <c r="AL210" s="91" t="s">
        <v>113</v>
      </c>
      <c r="AM210" s="92" t="s">
        <v>114</v>
      </c>
      <c r="AN210" s="93"/>
      <c r="AO210" s="93"/>
      <c r="AP210" s="93"/>
      <c r="AQ210" s="94"/>
      <c r="AR210" s="91" t="s">
        <v>159</v>
      </c>
      <c r="AS210" s="91" t="s">
        <v>112</v>
      </c>
      <c r="AT210" s="150" t="s">
        <v>628</v>
      </c>
      <c r="AU210" s="165" t="s">
        <v>2264</v>
      </c>
      <c r="AV210" s="232" t="s">
        <v>2234</v>
      </c>
      <c r="AW210" s="126" t="s">
        <v>2266</v>
      </c>
      <c r="BA210" s="255">
        <v>30</v>
      </c>
      <c r="BB210" s="256">
        <v>30</v>
      </c>
      <c r="BC210" s="223">
        <f t="shared" si="151"/>
        <v>1</v>
      </c>
      <c r="BD210" s="255">
        <v>30</v>
      </c>
      <c r="BE210" s="256">
        <v>30</v>
      </c>
      <c r="BF210" s="223">
        <f t="shared" si="152"/>
        <v>1</v>
      </c>
      <c r="BG210" s="255">
        <v>30</v>
      </c>
      <c r="BH210" s="256">
        <v>30</v>
      </c>
      <c r="BI210" s="223">
        <f t="shared" si="153"/>
        <v>1</v>
      </c>
      <c r="BJ210" s="224">
        <f t="shared" si="154"/>
        <v>90</v>
      </c>
      <c r="BK210" s="225">
        <f t="shared" si="155"/>
        <v>90</v>
      </c>
      <c r="BL210" s="223">
        <f t="shared" si="156"/>
        <v>1</v>
      </c>
      <c r="BM210" s="255">
        <v>30</v>
      </c>
      <c r="BN210" s="256">
        <v>30</v>
      </c>
      <c r="BO210" s="223">
        <f t="shared" si="134"/>
        <v>1</v>
      </c>
      <c r="BP210" s="255">
        <v>30</v>
      </c>
      <c r="BQ210" s="256">
        <v>30</v>
      </c>
      <c r="BR210" s="223">
        <f t="shared" si="135"/>
        <v>1</v>
      </c>
      <c r="BS210" s="255">
        <v>30</v>
      </c>
      <c r="BT210" s="255">
        <v>30</v>
      </c>
      <c r="BU210" s="223">
        <f t="shared" si="136"/>
        <v>1</v>
      </c>
      <c r="BV210" s="224">
        <f t="shared" si="157"/>
        <v>90</v>
      </c>
      <c r="BW210" s="224">
        <f t="shared" si="158"/>
        <v>90</v>
      </c>
      <c r="BX210" s="223">
        <f t="shared" si="159"/>
        <v>1</v>
      </c>
      <c r="BY210" s="223">
        <f t="shared" si="160"/>
        <v>0.45</v>
      </c>
      <c r="BZ210" s="223">
        <f t="shared" si="161"/>
        <v>-0.45</v>
      </c>
      <c r="CA210" s="226"/>
      <c r="CB210" s="175"/>
      <c r="CC210" s="191">
        <v>0</v>
      </c>
      <c r="CD210" s="192">
        <v>0</v>
      </c>
      <c r="CE210" s="193" t="e">
        <f t="shared" si="137"/>
        <v>#DIV/0!</v>
      </c>
      <c r="CF210" s="191">
        <v>0</v>
      </c>
      <c r="CG210" s="192">
        <v>0</v>
      </c>
      <c r="CH210" s="193" t="e">
        <f t="shared" si="138"/>
        <v>#DIV/0!</v>
      </c>
      <c r="CI210" s="197"/>
      <c r="CJ210" s="198"/>
      <c r="CK210" s="193" t="e">
        <f t="shared" si="139"/>
        <v>#DIV/0!</v>
      </c>
      <c r="CL210" s="195">
        <f t="shared" si="140"/>
        <v>0</v>
      </c>
      <c r="CM210" s="194">
        <f t="shared" si="141"/>
        <v>0</v>
      </c>
      <c r="CN210" s="193" t="e">
        <f t="shared" si="142"/>
        <v>#DIV/0!</v>
      </c>
      <c r="CO210" s="175"/>
      <c r="CP210" s="196">
        <f t="shared" si="143"/>
        <v>180</v>
      </c>
      <c r="CQ210" s="196">
        <f t="shared" si="144"/>
        <v>180</v>
      </c>
      <c r="CR210" s="199">
        <f t="shared" si="145"/>
        <v>1</v>
      </c>
      <c r="CS210" s="261">
        <f t="shared" si="162"/>
        <v>220</v>
      </c>
      <c r="CT210" s="175"/>
      <c r="CU210" s="196">
        <f t="shared" si="163"/>
        <v>66</v>
      </c>
      <c r="CV210" s="259"/>
      <c r="CW210" s="199">
        <f t="shared" si="164"/>
        <v>0</v>
      </c>
      <c r="CX210" s="196">
        <f t="shared" si="165"/>
        <v>66</v>
      </c>
      <c r="CY210" s="259"/>
      <c r="CZ210" s="199">
        <f t="shared" si="166"/>
        <v>0</v>
      </c>
      <c r="DA210" s="196">
        <f t="shared" si="167"/>
        <v>66</v>
      </c>
      <c r="DB210" s="259"/>
      <c r="DC210" s="199">
        <f t="shared" si="168"/>
        <v>0</v>
      </c>
      <c r="DD210" s="196">
        <f t="shared" si="169"/>
        <v>22</v>
      </c>
      <c r="DE210" s="259"/>
      <c r="DF210" s="199">
        <f t="shared" si="170"/>
        <v>0</v>
      </c>
      <c r="DG210" s="175"/>
      <c r="DH210" s="196">
        <f t="shared" si="171"/>
        <v>400</v>
      </c>
      <c r="DI210" s="196">
        <f t="shared" si="172"/>
        <v>180</v>
      </c>
      <c r="DJ210" s="199">
        <f t="shared" si="173"/>
        <v>0.45</v>
      </c>
      <c r="DK210" s="265">
        <f t="shared" si="174"/>
        <v>220</v>
      </c>
      <c r="DM210">
        <f t="shared" si="149"/>
        <v>206</v>
      </c>
    </row>
    <row r="211" spans="1:117" x14ac:dyDescent="0.3">
      <c r="A211" s="250">
        <v>207</v>
      </c>
      <c r="B211" s="91" t="s">
        <v>270</v>
      </c>
      <c r="C211" s="91" t="s">
        <v>118</v>
      </c>
      <c r="D211" s="91" t="s">
        <v>119</v>
      </c>
      <c r="E211" s="91" t="s">
        <v>155</v>
      </c>
      <c r="F211" s="91" t="s">
        <v>598</v>
      </c>
      <c r="G211" s="87" t="s">
        <v>186</v>
      </c>
      <c r="H211" s="87" t="s">
        <v>187</v>
      </c>
      <c r="I211" s="87" t="s">
        <v>645</v>
      </c>
      <c r="J211" s="87" t="s">
        <v>645</v>
      </c>
      <c r="K211" s="85" t="s">
        <v>104</v>
      </c>
      <c r="L211" s="85" t="s">
        <v>105</v>
      </c>
      <c r="M211" s="87" t="s">
        <v>106</v>
      </c>
      <c r="N211" s="87" t="s">
        <v>622</v>
      </c>
      <c r="O211" s="87" t="s">
        <v>127</v>
      </c>
      <c r="P211" s="87" t="s">
        <v>646</v>
      </c>
      <c r="Q211" s="87" t="s">
        <v>129</v>
      </c>
      <c r="R211" s="130">
        <v>9</v>
      </c>
      <c r="S211" s="88" t="s">
        <v>111</v>
      </c>
      <c r="T211" s="81">
        <v>30</v>
      </c>
      <c r="U211" s="81"/>
      <c r="V211" s="25">
        <f t="shared" si="150"/>
        <v>0</v>
      </c>
      <c r="W211" s="81">
        <v>30</v>
      </c>
      <c r="X211" s="81"/>
      <c r="Y211" s="25">
        <f t="shared" si="1"/>
        <v>0</v>
      </c>
      <c r="Z211" s="81">
        <v>30</v>
      </c>
      <c r="AA211" s="81"/>
      <c r="AB211" s="25">
        <f t="shared" si="2"/>
        <v>0</v>
      </c>
      <c r="AC211" s="81">
        <v>30</v>
      </c>
      <c r="AD211" s="81"/>
      <c r="AE211" s="25">
        <f t="shared" si="3"/>
        <v>0</v>
      </c>
      <c r="AF211" s="137">
        <f t="shared" si="132"/>
        <v>9</v>
      </c>
      <c r="AG211" s="137">
        <f t="shared" si="133"/>
        <v>0</v>
      </c>
      <c r="AH211" s="128">
        <f t="shared" si="130"/>
        <v>0</v>
      </c>
      <c r="AI211" s="90">
        <v>46054</v>
      </c>
      <c r="AJ211" s="90">
        <v>46477</v>
      </c>
      <c r="AK211" s="91" t="s">
        <v>112</v>
      </c>
      <c r="AL211" s="91" t="s">
        <v>113</v>
      </c>
      <c r="AM211" s="92" t="s">
        <v>114</v>
      </c>
      <c r="AN211" s="93"/>
      <c r="AO211" s="93"/>
      <c r="AP211" s="93"/>
      <c r="AQ211" s="94"/>
      <c r="AR211" s="91" t="s">
        <v>159</v>
      </c>
      <c r="AS211" s="91" t="s">
        <v>112</v>
      </c>
      <c r="AT211" s="150" t="s">
        <v>628</v>
      </c>
      <c r="AU211" s="165" t="s">
        <v>2264</v>
      </c>
      <c r="AV211" s="232" t="s">
        <v>2234</v>
      </c>
      <c r="AW211" s="126" t="s">
        <v>2266</v>
      </c>
      <c r="BA211" s="255">
        <v>0</v>
      </c>
      <c r="BB211" s="256">
        <v>0</v>
      </c>
      <c r="BC211" s="223" t="e">
        <f t="shared" si="151"/>
        <v>#DIV/0!</v>
      </c>
      <c r="BD211" s="255">
        <v>0</v>
      </c>
      <c r="BE211" s="256">
        <v>0</v>
      </c>
      <c r="BF211" s="223" t="e">
        <f t="shared" si="152"/>
        <v>#DIV/0!</v>
      </c>
      <c r="BG211" s="255">
        <v>0</v>
      </c>
      <c r="BH211" s="256">
        <v>0</v>
      </c>
      <c r="BI211" s="223" t="e">
        <f t="shared" si="153"/>
        <v>#DIV/0!</v>
      </c>
      <c r="BJ211" s="224">
        <f t="shared" si="154"/>
        <v>0</v>
      </c>
      <c r="BK211" s="225">
        <f t="shared" si="155"/>
        <v>0</v>
      </c>
      <c r="BL211" s="223" t="e">
        <f t="shared" si="156"/>
        <v>#DIV/0!</v>
      </c>
      <c r="BM211" s="255">
        <v>0</v>
      </c>
      <c r="BN211" s="256">
        <v>0</v>
      </c>
      <c r="BO211" s="223" t="e">
        <f t="shared" si="134"/>
        <v>#DIV/0!</v>
      </c>
      <c r="BP211" s="255">
        <v>3</v>
      </c>
      <c r="BQ211" s="256">
        <v>3</v>
      </c>
      <c r="BR211" s="223">
        <f t="shared" si="135"/>
        <v>1</v>
      </c>
      <c r="BS211" s="255">
        <v>3</v>
      </c>
      <c r="BT211" s="255">
        <v>3</v>
      </c>
      <c r="BU211" s="223">
        <f t="shared" si="136"/>
        <v>1</v>
      </c>
      <c r="BV211" s="224">
        <f t="shared" si="157"/>
        <v>6</v>
      </c>
      <c r="BW211" s="224">
        <f t="shared" si="158"/>
        <v>6</v>
      </c>
      <c r="BX211" s="223">
        <f t="shared" si="159"/>
        <v>1</v>
      </c>
      <c r="BY211" s="223">
        <f t="shared" si="160"/>
        <v>0.66666666666666663</v>
      </c>
      <c r="BZ211" s="223">
        <f t="shared" si="161"/>
        <v>-0.66666666666666663</v>
      </c>
      <c r="CA211" s="226"/>
      <c r="CB211" s="175"/>
      <c r="CC211" s="191">
        <v>3</v>
      </c>
      <c r="CD211" s="192">
        <v>3</v>
      </c>
      <c r="CE211" s="193">
        <f t="shared" si="137"/>
        <v>1</v>
      </c>
      <c r="CF211" s="191">
        <v>0</v>
      </c>
      <c r="CG211" s="192">
        <v>0</v>
      </c>
      <c r="CH211" s="193" t="e">
        <f t="shared" si="138"/>
        <v>#DIV/0!</v>
      </c>
      <c r="CI211" s="197"/>
      <c r="CJ211" s="198"/>
      <c r="CK211" s="193" t="e">
        <f t="shared" si="139"/>
        <v>#DIV/0!</v>
      </c>
      <c r="CL211" s="195">
        <f t="shared" si="140"/>
        <v>3</v>
      </c>
      <c r="CM211" s="194">
        <f t="shared" si="141"/>
        <v>3</v>
      </c>
      <c r="CN211" s="193">
        <f t="shared" si="142"/>
        <v>1</v>
      </c>
      <c r="CO211" s="175"/>
      <c r="CP211" s="196">
        <f t="shared" si="143"/>
        <v>9</v>
      </c>
      <c r="CQ211" s="196">
        <f t="shared" si="144"/>
        <v>9</v>
      </c>
      <c r="CR211" s="199">
        <f t="shared" si="145"/>
        <v>1</v>
      </c>
      <c r="CS211" s="261">
        <f t="shared" si="162"/>
        <v>0</v>
      </c>
      <c r="CT211" s="175"/>
      <c r="CU211" s="196">
        <f t="shared" si="163"/>
        <v>0</v>
      </c>
      <c r="CV211" s="259"/>
      <c r="CW211" s="199" t="e">
        <f t="shared" si="164"/>
        <v>#DIV/0!</v>
      </c>
      <c r="CX211" s="196">
        <f t="shared" si="165"/>
        <v>0</v>
      </c>
      <c r="CY211" s="259"/>
      <c r="CZ211" s="199" t="e">
        <f t="shared" si="166"/>
        <v>#DIV/0!</v>
      </c>
      <c r="DA211" s="196">
        <f t="shared" si="167"/>
        <v>0</v>
      </c>
      <c r="DB211" s="259"/>
      <c r="DC211" s="199" t="e">
        <f t="shared" si="168"/>
        <v>#DIV/0!</v>
      </c>
      <c r="DD211" s="196">
        <f t="shared" si="169"/>
        <v>0</v>
      </c>
      <c r="DE211" s="259"/>
      <c r="DF211" s="199" t="e">
        <f t="shared" si="170"/>
        <v>#DIV/0!</v>
      </c>
      <c r="DG211" s="175"/>
      <c r="DH211" s="196">
        <f t="shared" si="171"/>
        <v>9</v>
      </c>
      <c r="DI211" s="196">
        <f t="shared" si="172"/>
        <v>9</v>
      </c>
      <c r="DJ211" s="199">
        <f t="shared" si="173"/>
        <v>1</v>
      </c>
      <c r="DK211" s="265">
        <f t="shared" si="174"/>
        <v>0</v>
      </c>
      <c r="DM211">
        <f t="shared" si="149"/>
        <v>207</v>
      </c>
    </row>
    <row r="212" spans="1:117" x14ac:dyDescent="0.3">
      <c r="A212" s="250">
        <v>208</v>
      </c>
      <c r="B212" s="91" t="s">
        <v>270</v>
      </c>
      <c r="C212" s="91" t="s">
        <v>436</v>
      </c>
      <c r="D212" s="91" t="s">
        <v>437</v>
      </c>
      <c r="E212" s="91" t="s">
        <v>120</v>
      </c>
      <c r="F212" s="91" t="s">
        <v>438</v>
      </c>
      <c r="G212" s="87" t="s">
        <v>186</v>
      </c>
      <c r="H212" s="87" t="s">
        <v>187</v>
      </c>
      <c r="I212" s="87" t="s">
        <v>103</v>
      </c>
      <c r="J212" s="87" t="s">
        <v>103</v>
      </c>
      <c r="K212" s="85" t="s">
        <v>104</v>
      </c>
      <c r="L212" s="85" t="s">
        <v>105</v>
      </c>
      <c r="M212" s="87" t="s">
        <v>106</v>
      </c>
      <c r="N212" s="87" t="s">
        <v>429</v>
      </c>
      <c r="O212" s="87" t="s">
        <v>127</v>
      </c>
      <c r="P212" s="87" t="s">
        <v>647</v>
      </c>
      <c r="Q212" s="87" t="s">
        <v>129</v>
      </c>
      <c r="R212" s="130">
        <v>100</v>
      </c>
      <c r="S212" s="88" t="s">
        <v>158</v>
      </c>
      <c r="T212" s="81">
        <v>3</v>
      </c>
      <c r="U212" s="81"/>
      <c r="V212" s="25">
        <f t="shared" si="150"/>
        <v>0</v>
      </c>
      <c r="W212" s="81">
        <v>3</v>
      </c>
      <c r="X212" s="81"/>
      <c r="Y212" s="25">
        <f t="shared" si="1"/>
        <v>0</v>
      </c>
      <c r="Z212" s="81">
        <v>3</v>
      </c>
      <c r="AA212" s="81"/>
      <c r="AB212" s="25">
        <f t="shared" si="2"/>
        <v>0</v>
      </c>
      <c r="AC212" s="81">
        <v>3</v>
      </c>
      <c r="AD212" s="81"/>
      <c r="AE212" s="25">
        <f t="shared" si="3"/>
        <v>0</v>
      </c>
      <c r="AF212" s="137">
        <f t="shared" si="132"/>
        <v>100</v>
      </c>
      <c r="AG212" s="137">
        <f t="shared" si="133"/>
        <v>0</v>
      </c>
      <c r="AH212" s="128">
        <f t="shared" si="130"/>
        <v>0</v>
      </c>
      <c r="AI212" s="90">
        <v>46054</v>
      </c>
      <c r="AJ212" s="90">
        <v>46477</v>
      </c>
      <c r="AK212" s="91" t="s">
        <v>112</v>
      </c>
      <c r="AL212" s="91" t="s">
        <v>113</v>
      </c>
      <c r="AM212" s="92" t="s">
        <v>114</v>
      </c>
      <c r="AN212" s="93">
        <v>6174978000</v>
      </c>
      <c r="AO212" s="93">
        <v>6174978000</v>
      </c>
      <c r="AP212" s="93">
        <v>6174978000</v>
      </c>
      <c r="AQ212" s="94">
        <v>0</v>
      </c>
      <c r="AR212" s="91" t="s">
        <v>159</v>
      </c>
      <c r="AS212" s="91" t="s">
        <v>112</v>
      </c>
      <c r="AT212" s="150" t="s">
        <v>628</v>
      </c>
      <c r="AU212" s="165" t="s">
        <v>2264</v>
      </c>
      <c r="AV212" s="232" t="s">
        <v>2234</v>
      </c>
      <c r="AW212" s="126" t="s">
        <v>2266</v>
      </c>
      <c r="BA212" s="255">
        <v>10</v>
      </c>
      <c r="BB212" s="256">
        <v>10</v>
      </c>
      <c r="BC212" s="223">
        <f t="shared" si="151"/>
        <v>1</v>
      </c>
      <c r="BD212" s="255">
        <v>10</v>
      </c>
      <c r="BE212" s="256">
        <v>10</v>
      </c>
      <c r="BF212" s="223">
        <f t="shared" si="152"/>
        <v>1</v>
      </c>
      <c r="BG212" s="255">
        <v>10</v>
      </c>
      <c r="BH212" s="256">
        <v>10</v>
      </c>
      <c r="BI212" s="223">
        <f t="shared" si="153"/>
        <v>1</v>
      </c>
      <c r="BJ212" s="224">
        <f t="shared" si="154"/>
        <v>30</v>
      </c>
      <c r="BK212" s="225">
        <f t="shared" si="155"/>
        <v>30</v>
      </c>
      <c r="BL212" s="223">
        <f t="shared" si="156"/>
        <v>1</v>
      </c>
      <c r="BM212" s="255">
        <v>10</v>
      </c>
      <c r="BN212" s="256">
        <v>10</v>
      </c>
      <c r="BO212" s="223">
        <f t="shared" si="134"/>
        <v>1</v>
      </c>
      <c r="BP212" s="255">
        <v>10</v>
      </c>
      <c r="BQ212" s="256">
        <v>10</v>
      </c>
      <c r="BR212" s="223">
        <f t="shared" si="135"/>
        <v>1</v>
      </c>
      <c r="BS212" s="255">
        <v>10</v>
      </c>
      <c r="BT212" s="255">
        <v>10</v>
      </c>
      <c r="BU212" s="223">
        <f t="shared" si="136"/>
        <v>1</v>
      </c>
      <c r="BV212" s="224">
        <f t="shared" si="157"/>
        <v>30</v>
      </c>
      <c r="BW212" s="224">
        <f t="shared" si="158"/>
        <v>30</v>
      </c>
      <c r="BX212" s="223">
        <f t="shared" si="159"/>
        <v>1</v>
      </c>
      <c r="BY212" s="223">
        <f t="shared" si="160"/>
        <v>0.6</v>
      </c>
      <c r="BZ212" s="223">
        <f t="shared" si="161"/>
        <v>-0.6</v>
      </c>
      <c r="CA212" s="226"/>
      <c r="CB212" s="175"/>
      <c r="CC212" s="191">
        <v>10</v>
      </c>
      <c r="CD212" s="192">
        <v>10</v>
      </c>
      <c r="CE212" s="193">
        <f t="shared" si="137"/>
        <v>1</v>
      </c>
      <c r="CF212" s="191">
        <v>0</v>
      </c>
      <c r="CG212" s="192">
        <v>0</v>
      </c>
      <c r="CH212" s="193" t="e">
        <f t="shared" si="138"/>
        <v>#DIV/0!</v>
      </c>
      <c r="CI212" s="197"/>
      <c r="CJ212" s="198"/>
      <c r="CK212" s="193" t="e">
        <f t="shared" si="139"/>
        <v>#DIV/0!</v>
      </c>
      <c r="CL212" s="195">
        <f t="shared" si="140"/>
        <v>10</v>
      </c>
      <c r="CM212" s="194">
        <f t="shared" si="141"/>
        <v>10</v>
      </c>
      <c r="CN212" s="193">
        <f t="shared" si="142"/>
        <v>1</v>
      </c>
      <c r="CO212" s="175"/>
      <c r="CP212" s="196">
        <f t="shared" si="143"/>
        <v>70</v>
      </c>
      <c r="CQ212" s="196">
        <f t="shared" si="144"/>
        <v>70</v>
      </c>
      <c r="CR212" s="199">
        <f t="shared" si="145"/>
        <v>1</v>
      </c>
      <c r="CS212" s="261">
        <f t="shared" si="162"/>
        <v>30</v>
      </c>
      <c r="CT212" s="175"/>
      <c r="CU212" s="196">
        <f t="shared" si="163"/>
        <v>9</v>
      </c>
      <c r="CV212" s="259"/>
      <c r="CW212" s="199">
        <f t="shared" si="164"/>
        <v>0</v>
      </c>
      <c r="CX212" s="196">
        <f t="shared" si="165"/>
        <v>9</v>
      </c>
      <c r="CY212" s="259"/>
      <c r="CZ212" s="199">
        <f t="shared" si="166"/>
        <v>0</v>
      </c>
      <c r="DA212" s="196">
        <f t="shared" si="167"/>
        <v>9</v>
      </c>
      <c r="DB212" s="259"/>
      <c r="DC212" s="199">
        <f t="shared" si="168"/>
        <v>0</v>
      </c>
      <c r="DD212" s="196">
        <f t="shared" si="169"/>
        <v>3</v>
      </c>
      <c r="DE212" s="259"/>
      <c r="DF212" s="199">
        <f t="shared" si="170"/>
        <v>0</v>
      </c>
      <c r="DG212" s="175"/>
      <c r="DH212" s="196">
        <f t="shared" si="171"/>
        <v>100</v>
      </c>
      <c r="DI212" s="196">
        <f t="shared" si="172"/>
        <v>70</v>
      </c>
      <c r="DJ212" s="199">
        <f t="shared" si="173"/>
        <v>0.7</v>
      </c>
      <c r="DK212" s="265">
        <f t="shared" si="174"/>
        <v>30</v>
      </c>
      <c r="DM212">
        <f t="shared" si="149"/>
        <v>208</v>
      </c>
    </row>
    <row r="213" spans="1:117" x14ac:dyDescent="0.3">
      <c r="A213" s="250">
        <v>209</v>
      </c>
      <c r="B213" s="91" t="s">
        <v>270</v>
      </c>
      <c r="C213" s="91" t="s">
        <v>133</v>
      </c>
      <c r="D213" s="91" t="s">
        <v>119</v>
      </c>
      <c r="E213" s="91" t="s">
        <v>212</v>
      </c>
      <c r="F213" s="91" t="s">
        <v>438</v>
      </c>
      <c r="G213" s="87" t="s">
        <v>186</v>
      </c>
      <c r="H213" s="87" t="s">
        <v>187</v>
      </c>
      <c r="I213" s="87" t="s">
        <v>103</v>
      </c>
      <c r="J213" s="87" t="s">
        <v>103</v>
      </c>
      <c r="K213" s="85" t="s">
        <v>104</v>
      </c>
      <c r="L213" s="85" t="s">
        <v>105</v>
      </c>
      <c r="M213" s="87" t="s">
        <v>106</v>
      </c>
      <c r="N213" s="87" t="s">
        <v>429</v>
      </c>
      <c r="O213" s="87" t="s">
        <v>127</v>
      </c>
      <c r="P213" s="87" t="s">
        <v>648</v>
      </c>
      <c r="Q213" s="87" t="s">
        <v>129</v>
      </c>
      <c r="R213" s="130">
        <v>2</v>
      </c>
      <c r="S213" s="88" t="s">
        <v>111</v>
      </c>
      <c r="T213" s="81">
        <v>0</v>
      </c>
      <c r="U213" s="81"/>
      <c r="V213" s="25" t="e">
        <f t="shared" si="150"/>
        <v>#DIV/0!</v>
      </c>
      <c r="W213" s="81">
        <v>1</v>
      </c>
      <c r="X213" s="81"/>
      <c r="Y213" s="25">
        <f t="shared" si="1"/>
        <v>0</v>
      </c>
      <c r="Z213" s="81">
        <v>2</v>
      </c>
      <c r="AA213" s="81"/>
      <c r="AB213" s="25">
        <f t="shared" si="2"/>
        <v>0</v>
      </c>
      <c r="AC213" s="81">
        <v>1</v>
      </c>
      <c r="AD213" s="81"/>
      <c r="AE213" s="25">
        <f t="shared" si="3"/>
        <v>0</v>
      </c>
      <c r="AF213" s="137">
        <f t="shared" si="132"/>
        <v>2</v>
      </c>
      <c r="AG213" s="137">
        <f t="shared" si="133"/>
        <v>0</v>
      </c>
      <c r="AH213" s="128">
        <f t="shared" si="130"/>
        <v>0</v>
      </c>
      <c r="AI213" s="90">
        <v>46054</v>
      </c>
      <c r="AJ213" s="90">
        <v>46477</v>
      </c>
      <c r="AK213" s="91" t="s">
        <v>112</v>
      </c>
      <c r="AL213" s="91" t="s">
        <v>113</v>
      </c>
      <c r="AM213" s="92" t="s">
        <v>114</v>
      </c>
      <c r="AN213" s="93">
        <v>100000000</v>
      </c>
      <c r="AO213" s="93">
        <v>100000000</v>
      </c>
      <c r="AP213" s="93">
        <v>100000000</v>
      </c>
      <c r="AQ213" s="94">
        <v>0</v>
      </c>
      <c r="AR213" s="91" t="s">
        <v>159</v>
      </c>
      <c r="AS213" s="91" t="s">
        <v>112</v>
      </c>
      <c r="AT213" s="150" t="s">
        <v>628</v>
      </c>
      <c r="AU213" s="165" t="s">
        <v>2264</v>
      </c>
      <c r="AV213" s="232" t="s">
        <v>2234</v>
      </c>
      <c r="AW213" s="126" t="s">
        <v>2266</v>
      </c>
      <c r="BA213" s="255"/>
      <c r="BB213" s="256"/>
      <c r="BC213" s="223" t="e">
        <f t="shared" si="151"/>
        <v>#DIV/0!</v>
      </c>
      <c r="BD213" s="255"/>
      <c r="BE213" s="256"/>
      <c r="BF213" s="223" t="e">
        <f t="shared" si="152"/>
        <v>#DIV/0!</v>
      </c>
      <c r="BG213" s="255"/>
      <c r="BH213" s="256"/>
      <c r="BI213" s="223" t="e">
        <f t="shared" si="153"/>
        <v>#DIV/0!</v>
      </c>
      <c r="BJ213" s="224">
        <f t="shared" si="154"/>
        <v>0</v>
      </c>
      <c r="BK213" s="225">
        <f t="shared" si="155"/>
        <v>0</v>
      </c>
      <c r="BL213" s="223" t="e">
        <f t="shared" si="156"/>
        <v>#DIV/0!</v>
      </c>
      <c r="BM213" s="255"/>
      <c r="BN213" s="256"/>
      <c r="BO213" s="223" t="e">
        <f t="shared" si="134"/>
        <v>#DIV/0!</v>
      </c>
      <c r="BP213" s="255"/>
      <c r="BQ213" s="256"/>
      <c r="BR213" s="223" t="e">
        <f t="shared" si="135"/>
        <v>#DIV/0!</v>
      </c>
      <c r="BS213" s="255"/>
      <c r="BT213" s="255"/>
      <c r="BU213" s="223" t="e">
        <f t="shared" si="136"/>
        <v>#DIV/0!</v>
      </c>
      <c r="BV213" s="224">
        <f t="shared" si="157"/>
        <v>0</v>
      </c>
      <c r="BW213" s="224">
        <f t="shared" si="158"/>
        <v>0</v>
      </c>
      <c r="BX213" s="223" t="e">
        <f t="shared" si="159"/>
        <v>#DIV/0!</v>
      </c>
      <c r="BY213" s="223">
        <f t="shared" si="160"/>
        <v>0</v>
      </c>
      <c r="BZ213" s="223">
        <f t="shared" si="161"/>
        <v>0</v>
      </c>
      <c r="CA213" s="226"/>
      <c r="CB213" s="175"/>
      <c r="CC213" s="191"/>
      <c r="CD213" s="192"/>
      <c r="CE213" s="193" t="e">
        <f t="shared" si="137"/>
        <v>#DIV/0!</v>
      </c>
      <c r="CF213" s="191"/>
      <c r="CG213" s="192"/>
      <c r="CH213" s="193" t="e">
        <f t="shared" si="138"/>
        <v>#DIV/0!</v>
      </c>
      <c r="CI213" s="197"/>
      <c r="CJ213" s="198"/>
      <c r="CK213" s="193" t="e">
        <f t="shared" si="139"/>
        <v>#DIV/0!</v>
      </c>
      <c r="CL213" s="195">
        <f t="shared" si="140"/>
        <v>0</v>
      </c>
      <c r="CM213" s="194">
        <f t="shared" si="141"/>
        <v>0</v>
      </c>
      <c r="CN213" s="193" t="e">
        <f t="shared" si="142"/>
        <v>#DIV/0!</v>
      </c>
      <c r="CO213" s="175"/>
      <c r="CP213" s="196">
        <f t="shared" si="143"/>
        <v>0</v>
      </c>
      <c r="CQ213" s="196">
        <f t="shared" si="144"/>
        <v>0</v>
      </c>
      <c r="CR213" s="199" t="e">
        <f t="shared" si="145"/>
        <v>#DIV/0!</v>
      </c>
      <c r="CS213" s="261">
        <f t="shared" si="162"/>
        <v>2</v>
      </c>
      <c r="CT213" s="175"/>
      <c r="CU213" s="196">
        <f t="shared" si="163"/>
        <v>0.6</v>
      </c>
      <c r="CV213" s="259"/>
      <c r="CW213" s="199">
        <f t="shared" si="164"/>
        <v>0</v>
      </c>
      <c r="CX213" s="196">
        <f t="shared" si="165"/>
        <v>0.6</v>
      </c>
      <c r="CY213" s="259"/>
      <c r="CZ213" s="199">
        <f t="shared" si="166"/>
        <v>0</v>
      </c>
      <c r="DA213" s="196">
        <f t="shared" si="167"/>
        <v>0.6</v>
      </c>
      <c r="DB213" s="259"/>
      <c r="DC213" s="199">
        <f t="shared" si="168"/>
        <v>0</v>
      </c>
      <c r="DD213" s="196">
        <f t="shared" si="169"/>
        <v>0.2</v>
      </c>
      <c r="DE213" s="259"/>
      <c r="DF213" s="199">
        <f t="shared" si="170"/>
        <v>0</v>
      </c>
      <c r="DG213" s="175"/>
      <c r="DH213" s="196">
        <f t="shared" si="171"/>
        <v>2</v>
      </c>
      <c r="DI213" s="196">
        <f t="shared" si="172"/>
        <v>0</v>
      </c>
      <c r="DJ213" s="199">
        <f t="shared" si="173"/>
        <v>0</v>
      </c>
      <c r="DK213" s="265">
        <f t="shared" si="174"/>
        <v>2</v>
      </c>
      <c r="DM213">
        <f t="shared" si="149"/>
        <v>209</v>
      </c>
    </row>
    <row r="214" spans="1:117" x14ac:dyDescent="0.3">
      <c r="A214" s="250">
        <v>210</v>
      </c>
      <c r="B214" s="91" t="s">
        <v>270</v>
      </c>
      <c r="C214" s="91" t="s">
        <v>133</v>
      </c>
      <c r="D214" s="91" t="s">
        <v>119</v>
      </c>
      <c r="E214" s="91" t="s">
        <v>212</v>
      </c>
      <c r="F214" s="91" t="s">
        <v>438</v>
      </c>
      <c r="G214" s="87" t="s">
        <v>186</v>
      </c>
      <c r="H214" s="87" t="s">
        <v>187</v>
      </c>
      <c r="I214" s="87" t="s">
        <v>103</v>
      </c>
      <c r="J214" s="87" t="s">
        <v>103</v>
      </c>
      <c r="K214" s="85" t="s">
        <v>104</v>
      </c>
      <c r="L214" s="85" t="s">
        <v>105</v>
      </c>
      <c r="M214" s="87" t="s">
        <v>106</v>
      </c>
      <c r="N214" s="87" t="s">
        <v>429</v>
      </c>
      <c r="O214" s="87" t="s">
        <v>127</v>
      </c>
      <c r="P214" s="87" t="s">
        <v>649</v>
      </c>
      <c r="Q214" s="87" t="s">
        <v>129</v>
      </c>
      <c r="R214" s="130">
        <v>2</v>
      </c>
      <c r="S214" s="88" t="s">
        <v>111</v>
      </c>
      <c r="T214" s="81">
        <v>100</v>
      </c>
      <c r="U214" s="81"/>
      <c r="V214" s="25">
        <f t="shared" si="150"/>
        <v>0</v>
      </c>
      <c r="W214" s="81">
        <v>100</v>
      </c>
      <c r="X214" s="81"/>
      <c r="Y214" s="25">
        <f t="shared" si="1"/>
        <v>0</v>
      </c>
      <c r="Z214" s="81">
        <v>100</v>
      </c>
      <c r="AA214" s="81"/>
      <c r="AB214" s="25">
        <f t="shared" si="2"/>
        <v>0</v>
      </c>
      <c r="AC214" s="81">
        <v>100</v>
      </c>
      <c r="AD214" s="81"/>
      <c r="AE214" s="25">
        <f t="shared" si="3"/>
        <v>0</v>
      </c>
      <c r="AF214" s="137">
        <f t="shared" si="132"/>
        <v>2</v>
      </c>
      <c r="AG214" s="137">
        <f t="shared" si="133"/>
        <v>0</v>
      </c>
      <c r="AH214" s="128">
        <f t="shared" si="130"/>
        <v>0</v>
      </c>
      <c r="AI214" s="90">
        <v>46054</v>
      </c>
      <c r="AJ214" s="90">
        <v>46477</v>
      </c>
      <c r="AK214" s="91" t="s">
        <v>112</v>
      </c>
      <c r="AL214" s="91" t="s">
        <v>113</v>
      </c>
      <c r="AM214" s="92" t="s">
        <v>114</v>
      </c>
      <c r="AN214" s="93">
        <v>100000000</v>
      </c>
      <c r="AO214" s="93">
        <v>100000000</v>
      </c>
      <c r="AP214" s="93">
        <v>100000000</v>
      </c>
      <c r="AQ214" s="94">
        <v>0</v>
      </c>
      <c r="AR214" s="91" t="s">
        <v>159</v>
      </c>
      <c r="AS214" s="91" t="s">
        <v>112</v>
      </c>
      <c r="AT214" s="150" t="s">
        <v>628</v>
      </c>
      <c r="AU214" s="165" t="s">
        <v>2264</v>
      </c>
      <c r="AV214" s="232" t="s">
        <v>2234</v>
      </c>
      <c r="AW214" s="126" t="s">
        <v>2266</v>
      </c>
      <c r="BA214" s="255"/>
      <c r="BB214" s="256"/>
      <c r="BC214" s="223" t="e">
        <f t="shared" si="151"/>
        <v>#DIV/0!</v>
      </c>
      <c r="BD214" s="255"/>
      <c r="BE214" s="256"/>
      <c r="BF214" s="223" t="e">
        <f t="shared" si="152"/>
        <v>#DIV/0!</v>
      </c>
      <c r="BG214" s="255"/>
      <c r="BH214" s="256"/>
      <c r="BI214" s="223" t="e">
        <f t="shared" si="153"/>
        <v>#DIV/0!</v>
      </c>
      <c r="BJ214" s="224">
        <f t="shared" si="154"/>
        <v>0</v>
      </c>
      <c r="BK214" s="225">
        <f t="shared" si="155"/>
        <v>0</v>
      </c>
      <c r="BL214" s="223" t="e">
        <f t="shared" si="156"/>
        <v>#DIV/0!</v>
      </c>
      <c r="BM214" s="255"/>
      <c r="BN214" s="256"/>
      <c r="BO214" s="223" t="e">
        <f t="shared" si="134"/>
        <v>#DIV/0!</v>
      </c>
      <c r="BP214" s="255"/>
      <c r="BQ214" s="256"/>
      <c r="BR214" s="223" t="e">
        <f t="shared" si="135"/>
        <v>#DIV/0!</v>
      </c>
      <c r="BS214" s="255"/>
      <c r="BT214" s="255"/>
      <c r="BU214" s="223" t="e">
        <f t="shared" si="136"/>
        <v>#DIV/0!</v>
      </c>
      <c r="BV214" s="224">
        <f t="shared" si="157"/>
        <v>0</v>
      </c>
      <c r="BW214" s="224">
        <f t="shared" si="158"/>
        <v>0</v>
      </c>
      <c r="BX214" s="223" t="e">
        <f t="shared" si="159"/>
        <v>#DIV/0!</v>
      </c>
      <c r="BY214" s="223">
        <f t="shared" si="160"/>
        <v>0</v>
      </c>
      <c r="BZ214" s="223">
        <f t="shared" si="161"/>
        <v>0</v>
      </c>
      <c r="CA214" s="226"/>
      <c r="CB214" s="175"/>
      <c r="CC214" s="191"/>
      <c r="CD214" s="192"/>
      <c r="CE214" s="193" t="e">
        <f t="shared" si="137"/>
        <v>#DIV/0!</v>
      </c>
      <c r="CF214" s="191"/>
      <c r="CG214" s="192"/>
      <c r="CH214" s="193" t="e">
        <f t="shared" si="138"/>
        <v>#DIV/0!</v>
      </c>
      <c r="CI214" s="197"/>
      <c r="CJ214" s="198"/>
      <c r="CK214" s="193" t="e">
        <f t="shared" si="139"/>
        <v>#DIV/0!</v>
      </c>
      <c r="CL214" s="195">
        <f t="shared" si="140"/>
        <v>0</v>
      </c>
      <c r="CM214" s="194">
        <f t="shared" si="141"/>
        <v>0</v>
      </c>
      <c r="CN214" s="193" t="e">
        <f t="shared" si="142"/>
        <v>#DIV/0!</v>
      </c>
      <c r="CO214" s="175"/>
      <c r="CP214" s="196">
        <f t="shared" si="143"/>
        <v>0</v>
      </c>
      <c r="CQ214" s="196">
        <f t="shared" si="144"/>
        <v>0</v>
      </c>
      <c r="CR214" s="199" t="e">
        <f t="shared" si="145"/>
        <v>#DIV/0!</v>
      </c>
      <c r="CS214" s="261">
        <f t="shared" si="162"/>
        <v>2</v>
      </c>
      <c r="CT214" s="175"/>
      <c r="CU214" s="196">
        <f t="shared" si="163"/>
        <v>0.6</v>
      </c>
      <c r="CV214" s="259"/>
      <c r="CW214" s="199">
        <f t="shared" si="164"/>
        <v>0</v>
      </c>
      <c r="CX214" s="196">
        <f t="shared" si="165"/>
        <v>0.6</v>
      </c>
      <c r="CY214" s="259"/>
      <c r="CZ214" s="199">
        <f t="shared" si="166"/>
        <v>0</v>
      </c>
      <c r="DA214" s="196">
        <f t="shared" si="167"/>
        <v>0.6</v>
      </c>
      <c r="DB214" s="259"/>
      <c r="DC214" s="199">
        <f t="shared" si="168"/>
        <v>0</v>
      </c>
      <c r="DD214" s="196">
        <f t="shared" si="169"/>
        <v>0.2</v>
      </c>
      <c r="DE214" s="259"/>
      <c r="DF214" s="199">
        <f t="shared" si="170"/>
        <v>0</v>
      </c>
      <c r="DG214" s="175"/>
      <c r="DH214" s="196">
        <f t="shared" si="171"/>
        <v>2</v>
      </c>
      <c r="DI214" s="196">
        <f t="shared" si="172"/>
        <v>0</v>
      </c>
      <c r="DJ214" s="199">
        <f t="shared" si="173"/>
        <v>0</v>
      </c>
      <c r="DK214" s="265">
        <f t="shared" si="174"/>
        <v>2</v>
      </c>
      <c r="DM214">
        <f t="shared" si="149"/>
        <v>210</v>
      </c>
    </row>
    <row r="215" spans="1:117" x14ac:dyDescent="0.3">
      <c r="A215" s="250">
        <v>211</v>
      </c>
      <c r="B215" s="91" t="s">
        <v>270</v>
      </c>
      <c r="C215" s="91" t="s">
        <v>133</v>
      </c>
      <c r="D215" s="91" t="s">
        <v>119</v>
      </c>
      <c r="E215" s="91" t="s">
        <v>212</v>
      </c>
      <c r="F215" s="91" t="s">
        <v>438</v>
      </c>
      <c r="G215" s="87" t="s">
        <v>186</v>
      </c>
      <c r="H215" s="87" t="s">
        <v>187</v>
      </c>
      <c r="I215" s="87" t="s">
        <v>103</v>
      </c>
      <c r="J215" s="87" t="s">
        <v>103</v>
      </c>
      <c r="K215" s="85" t="s">
        <v>104</v>
      </c>
      <c r="L215" s="85" t="s">
        <v>105</v>
      </c>
      <c r="M215" s="87" t="s">
        <v>106</v>
      </c>
      <c r="N215" s="87" t="s">
        <v>429</v>
      </c>
      <c r="O215" s="87" t="s">
        <v>127</v>
      </c>
      <c r="P215" s="87" t="s">
        <v>650</v>
      </c>
      <c r="Q215" s="87" t="s">
        <v>129</v>
      </c>
      <c r="R215" s="130">
        <v>4</v>
      </c>
      <c r="S215" s="88" t="s">
        <v>111</v>
      </c>
      <c r="T215" s="81">
        <v>0</v>
      </c>
      <c r="U215" s="81"/>
      <c r="V215" s="25" t="e">
        <f t="shared" si="150"/>
        <v>#DIV/0!</v>
      </c>
      <c r="W215" s="81">
        <v>3</v>
      </c>
      <c r="X215" s="81"/>
      <c r="Y215" s="25">
        <f t="shared" si="1"/>
        <v>0</v>
      </c>
      <c r="Z215" s="81">
        <v>3</v>
      </c>
      <c r="AA215" s="81"/>
      <c r="AB215" s="25">
        <f t="shared" si="2"/>
        <v>0</v>
      </c>
      <c r="AC215" s="81">
        <v>3</v>
      </c>
      <c r="AD215" s="81"/>
      <c r="AE215" s="25">
        <f t="shared" si="3"/>
        <v>0</v>
      </c>
      <c r="AF215" s="137">
        <f t="shared" si="132"/>
        <v>4</v>
      </c>
      <c r="AG215" s="137">
        <f t="shared" si="133"/>
        <v>0</v>
      </c>
      <c r="AH215" s="128">
        <f t="shared" si="130"/>
        <v>0</v>
      </c>
      <c r="AI215" s="90">
        <v>46054</v>
      </c>
      <c r="AJ215" s="90">
        <v>46477</v>
      </c>
      <c r="AK215" s="91" t="s">
        <v>112</v>
      </c>
      <c r="AL215" s="91" t="s">
        <v>113</v>
      </c>
      <c r="AM215" s="92" t="s">
        <v>114</v>
      </c>
      <c r="AN215" s="93">
        <v>80000000</v>
      </c>
      <c r="AO215" s="93">
        <v>80000000</v>
      </c>
      <c r="AP215" s="93">
        <v>80000000</v>
      </c>
      <c r="AQ215" s="94">
        <v>0</v>
      </c>
      <c r="AR215" s="91" t="s">
        <v>159</v>
      </c>
      <c r="AS215" s="91" t="s">
        <v>112</v>
      </c>
      <c r="AT215" s="150" t="s">
        <v>628</v>
      </c>
      <c r="AU215" s="165" t="s">
        <v>2264</v>
      </c>
      <c r="AV215" s="232" t="s">
        <v>2234</v>
      </c>
      <c r="AW215" s="126" t="s">
        <v>2266</v>
      </c>
      <c r="BA215" s="255"/>
      <c r="BB215" s="256"/>
      <c r="BC215" s="223" t="e">
        <f t="shared" si="151"/>
        <v>#DIV/0!</v>
      </c>
      <c r="BD215" s="255"/>
      <c r="BE215" s="256"/>
      <c r="BF215" s="223" t="e">
        <f t="shared" si="152"/>
        <v>#DIV/0!</v>
      </c>
      <c r="BG215" s="255"/>
      <c r="BH215" s="256"/>
      <c r="BI215" s="223" t="e">
        <f t="shared" si="153"/>
        <v>#DIV/0!</v>
      </c>
      <c r="BJ215" s="224">
        <f t="shared" si="154"/>
        <v>0</v>
      </c>
      <c r="BK215" s="225">
        <f t="shared" si="155"/>
        <v>0</v>
      </c>
      <c r="BL215" s="223" t="e">
        <f t="shared" si="156"/>
        <v>#DIV/0!</v>
      </c>
      <c r="BM215" s="255"/>
      <c r="BN215" s="256"/>
      <c r="BO215" s="223" t="e">
        <f t="shared" si="134"/>
        <v>#DIV/0!</v>
      </c>
      <c r="BP215" s="255"/>
      <c r="BQ215" s="256"/>
      <c r="BR215" s="223" t="e">
        <f t="shared" si="135"/>
        <v>#DIV/0!</v>
      </c>
      <c r="BS215" s="255"/>
      <c r="BT215" s="255"/>
      <c r="BU215" s="223" t="e">
        <f t="shared" si="136"/>
        <v>#DIV/0!</v>
      </c>
      <c r="BV215" s="224">
        <f t="shared" si="157"/>
        <v>0</v>
      </c>
      <c r="BW215" s="224">
        <f t="shared" si="158"/>
        <v>0</v>
      </c>
      <c r="BX215" s="223" t="e">
        <f t="shared" si="159"/>
        <v>#DIV/0!</v>
      </c>
      <c r="BY215" s="223">
        <f t="shared" si="160"/>
        <v>0</v>
      </c>
      <c r="BZ215" s="223">
        <f t="shared" si="161"/>
        <v>0</v>
      </c>
      <c r="CA215" s="226"/>
      <c r="CB215" s="175"/>
      <c r="CC215" s="191"/>
      <c r="CD215" s="192"/>
      <c r="CE215" s="193" t="e">
        <f t="shared" si="137"/>
        <v>#DIV/0!</v>
      </c>
      <c r="CF215" s="191"/>
      <c r="CG215" s="192"/>
      <c r="CH215" s="193" t="e">
        <f t="shared" si="138"/>
        <v>#DIV/0!</v>
      </c>
      <c r="CI215" s="197"/>
      <c r="CJ215" s="198"/>
      <c r="CK215" s="193" t="e">
        <f t="shared" si="139"/>
        <v>#DIV/0!</v>
      </c>
      <c r="CL215" s="195">
        <f t="shared" si="140"/>
        <v>0</v>
      </c>
      <c r="CM215" s="194">
        <f t="shared" si="141"/>
        <v>0</v>
      </c>
      <c r="CN215" s="193" t="e">
        <f t="shared" si="142"/>
        <v>#DIV/0!</v>
      </c>
      <c r="CO215" s="175"/>
      <c r="CP215" s="196">
        <f t="shared" si="143"/>
        <v>0</v>
      </c>
      <c r="CQ215" s="196">
        <f t="shared" si="144"/>
        <v>0</v>
      </c>
      <c r="CR215" s="199" t="e">
        <f t="shared" si="145"/>
        <v>#DIV/0!</v>
      </c>
      <c r="CS215" s="261">
        <f t="shared" si="162"/>
        <v>4</v>
      </c>
      <c r="CT215" s="175"/>
      <c r="CU215" s="196">
        <f t="shared" si="163"/>
        <v>1.2</v>
      </c>
      <c r="CV215" s="259"/>
      <c r="CW215" s="199">
        <f t="shared" si="164"/>
        <v>0</v>
      </c>
      <c r="CX215" s="196">
        <f t="shared" si="165"/>
        <v>1.2</v>
      </c>
      <c r="CY215" s="259"/>
      <c r="CZ215" s="199">
        <f t="shared" si="166"/>
        <v>0</v>
      </c>
      <c r="DA215" s="196">
        <f t="shared" si="167"/>
        <v>1.2</v>
      </c>
      <c r="DB215" s="259"/>
      <c r="DC215" s="199">
        <f t="shared" si="168"/>
        <v>0</v>
      </c>
      <c r="DD215" s="196">
        <f t="shared" si="169"/>
        <v>0.4</v>
      </c>
      <c r="DE215" s="259"/>
      <c r="DF215" s="199">
        <f t="shared" si="170"/>
        <v>0</v>
      </c>
      <c r="DG215" s="175"/>
      <c r="DH215" s="196">
        <f t="shared" si="171"/>
        <v>4</v>
      </c>
      <c r="DI215" s="196">
        <f t="shared" si="172"/>
        <v>0</v>
      </c>
      <c r="DJ215" s="199">
        <f t="shared" si="173"/>
        <v>0</v>
      </c>
      <c r="DK215" s="265">
        <f t="shared" si="174"/>
        <v>4</v>
      </c>
      <c r="DM215">
        <f t="shared" si="149"/>
        <v>211</v>
      </c>
    </row>
    <row r="216" spans="1:117" x14ac:dyDescent="0.3">
      <c r="A216" s="81">
        <v>212</v>
      </c>
      <c r="B216" s="91" t="s">
        <v>270</v>
      </c>
      <c r="C216" s="91" t="s">
        <v>118</v>
      </c>
      <c r="D216" s="91" t="s">
        <v>119</v>
      </c>
      <c r="E216" s="91" t="s">
        <v>120</v>
      </c>
      <c r="F216" s="91" t="s">
        <v>350</v>
      </c>
      <c r="G216" s="87" t="s">
        <v>186</v>
      </c>
      <c r="H216" s="87" t="s">
        <v>187</v>
      </c>
      <c r="I216" s="87" t="s">
        <v>592</v>
      </c>
      <c r="J216" s="87" t="s">
        <v>592</v>
      </c>
      <c r="K216" s="85" t="s">
        <v>104</v>
      </c>
      <c r="L216" s="85" t="s">
        <v>105</v>
      </c>
      <c r="M216" s="87" t="s">
        <v>106</v>
      </c>
      <c r="N216" s="87" t="s">
        <v>126</v>
      </c>
      <c r="O216" s="87" t="s">
        <v>127</v>
      </c>
      <c r="P216" s="87" t="s">
        <v>651</v>
      </c>
      <c r="Q216" s="87" t="s">
        <v>129</v>
      </c>
      <c r="R216" s="130">
        <v>100</v>
      </c>
      <c r="S216" s="88" t="s">
        <v>111</v>
      </c>
      <c r="T216" s="81"/>
      <c r="U216" s="81"/>
      <c r="V216" s="25" t="e">
        <f t="shared" si="150"/>
        <v>#DIV/0!</v>
      </c>
      <c r="W216" s="81">
        <v>60</v>
      </c>
      <c r="X216" s="81"/>
      <c r="Y216" s="25">
        <f t="shared" si="1"/>
        <v>0</v>
      </c>
      <c r="Z216" s="81">
        <v>20</v>
      </c>
      <c r="AA216" s="81"/>
      <c r="AB216" s="25">
        <f t="shared" si="2"/>
        <v>0</v>
      </c>
      <c r="AC216" s="81">
        <v>20</v>
      </c>
      <c r="AD216" s="81"/>
      <c r="AE216" s="25">
        <f t="shared" si="3"/>
        <v>0</v>
      </c>
      <c r="AF216" s="137">
        <f t="shared" ref="AF216:AF279" si="175">R216</f>
        <v>100</v>
      </c>
      <c r="AG216" s="137">
        <f t="shared" ref="AG216:AG279" si="176">U216+X216+AA216+AD216</f>
        <v>0</v>
      </c>
      <c r="AH216" s="128">
        <f t="shared" si="130"/>
        <v>0</v>
      </c>
      <c r="AI216" s="90">
        <v>46054</v>
      </c>
      <c r="AJ216" s="90">
        <v>46477</v>
      </c>
      <c r="AK216" s="91" t="s">
        <v>112</v>
      </c>
      <c r="AL216" s="91" t="s">
        <v>113</v>
      </c>
      <c r="AM216" s="92" t="s">
        <v>114</v>
      </c>
      <c r="AN216" s="93">
        <v>30000000</v>
      </c>
      <c r="AO216" s="93">
        <v>30000000</v>
      </c>
      <c r="AP216" s="93">
        <v>30000000</v>
      </c>
      <c r="AQ216" s="94">
        <v>0</v>
      </c>
      <c r="AR216" s="91" t="s">
        <v>159</v>
      </c>
      <c r="AS216" s="91" t="s">
        <v>112</v>
      </c>
      <c r="AT216" s="150" t="s">
        <v>652</v>
      </c>
      <c r="AU216" s="91" t="s">
        <v>2264</v>
      </c>
      <c r="AV216" s="126" t="s">
        <v>2235</v>
      </c>
      <c r="BA216" s="191"/>
      <c r="BB216" s="192"/>
      <c r="BC216" s="223" t="e">
        <f t="shared" si="151"/>
        <v>#DIV/0!</v>
      </c>
      <c r="BD216" s="191"/>
      <c r="BE216" s="192"/>
      <c r="BF216" s="223" t="e">
        <f t="shared" si="152"/>
        <v>#DIV/0!</v>
      </c>
      <c r="BG216" s="191"/>
      <c r="BH216" s="192"/>
      <c r="BI216" s="223" t="e">
        <f t="shared" si="153"/>
        <v>#DIV/0!</v>
      </c>
      <c r="BJ216" s="224">
        <f t="shared" si="154"/>
        <v>0</v>
      </c>
      <c r="BK216" s="225">
        <f t="shared" si="155"/>
        <v>0</v>
      </c>
      <c r="BL216" s="223" t="e">
        <f t="shared" si="156"/>
        <v>#DIV/0!</v>
      </c>
      <c r="BM216" s="191"/>
      <c r="BN216" s="192"/>
      <c r="BO216" s="193" t="e">
        <f t="shared" ref="BO216:BO279" si="177">+BN216/BM216</f>
        <v>#DIV/0!</v>
      </c>
      <c r="BP216" s="191"/>
      <c r="BQ216" s="192"/>
      <c r="BR216" s="193" t="e">
        <f t="shared" ref="BR216:BR279" si="178">+BQ216/BP216</f>
        <v>#DIV/0!</v>
      </c>
      <c r="BS216" s="191"/>
      <c r="BT216" s="192"/>
      <c r="BU216" s="193" t="e">
        <f t="shared" ref="BU216:BU279" si="179">+BT216/BS216</f>
        <v>#DIV/0!</v>
      </c>
      <c r="BV216" s="224">
        <f t="shared" si="157"/>
        <v>0</v>
      </c>
      <c r="BW216" s="224">
        <f t="shared" si="158"/>
        <v>0</v>
      </c>
      <c r="BX216" s="223" t="e">
        <f t="shared" si="159"/>
        <v>#DIV/0!</v>
      </c>
      <c r="BY216" s="223">
        <f t="shared" si="160"/>
        <v>0</v>
      </c>
      <c r="BZ216" s="223">
        <f t="shared" si="161"/>
        <v>0</v>
      </c>
      <c r="CA216" s="196"/>
      <c r="CB216" s="175"/>
      <c r="CC216" s="191"/>
      <c r="CD216" s="192"/>
      <c r="CE216" s="193" t="e">
        <f t="shared" ref="CE216:CE279" si="180">+CD216/CC216</f>
        <v>#DIV/0!</v>
      </c>
      <c r="CF216" s="191"/>
      <c r="CG216" s="192"/>
      <c r="CH216" s="193" t="e">
        <f t="shared" ref="CH216:CH279" si="181">+CG216/CF216</f>
        <v>#DIV/0!</v>
      </c>
      <c r="CI216" s="197"/>
      <c r="CJ216" s="198"/>
      <c r="CK216" s="193" t="e">
        <f t="shared" ref="CK216:CK279" si="182">+CJ216/CI216</f>
        <v>#DIV/0!</v>
      </c>
      <c r="CL216" s="195">
        <f t="shared" ref="CL216:CL279" si="183">+CC216+CF216+CI216</f>
        <v>0</v>
      </c>
      <c r="CM216" s="194">
        <f t="shared" ref="CM216:CM279" si="184">+CD216+CG216+CJ216</f>
        <v>0</v>
      </c>
      <c r="CN216" s="193" t="e">
        <f t="shared" ref="CN216:CN279" si="185">+CM216/CL216</f>
        <v>#DIV/0!</v>
      </c>
      <c r="CO216" s="175"/>
      <c r="CP216" s="196">
        <f t="shared" ref="CP216:CP279" si="186">+BJ216+BV216+CL216</f>
        <v>0</v>
      </c>
      <c r="CQ216" s="196">
        <f t="shared" ref="CQ216:CQ279" si="187">+BK216+BW216+CM216</f>
        <v>0</v>
      </c>
      <c r="CR216" s="199" t="e">
        <f t="shared" ref="CR216:CR279" si="188">+CQ216/CP216</f>
        <v>#DIV/0!</v>
      </c>
      <c r="CS216" s="261">
        <f t="shared" si="162"/>
        <v>100</v>
      </c>
      <c r="CT216" s="175"/>
      <c r="CU216" s="196">
        <f t="shared" si="163"/>
        <v>30</v>
      </c>
      <c r="CV216" s="259"/>
      <c r="CW216" s="199">
        <f t="shared" si="164"/>
        <v>0</v>
      </c>
      <c r="CX216" s="196">
        <f t="shared" si="165"/>
        <v>30</v>
      </c>
      <c r="CY216" s="259"/>
      <c r="CZ216" s="199">
        <f t="shared" si="166"/>
        <v>0</v>
      </c>
      <c r="DA216" s="196">
        <f t="shared" si="167"/>
        <v>30</v>
      </c>
      <c r="DB216" s="259"/>
      <c r="DC216" s="199">
        <f t="shared" si="168"/>
        <v>0</v>
      </c>
      <c r="DD216" s="196">
        <f t="shared" si="169"/>
        <v>10</v>
      </c>
      <c r="DE216" s="259"/>
      <c r="DF216" s="199">
        <f t="shared" si="170"/>
        <v>0</v>
      </c>
      <c r="DG216" s="175"/>
      <c r="DH216" s="196">
        <f t="shared" si="171"/>
        <v>100</v>
      </c>
      <c r="DI216" s="196">
        <f t="shared" si="172"/>
        <v>0</v>
      </c>
      <c r="DJ216" s="199">
        <f t="shared" si="173"/>
        <v>0</v>
      </c>
      <c r="DK216" s="265">
        <f t="shared" si="174"/>
        <v>100</v>
      </c>
    </row>
    <row r="217" spans="1:117" x14ac:dyDescent="0.3">
      <c r="A217" s="251">
        <v>213</v>
      </c>
      <c r="B217" s="91" t="s">
        <v>239</v>
      </c>
      <c r="C217" s="91" t="s">
        <v>653</v>
      </c>
      <c r="D217" s="91" t="s">
        <v>119</v>
      </c>
      <c r="E217" s="91" t="s">
        <v>654</v>
      </c>
      <c r="F217" s="91" t="s">
        <v>655</v>
      </c>
      <c r="G217" s="87" t="s">
        <v>599</v>
      </c>
      <c r="H217" s="87" t="s">
        <v>656</v>
      </c>
      <c r="I217" s="87" t="s">
        <v>243</v>
      </c>
      <c r="J217" s="87" t="s">
        <v>657</v>
      </c>
      <c r="K217" s="85" t="s">
        <v>104</v>
      </c>
      <c r="L217" s="85" t="s">
        <v>105</v>
      </c>
      <c r="M217" s="87" t="s">
        <v>106</v>
      </c>
      <c r="N217" s="87" t="s">
        <v>658</v>
      </c>
      <c r="O217" s="87" t="s">
        <v>659</v>
      </c>
      <c r="P217" s="87" t="s">
        <v>660</v>
      </c>
      <c r="Q217" s="87" t="s">
        <v>129</v>
      </c>
      <c r="R217" s="130">
        <v>1</v>
      </c>
      <c r="S217" s="88" t="s">
        <v>607</v>
      </c>
      <c r="T217" s="81"/>
      <c r="U217" s="81"/>
      <c r="V217" s="25" t="e">
        <f t="shared" si="150"/>
        <v>#DIV/0!</v>
      </c>
      <c r="W217" s="81"/>
      <c r="X217" s="81"/>
      <c r="Y217" s="25" t="e">
        <f t="shared" si="1"/>
        <v>#DIV/0!</v>
      </c>
      <c r="Z217" s="81">
        <v>2</v>
      </c>
      <c r="AA217" s="81"/>
      <c r="AB217" s="25">
        <f t="shared" si="2"/>
        <v>0</v>
      </c>
      <c r="AC217" s="81"/>
      <c r="AD217" s="81"/>
      <c r="AE217" s="25" t="e">
        <f t="shared" si="3"/>
        <v>#DIV/0!</v>
      </c>
      <c r="AF217" s="137">
        <f t="shared" si="175"/>
        <v>1</v>
      </c>
      <c r="AG217" s="137">
        <f t="shared" si="176"/>
        <v>0</v>
      </c>
      <c r="AH217" s="128">
        <f t="shared" si="130"/>
        <v>0</v>
      </c>
      <c r="AI217" s="90">
        <v>46113</v>
      </c>
      <c r="AJ217" s="90">
        <v>46477</v>
      </c>
      <c r="AK217" s="91" t="s">
        <v>112</v>
      </c>
      <c r="AL217" s="91" t="s">
        <v>113</v>
      </c>
      <c r="AM217" s="92" t="s">
        <v>114</v>
      </c>
      <c r="AN217" s="93">
        <v>15000000</v>
      </c>
      <c r="AO217" s="93">
        <v>15000000</v>
      </c>
      <c r="AP217" s="93">
        <v>15000000</v>
      </c>
      <c r="AQ217" s="94">
        <v>0</v>
      </c>
      <c r="AR217" s="91" t="s">
        <v>159</v>
      </c>
      <c r="AS217" s="91" t="s">
        <v>112</v>
      </c>
      <c r="AT217" s="150" t="s">
        <v>247</v>
      </c>
      <c r="AU217" s="165" t="s">
        <v>2264</v>
      </c>
      <c r="AV217" s="232" t="s">
        <v>2234</v>
      </c>
      <c r="AW217" s="126" t="s">
        <v>2243</v>
      </c>
      <c r="BA217" s="255"/>
      <c r="BB217" s="256"/>
      <c r="BC217" s="223" t="e">
        <f t="shared" si="151"/>
        <v>#DIV/0!</v>
      </c>
      <c r="BD217" s="255"/>
      <c r="BE217" s="256"/>
      <c r="BF217" s="223" t="e">
        <f t="shared" si="152"/>
        <v>#DIV/0!</v>
      </c>
      <c r="BG217" s="255"/>
      <c r="BH217" s="256"/>
      <c r="BI217" s="223" t="e">
        <f t="shared" si="153"/>
        <v>#DIV/0!</v>
      </c>
      <c r="BJ217" s="224">
        <f t="shared" si="154"/>
        <v>0</v>
      </c>
      <c r="BK217" s="225">
        <f t="shared" si="155"/>
        <v>0</v>
      </c>
      <c r="BL217" s="223" t="e">
        <f t="shared" si="156"/>
        <v>#DIV/0!</v>
      </c>
      <c r="BM217" s="255"/>
      <c r="BN217" s="256"/>
      <c r="BO217" s="223" t="e">
        <f t="shared" si="177"/>
        <v>#DIV/0!</v>
      </c>
      <c r="BP217" s="255"/>
      <c r="BQ217" s="256"/>
      <c r="BR217" s="223" t="e">
        <f t="shared" si="178"/>
        <v>#DIV/0!</v>
      </c>
      <c r="BS217" s="255"/>
      <c r="BT217" s="255"/>
      <c r="BU217" s="223" t="e">
        <f t="shared" si="179"/>
        <v>#DIV/0!</v>
      </c>
      <c r="BV217" s="224">
        <f t="shared" si="157"/>
        <v>0</v>
      </c>
      <c r="BW217" s="224">
        <f t="shared" si="158"/>
        <v>0</v>
      </c>
      <c r="BX217" s="223" t="e">
        <f t="shared" si="159"/>
        <v>#DIV/0!</v>
      </c>
      <c r="BY217" s="223">
        <f t="shared" si="160"/>
        <v>0</v>
      </c>
      <c r="BZ217" s="223">
        <f t="shared" si="161"/>
        <v>0</v>
      </c>
      <c r="CA217" s="226"/>
      <c r="CB217" s="175"/>
      <c r="CC217" s="191"/>
      <c r="CD217" s="192"/>
      <c r="CE217" s="193" t="e">
        <f t="shared" si="180"/>
        <v>#DIV/0!</v>
      </c>
      <c r="CF217" s="191"/>
      <c r="CG217" s="192"/>
      <c r="CH217" s="193" t="e">
        <f t="shared" si="181"/>
        <v>#DIV/0!</v>
      </c>
      <c r="CI217" s="197"/>
      <c r="CJ217" s="198"/>
      <c r="CK217" s="193" t="e">
        <f t="shared" si="182"/>
        <v>#DIV/0!</v>
      </c>
      <c r="CL217" s="195">
        <f t="shared" si="183"/>
        <v>0</v>
      </c>
      <c r="CM217" s="194">
        <f t="shared" si="184"/>
        <v>0</v>
      </c>
      <c r="CN217" s="193" t="e">
        <f t="shared" si="185"/>
        <v>#DIV/0!</v>
      </c>
      <c r="CO217" s="175"/>
      <c r="CP217" s="196">
        <f t="shared" si="186"/>
        <v>0</v>
      </c>
      <c r="CQ217" s="196">
        <f t="shared" si="187"/>
        <v>0</v>
      </c>
      <c r="CR217" s="199" t="e">
        <f t="shared" si="188"/>
        <v>#DIV/0!</v>
      </c>
      <c r="CS217" s="261">
        <f t="shared" si="162"/>
        <v>1</v>
      </c>
      <c r="CT217" s="175"/>
      <c r="CU217" s="196">
        <f t="shared" si="163"/>
        <v>0.3</v>
      </c>
      <c r="CV217" s="259"/>
      <c r="CW217" s="199">
        <f t="shared" si="164"/>
        <v>0</v>
      </c>
      <c r="CX217" s="196">
        <f t="shared" si="165"/>
        <v>0.3</v>
      </c>
      <c r="CY217" s="259"/>
      <c r="CZ217" s="199">
        <f t="shared" si="166"/>
        <v>0</v>
      </c>
      <c r="DA217" s="196">
        <f t="shared" si="167"/>
        <v>0.3</v>
      </c>
      <c r="DB217" s="259"/>
      <c r="DC217" s="199">
        <f t="shared" si="168"/>
        <v>0</v>
      </c>
      <c r="DD217" s="196">
        <f t="shared" si="169"/>
        <v>0.1</v>
      </c>
      <c r="DE217" s="259"/>
      <c r="DF217" s="199">
        <f t="shared" si="170"/>
        <v>0</v>
      </c>
      <c r="DG217" s="175"/>
      <c r="DH217" s="196">
        <f t="shared" si="171"/>
        <v>1</v>
      </c>
      <c r="DI217" s="196">
        <f t="shared" si="172"/>
        <v>0</v>
      </c>
      <c r="DJ217" s="199">
        <f t="shared" si="173"/>
        <v>0</v>
      </c>
      <c r="DK217" s="265">
        <f t="shared" si="174"/>
        <v>1</v>
      </c>
      <c r="DM217">
        <f t="shared" ref="DM217:DM226" si="189">+A217-DL217</f>
        <v>213</v>
      </c>
    </row>
    <row r="218" spans="1:117" x14ac:dyDescent="0.3">
      <c r="A218" s="251">
        <v>214</v>
      </c>
      <c r="B218" s="91" t="s">
        <v>239</v>
      </c>
      <c r="C218" s="91" t="s">
        <v>653</v>
      </c>
      <c r="D218" s="91" t="s">
        <v>119</v>
      </c>
      <c r="E218" s="91" t="s">
        <v>654</v>
      </c>
      <c r="F218" s="91" t="s">
        <v>655</v>
      </c>
      <c r="G218" s="87" t="s">
        <v>599</v>
      </c>
      <c r="H218" s="87" t="s">
        <v>656</v>
      </c>
      <c r="I218" s="87" t="s">
        <v>243</v>
      </c>
      <c r="J218" s="87" t="s">
        <v>657</v>
      </c>
      <c r="K218" s="85" t="s">
        <v>104</v>
      </c>
      <c r="L218" s="85" t="s">
        <v>105</v>
      </c>
      <c r="M218" s="87" t="s">
        <v>106</v>
      </c>
      <c r="N218" s="87" t="s">
        <v>658</v>
      </c>
      <c r="O218" s="87" t="s">
        <v>662</v>
      </c>
      <c r="P218" s="87" t="s">
        <v>663</v>
      </c>
      <c r="Q218" s="87" t="s">
        <v>129</v>
      </c>
      <c r="R218" s="130">
        <v>100</v>
      </c>
      <c r="S218" s="88" t="s">
        <v>664</v>
      </c>
      <c r="T218" s="81"/>
      <c r="U218" s="81"/>
      <c r="V218" s="25" t="e">
        <f t="shared" si="150"/>
        <v>#DIV/0!</v>
      </c>
      <c r="W218" s="81">
        <v>2</v>
      </c>
      <c r="X218" s="81"/>
      <c r="Y218" s="25">
        <f t="shared" si="1"/>
        <v>0</v>
      </c>
      <c r="Z218" s="81">
        <v>2</v>
      </c>
      <c r="AA218" s="81"/>
      <c r="AB218" s="25">
        <f t="shared" si="2"/>
        <v>0</v>
      </c>
      <c r="AC218" s="81"/>
      <c r="AD218" s="81"/>
      <c r="AE218" s="25" t="e">
        <f t="shared" si="3"/>
        <v>#DIV/0!</v>
      </c>
      <c r="AF218" s="137">
        <f t="shared" si="175"/>
        <v>100</v>
      </c>
      <c r="AG218" s="137">
        <f t="shared" si="176"/>
        <v>0</v>
      </c>
      <c r="AH218" s="128">
        <f t="shared" si="130"/>
        <v>0</v>
      </c>
      <c r="AI218" s="90">
        <v>46113</v>
      </c>
      <c r="AJ218" s="90">
        <v>46112</v>
      </c>
      <c r="AK218" s="91" t="s">
        <v>112</v>
      </c>
      <c r="AL218" s="91" t="s">
        <v>113</v>
      </c>
      <c r="AM218" s="92" t="s">
        <v>114</v>
      </c>
      <c r="AN218" s="93">
        <v>58000000</v>
      </c>
      <c r="AO218" s="93">
        <v>58000000</v>
      </c>
      <c r="AP218" s="93">
        <v>58000000</v>
      </c>
      <c r="AQ218" s="94">
        <v>0</v>
      </c>
      <c r="AR218" s="91" t="s">
        <v>159</v>
      </c>
      <c r="AS218" s="91" t="s">
        <v>112</v>
      </c>
      <c r="AT218" s="150" t="s">
        <v>247</v>
      </c>
      <c r="AU218" s="165" t="s">
        <v>2264</v>
      </c>
      <c r="AV218" s="232" t="s">
        <v>2234</v>
      </c>
      <c r="AW218" s="126" t="s">
        <v>2243</v>
      </c>
      <c r="BA218" s="255"/>
      <c r="BB218" s="256"/>
      <c r="BC218" s="223" t="e">
        <f t="shared" si="151"/>
        <v>#DIV/0!</v>
      </c>
      <c r="BD218" s="255"/>
      <c r="BE218" s="256"/>
      <c r="BF218" s="223" t="e">
        <f t="shared" si="152"/>
        <v>#DIV/0!</v>
      </c>
      <c r="BG218" s="255"/>
      <c r="BH218" s="256"/>
      <c r="BI218" s="223" t="e">
        <f t="shared" si="153"/>
        <v>#DIV/0!</v>
      </c>
      <c r="BJ218" s="224">
        <f t="shared" si="154"/>
        <v>0</v>
      </c>
      <c r="BK218" s="225">
        <f t="shared" si="155"/>
        <v>0</v>
      </c>
      <c r="BL218" s="223" t="e">
        <f t="shared" si="156"/>
        <v>#DIV/0!</v>
      </c>
      <c r="BM218" s="255"/>
      <c r="BN218" s="256"/>
      <c r="BO218" s="223" t="e">
        <f t="shared" si="177"/>
        <v>#DIV/0!</v>
      </c>
      <c r="BP218" s="255"/>
      <c r="BQ218" s="256"/>
      <c r="BR218" s="223" t="e">
        <f t="shared" si="178"/>
        <v>#DIV/0!</v>
      </c>
      <c r="BS218" s="255"/>
      <c r="BT218" s="255"/>
      <c r="BU218" s="223" t="e">
        <f t="shared" si="179"/>
        <v>#DIV/0!</v>
      </c>
      <c r="BV218" s="224">
        <f t="shared" si="157"/>
        <v>0</v>
      </c>
      <c r="BW218" s="224">
        <f t="shared" si="158"/>
        <v>0</v>
      </c>
      <c r="BX218" s="223" t="e">
        <f t="shared" si="159"/>
        <v>#DIV/0!</v>
      </c>
      <c r="BY218" s="223">
        <f t="shared" si="160"/>
        <v>0</v>
      </c>
      <c r="BZ218" s="223">
        <f t="shared" si="161"/>
        <v>0</v>
      </c>
      <c r="CA218" s="226"/>
      <c r="CB218" s="175"/>
      <c r="CC218" s="191"/>
      <c r="CD218" s="192"/>
      <c r="CE218" s="193" t="e">
        <f t="shared" si="180"/>
        <v>#DIV/0!</v>
      </c>
      <c r="CF218" s="191"/>
      <c r="CG218" s="192"/>
      <c r="CH218" s="193" t="e">
        <f t="shared" si="181"/>
        <v>#DIV/0!</v>
      </c>
      <c r="CI218" s="197"/>
      <c r="CJ218" s="198"/>
      <c r="CK218" s="193" t="e">
        <f t="shared" si="182"/>
        <v>#DIV/0!</v>
      </c>
      <c r="CL218" s="195">
        <f t="shared" si="183"/>
        <v>0</v>
      </c>
      <c r="CM218" s="194">
        <f t="shared" si="184"/>
        <v>0</v>
      </c>
      <c r="CN218" s="193" t="e">
        <f t="shared" si="185"/>
        <v>#DIV/0!</v>
      </c>
      <c r="CO218" s="175"/>
      <c r="CP218" s="196">
        <f t="shared" si="186"/>
        <v>0</v>
      </c>
      <c r="CQ218" s="196">
        <f t="shared" si="187"/>
        <v>0</v>
      </c>
      <c r="CR218" s="199" t="e">
        <f t="shared" si="188"/>
        <v>#DIV/0!</v>
      </c>
      <c r="CS218" s="261">
        <f t="shared" si="162"/>
        <v>100</v>
      </c>
      <c r="CT218" s="175"/>
      <c r="CU218" s="196">
        <f t="shared" si="163"/>
        <v>30</v>
      </c>
      <c r="CV218" s="259"/>
      <c r="CW218" s="199">
        <f t="shared" si="164"/>
        <v>0</v>
      </c>
      <c r="CX218" s="196">
        <f t="shared" si="165"/>
        <v>30</v>
      </c>
      <c r="CY218" s="259"/>
      <c r="CZ218" s="199">
        <f t="shared" si="166"/>
        <v>0</v>
      </c>
      <c r="DA218" s="196">
        <f t="shared" si="167"/>
        <v>30</v>
      </c>
      <c r="DB218" s="259"/>
      <c r="DC218" s="199">
        <f t="shared" si="168"/>
        <v>0</v>
      </c>
      <c r="DD218" s="196">
        <f t="shared" si="169"/>
        <v>10</v>
      </c>
      <c r="DE218" s="259"/>
      <c r="DF218" s="199">
        <f t="shared" si="170"/>
        <v>0</v>
      </c>
      <c r="DG218" s="175"/>
      <c r="DH218" s="196">
        <f t="shared" si="171"/>
        <v>100</v>
      </c>
      <c r="DI218" s="196">
        <f t="shared" si="172"/>
        <v>0</v>
      </c>
      <c r="DJ218" s="199">
        <f t="shared" si="173"/>
        <v>0</v>
      </c>
      <c r="DK218" s="265">
        <f t="shared" si="174"/>
        <v>100</v>
      </c>
      <c r="DM218">
        <f t="shared" si="189"/>
        <v>214</v>
      </c>
    </row>
    <row r="219" spans="1:117" x14ac:dyDescent="0.3">
      <c r="A219" s="251">
        <v>215</v>
      </c>
      <c r="B219" s="91" t="s">
        <v>239</v>
      </c>
      <c r="C219" s="91" t="s">
        <v>653</v>
      </c>
      <c r="D219" s="91" t="s">
        <v>119</v>
      </c>
      <c r="E219" s="91" t="s">
        <v>654</v>
      </c>
      <c r="F219" s="91" t="s">
        <v>655</v>
      </c>
      <c r="G219" s="87" t="s">
        <v>599</v>
      </c>
      <c r="H219" s="87" t="s">
        <v>656</v>
      </c>
      <c r="I219" s="87" t="s">
        <v>243</v>
      </c>
      <c r="J219" s="87" t="s">
        <v>657</v>
      </c>
      <c r="K219" s="85" t="s">
        <v>104</v>
      </c>
      <c r="L219" s="85" t="s">
        <v>105</v>
      </c>
      <c r="M219" s="87" t="s">
        <v>106</v>
      </c>
      <c r="N219" s="87" t="s">
        <v>658</v>
      </c>
      <c r="O219" s="87" t="s">
        <v>665</v>
      </c>
      <c r="P219" s="87" t="s">
        <v>666</v>
      </c>
      <c r="Q219" s="87" t="s">
        <v>129</v>
      </c>
      <c r="R219" s="130">
        <v>360</v>
      </c>
      <c r="S219" s="88" t="s">
        <v>667</v>
      </c>
      <c r="T219" s="81"/>
      <c r="U219" s="81"/>
      <c r="V219" s="25" t="e">
        <f t="shared" si="150"/>
        <v>#DIV/0!</v>
      </c>
      <c r="W219" s="81"/>
      <c r="X219" s="81"/>
      <c r="Y219" s="25" t="e">
        <f t="shared" si="1"/>
        <v>#DIV/0!</v>
      </c>
      <c r="Z219" s="81">
        <v>2</v>
      </c>
      <c r="AA219" s="81"/>
      <c r="AB219" s="25">
        <f t="shared" si="2"/>
        <v>0</v>
      </c>
      <c r="AC219" s="81">
        <v>2</v>
      </c>
      <c r="AD219" s="81"/>
      <c r="AE219" s="25">
        <f t="shared" si="3"/>
        <v>0</v>
      </c>
      <c r="AF219" s="137">
        <f t="shared" si="175"/>
        <v>360</v>
      </c>
      <c r="AG219" s="137">
        <f t="shared" si="176"/>
        <v>0</v>
      </c>
      <c r="AH219" s="128">
        <f t="shared" si="130"/>
        <v>0</v>
      </c>
      <c r="AI219" s="90">
        <v>46113</v>
      </c>
      <c r="AJ219" s="90">
        <v>46477</v>
      </c>
      <c r="AK219" s="91" t="s">
        <v>112</v>
      </c>
      <c r="AL219" s="91" t="s">
        <v>113</v>
      </c>
      <c r="AM219" s="92" t="s">
        <v>114</v>
      </c>
      <c r="AN219" s="93">
        <v>60000000</v>
      </c>
      <c r="AO219" s="93">
        <v>60000000</v>
      </c>
      <c r="AP219" s="93">
        <v>60000000</v>
      </c>
      <c r="AQ219" s="94">
        <v>0</v>
      </c>
      <c r="AR219" s="91" t="s">
        <v>159</v>
      </c>
      <c r="AS219" s="91" t="s">
        <v>112</v>
      </c>
      <c r="AT219" s="150" t="s">
        <v>247</v>
      </c>
      <c r="AU219" s="165" t="s">
        <v>2264</v>
      </c>
      <c r="AV219" s="232" t="s">
        <v>2234</v>
      </c>
      <c r="AW219" s="126" t="s">
        <v>2243</v>
      </c>
      <c r="BA219" s="255"/>
      <c r="BB219" s="256"/>
      <c r="BC219" s="223" t="e">
        <f t="shared" si="151"/>
        <v>#DIV/0!</v>
      </c>
      <c r="BD219" s="255"/>
      <c r="BE219" s="256"/>
      <c r="BF219" s="223" t="e">
        <f t="shared" si="152"/>
        <v>#DIV/0!</v>
      </c>
      <c r="BG219" s="255"/>
      <c r="BH219" s="256"/>
      <c r="BI219" s="223" t="e">
        <f t="shared" si="153"/>
        <v>#DIV/0!</v>
      </c>
      <c r="BJ219" s="224">
        <f t="shared" si="154"/>
        <v>0</v>
      </c>
      <c r="BK219" s="225">
        <f t="shared" si="155"/>
        <v>0</v>
      </c>
      <c r="BL219" s="223" t="e">
        <f t="shared" si="156"/>
        <v>#DIV/0!</v>
      </c>
      <c r="BM219" s="255"/>
      <c r="BN219" s="256"/>
      <c r="BO219" s="223" t="e">
        <f t="shared" si="177"/>
        <v>#DIV/0!</v>
      </c>
      <c r="BP219" s="255"/>
      <c r="BQ219" s="256"/>
      <c r="BR219" s="223" t="e">
        <f t="shared" si="178"/>
        <v>#DIV/0!</v>
      </c>
      <c r="BS219" s="255"/>
      <c r="BT219" s="255"/>
      <c r="BU219" s="223" t="e">
        <f t="shared" si="179"/>
        <v>#DIV/0!</v>
      </c>
      <c r="BV219" s="224">
        <f t="shared" si="157"/>
        <v>0</v>
      </c>
      <c r="BW219" s="224">
        <f t="shared" si="158"/>
        <v>0</v>
      </c>
      <c r="BX219" s="223" t="e">
        <f t="shared" si="159"/>
        <v>#DIV/0!</v>
      </c>
      <c r="BY219" s="223">
        <f t="shared" si="160"/>
        <v>0</v>
      </c>
      <c r="BZ219" s="223">
        <f t="shared" si="161"/>
        <v>0</v>
      </c>
      <c r="CA219" s="226"/>
      <c r="CB219" s="175"/>
      <c r="CC219" s="191"/>
      <c r="CD219" s="192"/>
      <c r="CE219" s="193" t="e">
        <f t="shared" si="180"/>
        <v>#DIV/0!</v>
      </c>
      <c r="CF219" s="191"/>
      <c r="CG219" s="192"/>
      <c r="CH219" s="193" t="e">
        <f t="shared" si="181"/>
        <v>#DIV/0!</v>
      </c>
      <c r="CI219" s="197"/>
      <c r="CJ219" s="198"/>
      <c r="CK219" s="193" t="e">
        <f t="shared" si="182"/>
        <v>#DIV/0!</v>
      </c>
      <c r="CL219" s="195">
        <f t="shared" si="183"/>
        <v>0</v>
      </c>
      <c r="CM219" s="194">
        <f t="shared" si="184"/>
        <v>0</v>
      </c>
      <c r="CN219" s="193" t="e">
        <f t="shared" si="185"/>
        <v>#DIV/0!</v>
      </c>
      <c r="CO219" s="175"/>
      <c r="CP219" s="196">
        <f t="shared" si="186"/>
        <v>0</v>
      </c>
      <c r="CQ219" s="196">
        <f t="shared" si="187"/>
        <v>0</v>
      </c>
      <c r="CR219" s="199" t="e">
        <f t="shared" si="188"/>
        <v>#DIV/0!</v>
      </c>
      <c r="CS219" s="261">
        <f t="shared" si="162"/>
        <v>360</v>
      </c>
      <c r="CT219" s="175"/>
      <c r="CU219" s="196">
        <f t="shared" si="163"/>
        <v>108</v>
      </c>
      <c r="CV219" s="259"/>
      <c r="CW219" s="199">
        <f t="shared" si="164"/>
        <v>0</v>
      </c>
      <c r="CX219" s="196">
        <f t="shared" si="165"/>
        <v>108</v>
      </c>
      <c r="CY219" s="259"/>
      <c r="CZ219" s="199">
        <f t="shared" si="166"/>
        <v>0</v>
      </c>
      <c r="DA219" s="196">
        <f t="shared" si="167"/>
        <v>108</v>
      </c>
      <c r="DB219" s="259"/>
      <c r="DC219" s="199">
        <f t="shared" si="168"/>
        <v>0</v>
      </c>
      <c r="DD219" s="196">
        <f t="shared" si="169"/>
        <v>36</v>
      </c>
      <c r="DE219" s="259"/>
      <c r="DF219" s="199">
        <f t="shared" si="170"/>
        <v>0</v>
      </c>
      <c r="DG219" s="175"/>
      <c r="DH219" s="196">
        <f t="shared" si="171"/>
        <v>360</v>
      </c>
      <c r="DI219" s="196">
        <f t="shared" si="172"/>
        <v>0</v>
      </c>
      <c r="DJ219" s="199">
        <f t="shared" si="173"/>
        <v>0</v>
      </c>
      <c r="DK219" s="265">
        <f t="shared" si="174"/>
        <v>360</v>
      </c>
      <c r="DM219">
        <f t="shared" si="189"/>
        <v>215</v>
      </c>
    </row>
    <row r="220" spans="1:117" x14ac:dyDescent="0.3">
      <c r="A220" s="251">
        <v>216</v>
      </c>
      <c r="B220" s="91" t="s">
        <v>239</v>
      </c>
      <c r="C220" s="91" t="s">
        <v>653</v>
      </c>
      <c r="D220" s="91" t="s">
        <v>119</v>
      </c>
      <c r="E220" s="91" t="s">
        <v>654</v>
      </c>
      <c r="F220" s="91" t="s">
        <v>655</v>
      </c>
      <c r="G220" s="87" t="s">
        <v>599</v>
      </c>
      <c r="H220" s="87" t="s">
        <v>656</v>
      </c>
      <c r="I220" s="87" t="s">
        <v>173</v>
      </c>
      <c r="J220" s="87" t="s">
        <v>668</v>
      </c>
      <c r="K220" s="85" t="s">
        <v>104</v>
      </c>
      <c r="L220" s="85" t="s">
        <v>105</v>
      </c>
      <c r="M220" s="87" t="s">
        <v>106</v>
      </c>
      <c r="N220" s="87" t="s">
        <v>669</v>
      </c>
      <c r="O220" s="87" t="s">
        <v>659</v>
      </c>
      <c r="P220" s="87" t="s">
        <v>670</v>
      </c>
      <c r="Q220" s="87" t="s">
        <v>129</v>
      </c>
      <c r="R220" s="130">
        <v>1</v>
      </c>
      <c r="S220" s="88" t="s">
        <v>671</v>
      </c>
      <c r="T220" s="81">
        <v>0</v>
      </c>
      <c r="U220" s="81">
        <v>0</v>
      </c>
      <c r="V220" s="25" t="e">
        <f t="shared" si="150"/>
        <v>#DIV/0!</v>
      </c>
      <c r="W220" s="81">
        <v>0</v>
      </c>
      <c r="X220" s="81">
        <v>0</v>
      </c>
      <c r="Y220" s="25" t="e">
        <f t="shared" si="1"/>
        <v>#DIV/0!</v>
      </c>
      <c r="Z220" s="81">
        <v>1</v>
      </c>
      <c r="AA220" s="81"/>
      <c r="AB220" s="25">
        <f t="shared" si="2"/>
        <v>0</v>
      </c>
      <c r="AC220" s="81">
        <v>0</v>
      </c>
      <c r="AD220" s="81"/>
      <c r="AE220" s="25" t="e">
        <f t="shared" si="3"/>
        <v>#DIV/0!</v>
      </c>
      <c r="AF220" s="137">
        <f t="shared" si="175"/>
        <v>1</v>
      </c>
      <c r="AG220" s="137">
        <f t="shared" si="176"/>
        <v>0</v>
      </c>
      <c r="AH220" s="128" t="e">
        <f t="shared" si="130"/>
        <v>#DIV/0!</v>
      </c>
      <c r="AI220" s="90">
        <v>46113</v>
      </c>
      <c r="AJ220" s="90">
        <v>46477</v>
      </c>
      <c r="AK220" s="91" t="s">
        <v>112</v>
      </c>
      <c r="AL220" s="91" t="s">
        <v>113</v>
      </c>
      <c r="AM220" s="92" t="s">
        <v>114</v>
      </c>
      <c r="AN220" s="93"/>
      <c r="AO220" s="93"/>
      <c r="AP220" s="93"/>
      <c r="AQ220" s="94"/>
      <c r="AR220" s="91" t="s">
        <v>159</v>
      </c>
      <c r="AS220" s="91" t="s">
        <v>112</v>
      </c>
      <c r="AT220" s="150" t="s">
        <v>131</v>
      </c>
      <c r="AU220" s="165" t="s">
        <v>2264</v>
      </c>
      <c r="AV220" s="232" t="s">
        <v>2234</v>
      </c>
      <c r="AW220" s="126" t="s">
        <v>2258</v>
      </c>
      <c r="BA220" s="255"/>
      <c r="BB220" s="256"/>
      <c r="BC220" s="223" t="e">
        <f t="shared" si="151"/>
        <v>#DIV/0!</v>
      </c>
      <c r="BD220" s="255"/>
      <c r="BE220" s="256"/>
      <c r="BF220" s="223" t="e">
        <f t="shared" si="152"/>
        <v>#DIV/0!</v>
      </c>
      <c r="BG220" s="255"/>
      <c r="BH220" s="256"/>
      <c r="BI220" s="223" t="e">
        <f t="shared" si="153"/>
        <v>#DIV/0!</v>
      </c>
      <c r="BJ220" s="224">
        <f t="shared" si="154"/>
        <v>0</v>
      </c>
      <c r="BK220" s="225">
        <f t="shared" si="155"/>
        <v>0</v>
      </c>
      <c r="BL220" s="223" t="e">
        <f t="shared" si="156"/>
        <v>#DIV/0!</v>
      </c>
      <c r="BM220" s="255"/>
      <c r="BN220" s="256"/>
      <c r="BO220" s="223" t="e">
        <f t="shared" si="177"/>
        <v>#DIV/0!</v>
      </c>
      <c r="BP220" s="255"/>
      <c r="BQ220" s="256"/>
      <c r="BR220" s="223" t="e">
        <f t="shared" si="178"/>
        <v>#DIV/0!</v>
      </c>
      <c r="BS220" s="255"/>
      <c r="BT220" s="255"/>
      <c r="BU220" s="223" t="e">
        <f t="shared" si="179"/>
        <v>#DIV/0!</v>
      </c>
      <c r="BV220" s="224">
        <f t="shared" si="157"/>
        <v>0</v>
      </c>
      <c r="BW220" s="224">
        <f t="shared" si="158"/>
        <v>0</v>
      </c>
      <c r="BX220" s="223" t="e">
        <f t="shared" si="159"/>
        <v>#DIV/0!</v>
      </c>
      <c r="BY220" s="223">
        <f t="shared" si="160"/>
        <v>0</v>
      </c>
      <c r="BZ220" s="223">
        <f t="shared" si="161"/>
        <v>0</v>
      </c>
      <c r="CA220" s="226"/>
      <c r="CB220" s="175"/>
      <c r="CC220" s="191"/>
      <c r="CD220" s="192"/>
      <c r="CE220" s="193" t="e">
        <f t="shared" si="180"/>
        <v>#DIV/0!</v>
      </c>
      <c r="CF220" s="191"/>
      <c r="CG220" s="192"/>
      <c r="CH220" s="193" t="e">
        <f t="shared" si="181"/>
        <v>#DIV/0!</v>
      </c>
      <c r="CI220" s="197"/>
      <c r="CJ220" s="198"/>
      <c r="CK220" s="193" t="e">
        <f t="shared" si="182"/>
        <v>#DIV/0!</v>
      </c>
      <c r="CL220" s="195">
        <f t="shared" si="183"/>
        <v>0</v>
      </c>
      <c r="CM220" s="194">
        <f t="shared" si="184"/>
        <v>0</v>
      </c>
      <c r="CN220" s="193" t="e">
        <f t="shared" si="185"/>
        <v>#DIV/0!</v>
      </c>
      <c r="CO220" s="175"/>
      <c r="CP220" s="196">
        <f t="shared" si="186"/>
        <v>0</v>
      </c>
      <c r="CQ220" s="196">
        <f t="shared" si="187"/>
        <v>0</v>
      </c>
      <c r="CR220" s="199" t="e">
        <f t="shared" si="188"/>
        <v>#DIV/0!</v>
      </c>
      <c r="CS220" s="261">
        <f t="shared" si="162"/>
        <v>1</v>
      </c>
      <c r="CT220" s="175"/>
      <c r="CU220" s="196">
        <f t="shared" si="163"/>
        <v>0.3</v>
      </c>
      <c r="CV220" s="259"/>
      <c r="CW220" s="199">
        <f t="shared" si="164"/>
        <v>0</v>
      </c>
      <c r="CX220" s="196">
        <f t="shared" si="165"/>
        <v>0.3</v>
      </c>
      <c r="CY220" s="259"/>
      <c r="CZ220" s="199">
        <f t="shared" si="166"/>
        <v>0</v>
      </c>
      <c r="DA220" s="196">
        <f t="shared" si="167"/>
        <v>0.3</v>
      </c>
      <c r="DB220" s="259"/>
      <c r="DC220" s="199">
        <f t="shared" si="168"/>
        <v>0</v>
      </c>
      <c r="DD220" s="196">
        <f t="shared" si="169"/>
        <v>0.1</v>
      </c>
      <c r="DE220" s="259"/>
      <c r="DF220" s="199">
        <f t="shared" si="170"/>
        <v>0</v>
      </c>
      <c r="DG220" s="175"/>
      <c r="DH220" s="196">
        <f t="shared" si="171"/>
        <v>1</v>
      </c>
      <c r="DI220" s="196">
        <f t="shared" si="172"/>
        <v>0</v>
      </c>
      <c r="DJ220" s="199">
        <f t="shared" si="173"/>
        <v>0</v>
      </c>
      <c r="DK220" s="265">
        <f t="shared" si="174"/>
        <v>1</v>
      </c>
      <c r="DM220">
        <f t="shared" si="189"/>
        <v>216</v>
      </c>
    </row>
    <row r="221" spans="1:117" x14ac:dyDescent="0.3">
      <c r="A221" s="251">
        <v>217</v>
      </c>
      <c r="B221" s="91" t="s">
        <v>239</v>
      </c>
      <c r="C221" s="91" t="s">
        <v>653</v>
      </c>
      <c r="D221" s="91" t="s">
        <v>119</v>
      </c>
      <c r="E221" s="91" t="s">
        <v>654</v>
      </c>
      <c r="F221" s="91" t="s">
        <v>655</v>
      </c>
      <c r="G221" s="87" t="s">
        <v>599</v>
      </c>
      <c r="H221" s="87" t="s">
        <v>656</v>
      </c>
      <c r="I221" s="87" t="s">
        <v>173</v>
      </c>
      <c r="J221" s="87" t="s">
        <v>668</v>
      </c>
      <c r="K221" s="85" t="s">
        <v>104</v>
      </c>
      <c r="L221" s="85" t="s">
        <v>105</v>
      </c>
      <c r="M221" s="87" t="s">
        <v>106</v>
      </c>
      <c r="N221" s="87" t="s">
        <v>669</v>
      </c>
      <c r="O221" s="87" t="s">
        <v>662</v>
      </c>
      <c r="P221" s="87" t="s">
        <v>672</v>
      </c>
      <c r="Q221" s="87" t="s">
        <v>129</v>
      </c>
      <c r="R221" s="130">
        <v>29</v>
      </c>
      <c r="S221" s="88" t="s">
        <v>673</v>
      </c>
      <c r="T221" s="81"/>
      <c r="U221" s="81"/>
      <c r="V221" s="25" t="e">
        <f t="shared" si="150"/>
        <v>#DIV/0!</v>
      </c>
      <c r="W221" s="81"/>
      <c r="X221" s="81"/>
      <c r="Y221" s="25" t="e">
        <f t="shared" si="1"/>
        <v>#DIV/0!</v>
      </c>
      <c r="Z221" s="81">
        <v>1</v>
      </c>
      <c r="AA221" s="81"/>
      <c r="AB221" s="25">
        <f t="shared" si="2"/>
        <v>0</v>
      </c>
      <c r="AC221" s="81"/>
      <c r="AD221" s="81"/>
      <c r="AE221" s="25" t="e">
        <f t="shared" si="3"/>
        <v>#DIV/0!</v>
      </c>
      <c r="AF221" s="137">
        <f t="shared" si="175"/>
        <v>29</v>
      </c>
      <c r="AG221" s="137">
        <f t="shared" si="176"/>
        <v>0</v>
      </c>
      <c r="AH221" s="128">
        <f t="shared" si="130"/>
        <v>0</v>
      </c>
      <c r="AI221" s="90">
        <v>46113</v>
      </c>
      <c r="AJ221" s="90">
        <v>46477</v>
      </c>
      <c r="AK221" s="91"/>
      <c r="AL221" s="91" t="s">
        <v>113</v>
      </c>
      <c r="AM221" s="92" t="s">
        <v>114</v>
      </c>
      <c r="AN221" s="93">
        <v>30000000</v>
      </c>
      <c r="AO221" s="93">
        <v>30000000</v>
      </c>
      <c r="AP221" s="93">
        <v>30000000</v>
      </c>
      <c r="AQ221" s="94">
        <v>0</v>
      </c>
      <c r="AR221" s="91" t="s">
        <v>115</v>
      </c>
      <c r="AS221" s="91" t="s">
        <v>112</v>
      </c>
      <c r="AT221" s="150" t="s">
        <v>674</v>
      </c>
      <c r="AU221" s="165" t="s">
        <v>2264</v>
      </c>
      <c r="AV221" s="232" t="s">
        <v>2234</v>
      </c>
      <c r="AW221" s="126" t="s">
        <v>2248</v>
      </c>
      <c r="BA221" s="255"/>
      <c r="BB221" s="256"/>
      <c r="BC221" s="223" t="e">
        <f t="shared" si="151"/>
        <v>#DIV/0!</v>
      </c>
      <c r="BD221" s="255"/>
      <c r="BE221" s="256"/>
      <c r="BF221" s="223" t="e">
        <f t="shared" si="152"/>
        <v>#DIV/0!</v>
      </c>
      <c r="BG221" s="255"/>
      <c r="BH221" s="256"/>
      <c r="BI221" s="223" t="e">
        <f t="shared" si="153"/>
        <v>#DIV/0!</v>
      </c>
      <c r="BJ221" s="224">
        <f t="shared" si="154"/>
        <v>0</v>
      </c>
      <c r="BK221" s="225">
        <f t="shared" si="155"/>
        <v>0</v>
      </c>
      <c r="BL221" s="223" t="e">
        <f t="shared" si="156"/>
        <v>#DIV/0!</v>
      </c>
      <c r="BM221" s="255"/>
      <c r="BN221" s="256"/>
      <c r="BO221" s="223" t="e">
        <f t="shared" si="177"/>
        <v>#DIV/0!</v>
      </c>
      <c r="BP221" s="255"/>
      <c r="BQ221" s="256"/>
      <c r="BR221" s="223" t="e">
        <f t="shared" si="178"/>
        <v>#DIV/0!</v>
      </c>
      <c r="BS221" s="255"/>
      <c r="BT221" s="255"/>
      <c r="BU221" s="223" t="e">
        <f t="shared" si="179"/>
        <v>#DIV/0!</v>
      </c>
      <c r="BV221" s="224">
        <f t="shared" si="157"/>
        <v>0</v>
      </c>
      <c r="BW221" s="224">
        <f t="shared" si="158"/>
        <v>0</v>
      </c>
      <c r="BX221" s="223" t="e">
        <f t="shared" si="159"/>
        <v>#DIV/0!</v>
      </c>
      <c r="BY221" s="223">
        <f t="shared" si="160"/>
        <v>0</v>
      </c>
      <c r="BZ221" s="223">
        <f t="shared" si="161"/>
        <v>0</v>
      </c>
      <c r="CA221" s="226"/>
      <c r="CB221" s="175"/>
      <c r="CC221" s="191"/>
      <c r="CD221" s="192"/>
      <c r="CE221" s="193" t="e">
        <f t="shared" si="180"/>
        <v>#DIV/0!</v>
      </c>
      <c r="CF221" s="191"/>
      <c r="CG221" s="192"/>
      <c r="CH221" s="193" t="e">
        <f t="shared" si="181"/>
        <v>#DIV/0!</v>
      </c>
      <c r="CI221" s="197"/>
      <c r="CJ221" s="198"/>
      <c r="CK221" s="193" t="e">
        <f t="shared" si="182"/>
        <v>#DIV/0!</v>
      </c>
      <c r="CL221" s="195">
        <f t="shared" si="183"/>
        <v>0</v>
      </c>
      <c r="CM221" s="194">
        <f t="shared" si="184"/>
        <v>0</v>
      </c>
      <c r="CN221" s="193" t="e">
        <f t="shared" si="185"/>
        <v>#DIV/0!</v>
      </c>
      <c r="CO221" s="175"/>
      <c r="CP221" s="196">
        <f t="shared" si="186"/>
        <v>0</v>
      </c>
      <c r="CQ221" s="196">
        <f t="shared" si="187"/>
        <v>0</v>
      </c>
      <c r="CR221" s="199" t="e">
        <f t="shared" si="188"/>
        <v>#DIV/0!</v>
      </c>
      <c r="CS221" s="261">
        <f t="shared" si="162"/>
        <v>29</v>
      </c>
      <c r="CT221" s="175"/>
      <c r="CU221" s="196">
        <f t="shared" si="163"/>
        <v>8.6999999999999993</v>
      </c>
      <c r="CV221" s="259"/>
      <c r="CW221" s="199">
        <f t="shared" si="164"/>
        <v>0</v>
      </c>
      <c r="CX221" s="196">
        <f t="shared" si="165"/>
        <v>8.6999999999999993</v>
      </c>
      <c r="CY221" s="259"/>
      <c r="CZ221" s="199">
        <f t="shared" si="166"/>
        <v>0</v>
      </c>
      <c r="DA221" s="196">
        <f t="shared" si="167"/>
        <v>8.6999999999999993</v>
      </c>
      <c r="DB221" s="259"/>
      <c r="DC221" s="199">
        <f t="shared" si="168"/>
        <v>0</v>
      </c>
      <c r="DD221" s="196">
        <f t="shared" si="169"/>
        <v>2.9000000000000004</v>
      </c>
      <c r="DE221" s="259"/>
      <c r="DF221" s="199">
        <f t="shared" si="170"/>
        <v>0</v>
      </c>
      <c r="DG221" s="175"/>
      <c r="DH221" s="196">
        <f t="shared" si="171"/>
        <v>29</v>
      </c>
      <c r="DI221" s="196">
        <f t="shared" si="172"/>
        <v>0</v>
      </c>
      <c r="DJ221" s="199">
        <f t="shared" si="173"/>
        <v>0</v>
      </c>
      <c r="DK221" s="265">
        <f t="shared" si="174"/>
        <v>29</v>
      </c>
      <c r="DM221">
        <f t="shared" si="189"/>
        <v>217</v>
      </c>
    </row>
    <row r="222" spans="1:117" x14ac:dyDescent="0.3">
      <c r="A222" s="251">
        <v>218</v>
      </c>
      <c r="B222" s="91" t="s">
        <v>239</v>
      </c>
      <c r="C222" s="91" t="s">
        <v>653</v>
      </c>
      <c r="D222" s="91" t="s">
        <v>119</v>
      </c>
      <c r="E222" s="91" t="s">
        <v>654</v>
      </c>
      <c r="F222" s="91" t="s">
        <v>655</v>
      </c>
      <c r="G222" s="87" t="s">
        <v>599</v>
      </c>
      <c r="H222" s="87" t="s">
        <v>656</v>
      </c>
      <c r="I222" s="87" t="s">
        <v>173</v>
      </c>
      <c r="J222" s="87" t="s">
        <v>668</v>
      </c>
      <c r="K222" s="85" t="s">
        <v>104</v>
      </c>
      <c r="L222" s="85" t="s">
        <v>105</v>
      </c>
      <c r="M222" s="87" t="s">
        <v>106</v>
      </c>
      <c r="N222" s="87" t="s">
        <v>669</v>
      </c>
      <c r="O222" s="87" t="s">
        <v>665</v>
      </c>
      <c r="P222" s="87" t="s">
        <v>675</v>
      </c>
      <c r="Q222" s="87" t="s">
        <v>129</v>
      </c>
      <c r="R222" s="130">
        <v>29</v>
      </c>
      <c r="S222" s="88" t="s">
        <v>673</v>
      </c>
      <c r="T222" s="81"/>
      <c r="U222" s="81"/>
      <c r="V222" s="25" t="e">
        <f t="shared" si="150"/>
        <v>#DIV/0!</v>
      </c>
      <c r="W222" s="81"/>
      <c r="X222" s="81"/>
      <c r="Y222" s="25" t="e">
        <f t="shared" si="1"/>
        <v>#DIV/0!</v>
      </c>
      <c r="Z222" s="81">
        <v>50</v>
      </c>
      <c r="AA222" s="81"/>
      <c r="AB222" s="25">
        <f t="shared" si="2"/>
        <v>0</v>
      </c>
      <c r="AC222" s="81">
        <v>50</v>
      </c>
      <c r="AD222" s="81"/>
      <c r="AE222" s="25">
        <f t="shared" si="3"/>
        <v>0</v>
      </c>
      <c r="AF222" s="137">
        <f t="shared" si="175"/>
        <v>29</v>
      </c>
      <c r="AG222" s="137">
        <f t="shared" si="176"/>
        <v>0</v>
      </c>
      <c r="AH222" s="128">
        <f t="shared" si="130"/>
        <v>0</v>
      </c>
      <c r="AI222" s="90">
        <v>46113</v>
      </c>
      <c r="AJ222" s="90">
        <v>46477</v>
      </c>
      <c r="AK222" s="91"/>
      <c r="AL222" s="91" t="s">
        <v>113</v>
      </c>
      <c r="AM222" s="92" t="s">
        <v>114</v>
      </c>
      <c r="AN222" s="93">
        <v>30000000</v>
      </c>
      <c r="AO222" s="93">
        <v>30000000</v>
      </c>
      <c r="AP222" s="93">
        <v>30000000</v>
      </c>
      <c r="AQ222" s="94">
        <v>0</v>
      </c>
      <c r="AR222" s="91" t="s">
        <v>115</v>
      </c>
      <c r="AS222" s="91" t="s">
        <v>676</v>
      </c>
      <c r="AT222" s="150" t="s">
        <v>674</v>
      </c>
      <c r="AU222" s="165" t="s">
        <v>2264</v>
      </c>
      <c r="AV222" s="232" t="s">
        <v>2234</v>
      </c>
      <c r="AW222" s="126" t="s">
        <v>2248</v>
      </c>
      <c r="BA222" s="255"/>
      <c r="BB222" s="256"/>
      <c r="BC222" s="223" t="e">
        <f t="shared" si="151"/>
        <v>#DIV/0!</v>
      </c>
      <c r="BD222" s="255"/>
      <c r="BE222" s="256"/>
      <c r="BF222" s="223" t="e">
        <f t="shared" si="152"/>
        <v>#DIV/0!</v>
      </c>
      <c r="BG222" s="255"/>
      <c r="BH222" s="256"/>
      <c r="BI222" s="223" t="e">
        <f t="shared" si="153"/>
        <v>#DIV/0!</v>
      </c>
      <c r="BJ222" s="224">
        <f t="shared" si="154"/>
        <v>0</v>
      </c>
      <c r="BK222" s="225">
        <f t="shared" si="155"/>
        <v>0</v>
      </c>
      <c r="BL222" s="223" t="e">
        <f t="shared" si="156"/>
        <v>#DIV/0!</v>
      </c>
      <c r="BM222" s="255"/>
      <c r="BN222" s="256"/>
      <c r="BO222" s="223" t="e">
        <f t="shared" si="177"/>
        <v>#DIV/0!</v>
      </c>
      <c r="BP222" s="255"/>
      <c r="BQ222" s="256"/>
      <c r="BR222" s="223" t="e">
        <f t="shared" si="178"/>
        <v>#DIV/0!</v>
      </c>
      <c r="BS222" s="255"/>
      <c r="BT222" s="255"/>
      <c r="BU222" s="223" t="e">
        <f t="shared" si="179"/>
        <v>#DIV/0!</v>
      </c>
      <c r="BV222" s="224">
        <f t="shared" si="157"/>
        <v>0</v>
      </c>
      <c r="BW222" s="224">
        <f t="shared" si="158"/>
        <v>0</v>
      </c>
      <c r="BX222" s="223" t="e">
        <f t="shared" si="159"/>
        <v>#DIV/0!</v>
      </c>
      <c r="BY222" s="223">
        <f t="shared" si="160"/>
        <v>0</v>
      </c>
      <c r="BZ222" s="223">
        <f t="shared" si="161"/>
        <v>0</v>
      </c>
      <c r="CA222" s="226"/>
      <c r="CB222" s="175"/>
      <c r="CC222" s="191"/>
      <c r="CD222" s="192"/>
      <c r="CE222" s="193" t="e">
        <f t="shared" si="180"/>
        <v>#DIV/0!</v>
      </c>
      <c r="CF222" s="191"/>
      <c r="CG222" s="192"/>
      <c r="CH222" s="193" t="e">
        <f t="shared" si="181"/>
        <v>#DIV/0!</v>
      </c>
      <c r="CI222" s="197"/>
      <c r="CJ222" s="198"/>
      <c r="CK222" s="193" t="e">
        <f t="shared" si="182"/>
        <v>#DIV/0!</v>
      </c>
      <c r="CL222" s="195">
        <f t="shared" si="183"/>
        <v>0</v>
      </c>
      <c r="CM222" s="194">
        <f t="shared" si="184"/>
        <v>0</v>
      </c>
      <c r="CN222" s="193" t="e">
        <f t="shared" si="185"/>
        <v>#DIV/0!</v>
      </c>
      <c r="CO222" s="175"/>
      <c r="CP222" s="196">
        <f t="shared" si="186"/>
        <v>0</v>
      </c>
      <c r="CQ222" s="196">
        <f t="shared" si="187"/>
        <v>0</v>
      </c>
      <c r="CR222" s="199" t="e">
        <f t="shared" si="188"/>
        <v>#DIV/0!</v>
      </c>
      <c r="CS222" s="261">
        <f t="shared" si="162"/>
        <v>29</v>
      </c>
      <c r="CT222" s="175"/>
      <c r="CU222" s="196">
        <f t="shared" si="163"/>
        <v>8.6999999999999993</v>
      </c>
      <c r="CV222" s="259"/>
      <c r="CW222" s="199">
        <f t="shared" si="164"/>
        <v>0</v>
      </c>
      <c r="CX222" s="196">
        <f t="shared" si="165"/>
        <v>8.6999999999999993</v>
      </c>
      <c r="CY222" s="259"/>
      <c r="CZ222" s="199">
        <f t="shared" si="166"/>
        <v>0</v>
      </c>
      <c r="DA222" s="196">
        <f t="shared" si="167"/>
        <v>8.6999999999999993</v>
      </c>
      <c r="DB222" s="259"/>
      <c r="DC222" s="199">
        <f t="shared" si="168"/>
        <v>0</v>
      </c>
      <c r="DD222" s="196">
        <f t="shared" si="169"/>
        <v>2.9000000000000004</v>
      </c>
      <c r="DE222" s="259"/>
      <c r="DF222" s="199">
        <f t="shared" si="170"/>
        <v>0</v>
      </c>
      <c r="DG222" s="175"/>
      <c r="DH222" s="196">
        <f t="shared" si="171"/>
        <v>29</v>
      </c>
      <c r="DI222" s="196">
        <f t="shared" si="172"/>
        <v>0</v>
      </c>
      <c r="DJ222" s="199">
        <f t="shared" si="173"/>
        <v>0</v>
      </c>
      <c r="DK222" s="265">
        <f t="shared" si="174"/>
        <v>29</v>
      </c>
      <c r="DM222">
        <f t="shared" si="189"/>
        <v>218</v>
      </c>
    </row>
    <row r="223" spans="1:117" x14ac:dyDescent="0.3">
      <c r="A223" s="251">
        <v>219</v>
      </c>
      <c r="B223" s="91" t="s">
        <v>239</v>
      </c>
      <c r="C223" s="91" t="s">
        <v>653</v>
      </c>
      <c r="D223" s="91" t="s">
        <v>119</v>
      </c>
      <c r="E223" s="91" t="s">
        <v>654</v>
      </c>
      <c r="F223" s="91" t="s">
        <v>655</v>
      </c>
      <c r="G223" s="87" t="s">
        <v>599</v>
      </c>
      <c r="H223" s="87" t="s">
        <v>656</v>
      </c>
      <c r="I223" s="87" t="s">
        <v>324</v>
      </c>
      <c r="J223" s="87" t="s">
        <v>677</v>
      </c>
      <c r="K223" s="85" t="s">
        <v>104</v>
      </c>
      <c r="L223" s="85" t="s">
        <v>105</v>
      </c>
      <c r="M223" s="87" t="s">
        <v>106</v>
      </c>
      <c r="N223" s="87" t="s">
        <v>678</v>
      </c>
      <c r="O223" s="87" t="s">
        <v>659</v>
      </c>
      <c r="P223" s="87" t="s">
        <v>679</v>
      </c>
      <c r="Q223" s="87" t="s">
        <v>129</v>
      </c>
      <c r="R223" s="130">
        <v>1</v>
      </c>
      <c r="S223" s="88" t="s">
        <v>680</v>
      </c>
      <c r="T223" s="81">
        <v>0</v>
      </c>
      <c r="U223" s="81">
        <v>0</v>
      </c>
      <c r="V223" s="25" t="e">
        <f t="shared" si="150"/>
        <v>#DIV/0!</v>
      </c>
      <c r="W223" s="81">
        <v>0</v>
      </c>
      <c r="X223" s="81">
        <v>0</v>
      </c>
      <c r="Y223" s="25" t="e">
        <f t="shared" si="1"/>
        <v>#DIV/0!</v>
      </c>
      <c r="Z223" s="81">
        <v>1</v>
      </c>
      <c r="AA223" s="81"/>
      <c r="AB223" s="25">
        <f t="shared" si="2"/>
        <v>0</v>
      </c>
      <c r="AC223" s="81">
        <v>0</v>
      </c>
      <c r="AD223" s="81"/>
      <c r="AE223" s="25" t="e">
        <f t="shared" si="3"/>
        <v>#DIV/0!</v>
      </c>
      <c r="AF223" s="137">
        <f t="shared" si="175"/>
        <v>1</v>
      </c>
      <c r="AG223" s="137">
        <f t="shared" si="176"/>
        <v>0</v>
      </c>
      <c r="AH223" s="128" t="e">
        <f t="shared" si="130"/>
        <v>#DIV/0!</v>
      </c>
      <c r="AI223" s="90">
        <v>46113</v>
      </c>
      <c r="AJ223" s="90">
        <v>46477</v>
      </c>
      <c r="AK223" s="91"/>
      <c r="AL223" s="91" t="s">
        <v>113</v>
      </c>
      <c r="AM223" s="92" t="s">
        <v>114</v>
      </c>
      <c r="AN223" s="93"/>
      <c r="AO223" s="93"/>
      <c r="AP223" s="93"/>
      <c r="AQ223" s="94"/>
      <c r="AR223" s="91" t="s">
        <v>115</v>
      </c>
      <c r="AS223" s="91" t="s">
        <v>676</v>
      </c>
      <c r="AT223" s="150" t="s">
        <v>247</v>
      </c>
      <c r="AU223" s="165" t="s">
        <v>2264</v>
      </c>
      <c r="AV223" s="232" t="s">
        <v>2234</v>
      </c>
      <c r="AW223" s="126" t="s">
        <v>2243</v>
      </c>
      <c r="BA223" s="255"/>
      <c r="BB223" s="256"/>
      <c r="BC223" s="223" t="e">
        <f t="shared" si="151"/>
        <v>#DIV/0!</v>
      </c>
      <c r="BD223" s="255"/>
      <c r="BE223" s="256"/>
      <c r="BF223" s="223" t="e">
        <f t="shared" si="152"/>
        <v>#DIV/0!</v>
      </c>
      <c r="BG223" s="255"/>
      <c r="BH223" s="256"/>
      <c r="BI223" s="223" t="e">
        <f t="shared" si="153"/>
        <v>#DIV/0!</v>
      </c>
      <c r="BJ223" s="224">
        <f t="shared" si="154"/>
        <v>0</v>
      </c>
      <c r="BK223" s="225">
        <f t="shared" si="155"/>
        <v>0</v>
      </c>
      <c r="BL223" s="223" t="e">
        <f t="shared" si="156"/>
        <v>#DIV/0!</v>
      </c>
      <c r="BM223" s="255"/>
      <c r="BN223" s="256"/>
      <c r="BO223" s="223" t="e">
        <f t="shared" si="177"/>
        <v>#DIV/0!</v>
      </c>
      <c r="BP223" s="255"/>
      <c r="BQ223" s="256"/>
      <c r="BR223" s="223" t="e">
        <f t="shared" si="178"/>
        <v>#DIV/0!</v>
      </c>
      <c r="BS223" s="255"/>
      <c r="BT223" s="255"/>
      <c r="BU223" s="223" t="e">
        <f t="shared" si="179"/>
        <v>#DIV/0!</v>
      </c>
      <c r="BV223" s="224">
        <f t="shared" si="157"/>
        <v>0</v>
      </c>
      <c r="BW223" s="224">
        <f t="shared" si="158"/>
        <v>0</v>
      </c>
      <c r="BX223" s="223" t="e">
        <f t="shared" si="159"/>
        <v>#DIV/0!</v>
      </c>
      <c r="BY223" s="223">
        <f t="shared" si="160"/>
        <v>0</v>
      </c>
      <c r="BZ223" s="223">
        <f t="shared" si="161"/>
        <v>0</v>
      </c>
      <c r="CA223" s="226"/>
      <c r="CB223" s="175"/>
      <c r="CC223" s="191"/>
      <c r="CD223" s="192"/>
      <c r="CE223" s="193" t="e">
        <f t="shared" si="180"/>
        <v>#DIV/0!</v>
      </c>
      <c r="CF223" s="191"/>
      <c r="CG223" s="192"/>
      <c r="CH223" s="193" t="e">
        <f t="shared" si="181"/>
        <v>#DIV/0!</v>
      </c>
      <c r="CI223" s="197"/>
      <c r="CJ223" s="198"/>
      <c r="CK223" s="193" t="e">
        <f t="shared" si="182"/>
        <v>#DIV/0!</v>
      </c>
      <c r="CL223" s="195">
        <f t="shared" si="183"/>
        <v>0</v>
      </c>
      <c r="CM223" s="194">
        <f t="shared" si="184"/>
        <v>0</v>
      </c>
      <c r="CN223" s="193" t="e">
        <f t="shared" si="185"/>
        <v>#DIV/0!</v>
      </c>
      <c r="CO223" s="175"/>
      <c r="CP223" s="196">
        <f t="shared" si="186"/>
        <v>0</v>
      </c>
      <c r="CQ223" s="196">
        <f t="shared" si="187"/>
        <v>0</v>
      </c>
      <c r="CR223" s="199" t="e">
        <f t="shared" si="188"/>
        <v>#DIV/0!</v>
      </c>
      <c r="CS223" s="261">
        <f t="shared" si="162"/>
        <v>1</v>
      </c>
      <c r="CT223" s="175"/>
      <c r="CU223" s="196">
        <f t="shared" si="163"/>
        <v>0.3</v>
      </c>
      <c r="CV223" s="259"/>
      <c r="CW223" s="199">
        <f t="shared" si="164"/>
        <v>0</v>
      </c>
      <c r="CX223" s="196">
        <f t="shared" si="165"/>
        <v>0.3</v>
      </c>
      <c r="CY223" s="259"/>
      <c r="CZ223" s="199">
        <f t="shared" si="166"/>
        <v>0</v>
      </c>
      <c r="DA223" s="196">
        <f t="shared" si="167"/>
        <v>0.3</v>
      </c>
      <c r="DB223" s="259"/>
      <c r="DC223" s="199">
        <f t="shared" si="168"/>
        <v>0</v>
      </c>
      <c r="DD223" s="196">
        <f t="shared" si="169"/>
        <v>0.1</v>
      </c>
      <c r="DE223" s="259"/>
      <c r="DF223" s="199">
        <f t="shared" si="170"/>
        <v>0</v>
      </c>
      <c r="DG223" s="175"/>
      <c r="DH223" s="196">
        <f t="shared" si="171"/>
        <v>1</v>
      </c>
      <c r="DI223" s="196">
        <f t="shared" si="172"/>
        <v>0</v>
      </c>
      <c r="DJ223" s="199">
        <f t="shared" si="173"/>
        <v>0</v>
      </c>
      <c r="DK223" s="265">
        <f t="shared" si="174"/>
        <v>1</v>
      </c>
      <c r="DM223">
        <f t="shared" si="189"/>
        <v>219</v>
      </c>
    </row>
    <row r="224" spans="1:117" x14ac:dyDescent="0.3">
      <c r="A224" s="251">
        <v>220</v>
      </c>
      <c r="B224" s="91" t="s">
        <v>239</v>
      </c>
      <c r="C224" s="91" t="s">
        <v>653</v>
      </c>
      <c r="D224" s="91" t="s">
        <v>119</v>
      </c>
      <c r="E224" s="91" t="s">
        <v>654</v>
      </c>
      <c r="F224" s="91" t="s">
        <v>655</v>
      </c>
      <c r="G224" s="87" t="s">
        <v>599</v>
      </c>
      <c r="H224" s="87" t="s">
        <v>656</v>
      </c>
      <c r="I224" s="87" t="s">
        <v>324</v>
      </c>
      <c r="J224" s="87" t="s">
        <v>677</v>
      </c>
      <c r="K224" s="85" t="s">
        <v>104</v>
      </c>
      <c r="L224" s="85" t="s">
        <v>105</v>
      </c>
      <c r="M224" s="87" t="s">
        <v>106</v>
      </c>
      <c r="N224" s="87" t="s">
        <v>678</v>
      </c>
      <c r="O224" s="87" t="s">
        <v>662</v>
      </c>
      <c r="P224" s="87" t="s">
        <v>681</v>
      </c>
      <c r="Q224" s="87" t="s">
        <v>129</v>
      </c>
      <c r="R224" s="130">
        <v>100</v>
      </c>
      <c r="S224" s="88" t="s">
        <v>664</v>
      </c>
      <c r="T224" s="81">
        <v>100</v>
      </c>
      <c r="U224" s="81">
        <v>0</v>
      </c>
      <c r="V224" s="25">
        <f t="shared" si="150"/>
        <v>0</v>
      </c>
      <c r="W224" s="81">
        <v>100</v>
      </c>
      <c r="X224" s="81">
        <v>46</v>
      </c>
      <c r="Y224" s="25">
        <f t="shared" si="1"/>
        <v>46</v>
      </c>
      <c r="Z224" s="81">
        <v>100</v>
      </c>
      <c r="AA224" s="81"/>
      <c r="AB224" s="25">
        <f t="shared" si="2"/>
        <v>0</v>
      </c>
      <c r="AC224" s="81">
        <v>100</v>
      </c>
      <c r="AD224" s="81"/>
      <c r="AE224" s="25">
        <f t="shared" si="3"/>
        <v>0</v>
      </c>
      <c r="AF224" s="137">
        <f t="shared" si="175"/>
        <v>100</v>
      </c>
      <c r="AG224" s="137">
        <f t="shared" si="176"/>
        <v>46</v>
      </c>
      <c r="AH224" s="128">
        <f t="shared" si="130"/>
        <v>23</v>
      </c>
      <c r="AI224" s="90">
        <v>46113</v>
      </c>
      <c r="AJ224" s="90">
        <v>46477</v>
      </c>
      <c r="AK224" s="91"/>
      <c r="AL224" s="91"/>
      <c r="AM224" s="92"/>
      <c r="AN224" s="93"/>
      <c r="AO224" s="93"/>
      <c r="AP224" s="93"/>
      <c r="AQ224" s="94"/>
      <c r="AR224" s="91" t="s">
        <v>115</v>
      </c>
      <c r="AS224" s="91" t="s">
        <v>676</v>
      </c>
      <c r="AT224" s="150" t="s">
        <v>247</v>
      </c>
      <c r="AU224" s="165" t="s">
        <v>2264</v>
      </c>
      <c r="AV224" s="232" t="s">
        <v>2234</v>
      </c>
      <c r="AW224" s="126" t="s">
        <v>2243</v>
      </c>
      <c r="BA224" s="255"/>
      <c r="BB224" s="256"/>
      <c r="BC224" s="223" t="e">
        <f t="shared" si="151"/>
        <v>#DIV/0!</v>
      </c>
      <c r="BD224" s="255"/>
      <c r="BE224" s="256"/>
      <c r="BF224" s="223" t="e">
        <f t="shared" si="152"/>
        <v>#DIV/0!</v>
      </c>
      <c r="BG224" s="255"/>
      <c r="BH224" s="256"/>
      <c r="BI224" s="223" t="e">
        <f t="shared" si="153"/>
        <v>#DIV/0!</v>
      </c>
      <c r="BJ224" s="224">
        <f t="shared" si="154"/>
        <v>0</v>
      </c>
      <c r="BK224" s="225">
        <f t="shared" si="155"/>
        <v>0</v>
      </c>
      <c r="BL224" s="223" t="e">
        <f t="shared" si="156"/>
        <v>#DIV/0!</v>
      </c>
      <c r="BM224" s="255"/>
      <c r="BN224" s="256"/>
      <c r="BO224" s="223" t="e">
        <f t="shared" si="177"/>
        <v>#DIV/0!</v>
      </c>
      <c r="BP224" s="255"/>
      <c r="BQ224" s="256"/>
      <c r="BR224" s="223" t="e">
        <f t="shared" si="178"/>
        <v>#DIV/0!</v>
      </c>
      <c r="BS224" s="255"/>
      <c r="BT224" s="255"/>
      <c r="BU224" s="223" t="e">
        <f t="shared" si="179"/>
        <v>#DIV/0!</v>
      </c>
      <c r="BV224" s="224">
        <f t="shared" si="157"/>
        <v>0</v>
      </c>
      <c r="BW224" s="224">
        <f t="shared" si="158"/>
        <v>0</v>
      </c>
      <c r="BX224" s="223" t="e">
        <f t="shared" si="159"/>
        <v>#DIV/0!</v>
      </c>
      <c r="BY224" s="223">
        <f t="shared" si="160"/>
        <v>0</v>
      </c>
      <c r="BZ224" s="223">
        <f t="shared" si="161"/>
        <v>0</v>
      </c>
      <c r="CA224" s="226"/>
      <c r="CB224" s="175"/>
      <c r="CC224" s="191"/>
      <c r="CD224" s="192"/>
      <c r="CE224" s="193" t="e">
        <f t="shared" si="180"/>
        <v>#DIV/0!</v>
      </c>
      <c r="CF224" s="191"/>
      <c r="CG224" s="192"/>
      <c r="CH224" s="193" t="e">
        <f t="shared" si="181"/>
        <v>#DIV/0!</v>
      </c>
      <c r="CI224" s="197"/>
      <c r="CJ224" s="198"/>
      <c r="CK224" s="193" t="e">
        <f t="shared" si="182"/>
        <v>#DIV/0!</v>
      </c>
      <c r="CL224" s="195">
        <f t="shared" si="183"/>
        <v>0</v>
      </c>
      <c r="CM224" s="194">
        <f t="shared" si="184"/>
        <v>0</v>
      </c>
      <c r="CN224" s="193" t="e">
        <f t="shared" si="185"/>
        <v>#DIV/0!</v>
      </c>
      <c r="CO224" s="175"/>
      <c r="CP224" s="196">
        <f t="shared" si="186"/>
        <v>0</v>
      </c>
      <c r="CQ224" s="196">
        <f t="shared" si="187"/>
        <v>0</v>
      </c>
      <c r="CR224" s="199" t="e">
        <f t="shared" si="188"/>
        <v>#DIV/0!</v>
      </c>
      <c r="CS224" s="261">
        <f t="shared" si="162"/>
        <v>100</v>
      </c>
      <c r="CT224" s="175"/>
      <c r="CU224" s="196">
        <f t="shared" si="163"/>
        <v>30</v>
      </c>
      <c r="CV224" s="259"/>
      <c r="CW224" s="199">
        <f t="shared" si="164"/>
        <v>0</v>
      </c>
      <c r="CX224" s="196">
        <f t="shared" si="165"/>
        <v>30</v>
      </c>
      <c r="CY224" s="259"/>
      <c r="CZ224" s="199">
        <f t="shared" si="166"/>
        <v>0</v>
      </c>
      <c r="DA224" s="196">
        <f t="shared" si="167"/>
        <v>30</v>
      </c>
      <c r="DB224" s="259"/>
      <c r="DC224" s="199">
        <f t="shared" si="168"/>
        <v>0</v>
      </c>
      <c r="DD224" s="196">
        <f t="shared" si="169"/>
        <v>10</v>
      </c>
      <c r="DE224" s="259"/>
      <c r="DF224" s="199">
        <f t="shared" si="170"/>
        <v>0</v>
      </c>
      <c r="DG224" s="175"/>
      <c r="DH224" s="196">
        <f t="shared" si="171"/>
        <v>100</v>
      </c>
      <c r="DI224" s="196">
        <f t="shared" si="172"/>
        <v>0</v>
      </c>
      <c r="DJ224" s="199">
        <f t="shared" si="173"/>
        <v>0</v>
      </c>
      <c r="DK224" s="265">
        <f t="shared" si="174"/>
        <v>100</v>
      </c>
      <c r="DM224">
        <f t="shared" si="189"/>
        <v>220</v>
      </c>
    </row>
    <row r="225" spans="1:117" x14ac:dyDescent="0.3">
      <c r="A225" s="251">
        <v>221</v>
      </c>
      <c r="B225" s="91" t="s">
        <v>239</v>
      </c>
      <c r="C225" s="91" t="s">
        <v>653</v>
      </c>
      <c r="D225" s="91" t="s">
        <v>119</v>
      </c>
      <c r="E225" s="91" t="s">
        <v>654</v>
      </c>
      <c r="F225" s="91" t="s">
        <v>655</v>
      </c>
      <c r="G225" s="87" t="s">
        <v>599</v>
      </c>
      <c r="H225" s="87" t="s">
        <v>656</v>
      </c>
      <c r="I225" s="87" t="s">
        <v>324</v>
      </c>
      <c r="J225" s="87" t="s">
        <v>677</v>
      </c>
      <c r="K225" s="85" t="s">
        <v>104</v>
      </c>
      <c r="L225" s="85" t="s">
        <v>105</v>
      </c>
      <c r="M225" s="87" t="s">
        <v>106</v>
      </c>
      <c r="N225" s="87" t="s">
        <v>678</v>
      </c>
      <c r="O225" s="87" t="s">
        <v>665</v>
      </c>
      <c r="P225" s="87" t="s">
        <v>682</v>
      </c>
      <c r="Q225" s="87" t="s">
        <v>129</v>
      </c>
      <c r="R225" s="130">
        <v>1</v>
      </c>
      <c r="S225" s="88" t="s">
        <v>680</v>
      </c>
      <c r="T225" s="81">
        <v>0</v>
      </c>
      <c r="U225" s="81">
        <v>0</v>
      </c>
      <c r="V225" s="25" t="e">
        <f t="shared" si="150"/>
        <v>#DIV/0!</v>
      </c>
      <c r="W225" s="81">
        <v>0</v>
      </c>
      <c r="X225" s="81">
        <v>0</v>
      </c>
      <c r="Y225" s="25" t="e">
        <f t="shared" si="1"/>
        <v>#DIV/0!</v>
      </c>
      <c r="Z225" s="81">
        <v>1</v>
      </c>
      <c r="AA225" s="81"/>
      <c r="AB225" s="25">
        <f t="shared" si="2"/>
        <v>0</v>
      </c>
      <c r="AC225" s="81"/>
      <c r="AD225" s="81"/>
      <c r="AE225" s="25" t="e">
        <f t="shared" si="3"/>
        <v>#DIV/0!</v>
      </c>
      <c r="AF225" s="137">
        <f t="shared" si="175"/>
        <v>1</v>
      </c>
      <c r="AG225" s="137">
        <f t="shared" si="176"/>
        <v>0</v>
      </c>
      <c r="AH225" s="128" t="e">
        <f t="shared" si="130"/>
        <v>#DIV/0!</v>
      </c>
      <c r="AI225" s="90">
        <v>46113</v>
      </c>
      <c r="AJ225" s="90">
        <v>46477</v>
      </c>
      <c r="AK225" s="91"/>
      <c r="AL225" s="91" t="s">
        <v>113</v>
      </c>
      <c r="AM225" s="92" t="s">
        <v>114</v>
      </c>
      <c r="AN225" s="93">
        <v>30000000</v>
      </c>
      <c r="AO225" s="93">
        <v>30000000</v>
      </c>
      <c r="AP225" s="93">
        <v>30000000</v>
      </c>
      <c r="AQ225" s="94">
        <v>0</v>
      </c>
      <c r="AR225" s="91" t="s">
        <v>683</v>
      </c>
      <c r="AS225" s="91" t="s">
        <v>676</v>
      </c>
      <c r="AT225" s="150" t="s">
        <v>247</v>
      </c>
      <c r="AU225" s="165" t="s">
        <v>2264</v>
      </c>
      <c r="AV225" s="232" t="s">
        <v>2234</v>
      </c>
      <c r="AW225" s="126" t="s">
        <v>2243</v>
      </c>
      <c r="BA225" s="255"/>
      <c r="BB225" s="256"/>
      <c r="BC225" s="223" t="e">
        <f t="shared" si="151"/>
        <v>#DIV/0!</v>
      </c>
      <c r="BD225" s="255"/>
      <c r="BE225" s="256"/>
      <c r="BF225" s="223" t="e">
        <f t="shared" si="152"/>
        <v>#DIV/0!</v>
      </c>
      <c r="BG225" s="255"/>
      <c r="BH225" s="256"/>
      <c r="BI225" s="223" t="e">
        <f t="shared" si="153"/>
        <v>#DIV/0!</v>
      </c>
      <c r="BJ225" s="224">
        <f t="shared" si="154"/>
        <v>0</v>
      </c>
      <c r="BK225" s="225">
        <f t="shared" si="155"/>
        <v>0</v>
      </c>
      <c r="BL225" s="223" t="e">
        <f t="shared" si="156"/>
        <v>#DIV/0!</v>
      </c>
      <c r="BM225" s="255"/>
      <c r="BN225" s="256"/>
      <c r="BO225" s="223" t="e">
        <f t="shared" si="177"/>
        <v>#DIV/0!</v>
      </c>
      <c r="BP225" s="255"/>
      <c r="BQ225" s="256"/>
      <c r="BR225" s="223" t="e">
        <f t="shared" si="178"/>
        <v>#DIV/0!</v>
      </c>
      <c r="BS225" s="255"/>
      <c r="BT225" s="255"/>
      <c r="BU225" s="223" t="e">
        <f t="shared" si="179"/>
        <v>#DIV/0!</v>
      </c>
      <c r="BV225" s="224">
        <f t="shared" si="157"/>
        <v>0</v>
      </c>
      <c r="BW225" s="224">
        <f t="shared" si="158"/>
        <v>0</v>
      </c>
      <c r="BX225" s="223" t="e">
        <f t="shared" si="159"/>
        <v>#DIV/0!</v>
      </c>
      <c r="BY225" s="223">
        <f t="shared" si="160"/>
        <v>0</v>
      </c>
      <c r="BZ225" s="223">
        <f t="shared" si="161"/>
        <v>0</v>
      </c>
      <c r="CA225" s="226"/>
      <c r="CB225" s="175"/>
      <c r="CC225" s="191"/>
      <c r="CD225" s="192"/>
      <c r="CE225" s="193" t="e">
        <f t="shared" si="180"/>
        <v>#DIV/0!</v>
      </c>
      <c r="CF225" s="191"/>
      <c r="CG225" s="192"/>
      <c r="CH225" s="193" t="e">
        <f t="shared" si="181"/>
        <v>#DIV/0!</v>
      </c>
      <c r="CI225" s="197"/>
      <c r="CJ225" s="198"/>
      <c r="CK225" s="193" t="e">
        <f t="shared" si="182"/>
        <v>#DIV/0!</v>
      </c>
      <c r="CL225" s="195">
        <f t="shared" si="183"/>
        <v>0</v>
      </c>
      <c r="CM225" s="194">
        <f t="shared" si="184"/>
        <v>0</v>
      </c>
      <c r="CN225" s="193" t="e">
        <f t="shared" si="185"/>
        <v>#DIV/0!</v>
      </c>
      <c r="CO225" s="175"/>
      <c r="CP225" s="196">
        <f t="shared" si="186"/>
        <v>0</v>
      </c>
      <c r="CQ225" s="196">
        <f t="shared" si="187"/>
        <v>0</v>
      </c>
      <c r="CR225" s="199" t="e">
        <f t="shared" si="188"/>
        <v>#DIV/0!</v>
      </c>
      <c r="CS225" s="261">
        <f t="shared" si="162"/>
        <v>1</v>
      </c>
      <c r="CT225" s="175"/>
      <c r="CU225" s="196">
        <f t="shared" si="163"/>
        <v>0.3</v>
      </c>
      <c r="CV225" s="259"/>
      <c r="CW225" s="199">
        <f t="shared" si="164"/>
        <v>0</v>
      </c>
      <c r="CX225" s="196">
        <f t="shared" si="165"/>
        <v>0.3</v>
      </c>
      <c r="CY225" s="259"/>
      <c r="CZ225" s="199">
        <f t="shared" si="166"/>
        <v>0</v>
      </c>
      <c r="DA225" s="196">
        <f t="shared" si="167"/>
        <v>0.3</v>
      </c>
      <c r="DB225" s="259"/>
      <c r="DC225" s="199">
        <f t="shared" si="168"/>
        <v>0</v>
      </c>
      <c r="DD225" s="196">
        <f t="shared" si="169"/>
        <v>0.1</v>
      </c>
      <c r="DE225" s="259"/>
      <c r="DF225" s="199">
        <f t="shared" si="170"/>
        <v>0</v>
      </c>
      <c r="DG225" s="175"/>
      <c r="DH225" s="196">
        <f t="shared" si="171"/>
        <v>1</v>
      </c>
      <c r="DI225" s="196">
        <f t="shared" si="172"/>
        <v>0</v>
      </c>
      <c r="DJ225" s="199">
        <f t="shared" si="173"/>
        <v>0</v>
      </c>
      <c r="DK225" s="265">
        <f t="shared" si="174"/>
        <v>1</v>
      </c>
      <c r="DM225">
        <f t="shared" si="189"/>
        <v>221</v>
      </c>
    </row>
    <row r="226" spans="1:117" x14ac:dyDescent="0.3">
      <c r="A226" s="251">
        <v>222</v>
      </c>
      <c r="B226" s="91" t="s">
        <v>684</v>
      </c>
      <c r="C226" s="91" t="s">
        <v>685</v>
      </c>
      <c r="D226" s="91" t="s">
        <v>613</v>
      </c>
      <c r="E226" s="91" t="s">
        <v>686</v>
      </c>
      <c r="F226" s="91" t="s">
        <v>687</v>
      </c>
      <c r="G226" s="87" t="s">
        <v>688</v>
      </c>
      <c r="H226" s="87" t="s">
        <v>688</v>
      </c>
      <c r="I226" s="87" t="s">
        <v>689</v>
      </c>
      <c r="J226" s="87" t="s">
        <v>690</v>
      </c>
      <c r="K226" s="85" t="s">
        <v>662</v>
      </c>
      <c r="L226" s="85" t="s">
        <v>105</v>
      </c>
      <c r="M226" s="87" t="s">
        <v>106</v>
      </c>
      <c r="N226" s="87" t="s">
        <v>691</v>
      </c>
      <c r="O226" s="87" t="s">
        <v>662</v>
      </c>
      <c r="P226" s="87" t="s">
        <v>692</v>
      </c>
      <c r="Q226" s="87" t="s">
        <v>129</v>
      </c>
      <c r="R226" s="130">
        <v>29</v>
      </c>
      <c r="S226" s="88" t="s">
        <v>673</v>
      </c>
      <c r="T226" s="81">
        <v>0</v>
      </c>
      <c r="U226" s="81">
        <v>0</v>
      </c>
      <c r="V226" s="25" t="e">
        <f t="shared" si="150"/>
        <v>#DIV/0!</v>
      </c>
      <c r="W226" s="81">
        <v>5</v>
      </c>
      <c r="X226" s="81">
        <v>0</v>
      </c>
      <c r="Y226" s="25">
        <f t="shared" si="1"/>
        <v>0</v>
      </c>
      <c r="Z226" s="81">
        <v>13</v>
      </c>
      <c r="AA226" s="81"/>
      <c r="AB226" s="25">
        <f t="shared" si="2"/>
        <v>0</v>
      </c>
      <c r="AC226" s="81">
        <v>11</v>
      </c>
      <c r="AD226" s="81"/>
      <c r="AE226" s="25">
        <f t="shared" si="3"/>
        <v>0</v>
      </c>
      <c r="AF226" s="137">
        <f t="shared" si="175"/>
        <v>29</v>
      </c>
      <c r="AG226" s="137">
        <f t="shared" si="176"/>
        <v>0</v>
      </c>
      <c r="AH226" s="128">
        <f t="shared" si="130"/>
        <v>0</v>
      </c>
      <c r="AI226" s="90">
        <v>46113</v>
      </c>
      <c r="AJ226" s="90">
        <v>46477</v>
      </c>
      <c r="AK226" s="91"/>
      <c r="AL226" s="91" t="s">
        <v>113</v>
      </c>
      <c r="AM226" s="92" t="s">
        <v>114</v>
      </c>
      <c r="AN226" s="93"/>
      <c r="AO226" s="93"/>
      <c r="AP226" s="93"/>
      <c r="AQ226" s="94"/>
      <c r="AR226" s="91" t="s">
        <v>683</v>
      </c>
      <c r="AS226" s="91" t="s">
        <v>676</v>
      </c>
      <c r="AT226" s="150" t="s">
        <v>674</v>
      </c>
      <c r="AU226" s="165" t="s">
        <v>2264</v>
      </c>
      <c r="AV226" s="232" t="s">
        <v>2234</v>
      </c>
      <c r="AW226" s="126" t="s">
        <v>2248</v>
      </c>
      <c r="BA226" s="255"/>
      <c r="BB226" s="256"/>
      <c r="BC226" s="223" t="e">
        <f t="shared" si="151"/>
        <v>#DIV/0!</v>
      </c>
      <c r="BD226" s="255"/>
      <c r="BE226" s="256"/>
      <c r="BF226" s="223" t="e">
        <f t="shared" si="152"/>
        <v>#DIV/0!</v>
      </c>
      <c r="BG226" s="255"/>
      <c r="BH226" s="256"/>
      <c r="BI226" s="223" t="e">
        <f t="shared" si="153"/>
        <v>#DIV/0!</v>
      </c>
      <c r="BJ226" s="224">
        <f t="shared" si="154"/>
        <v>0</v>
      </c>
      <c r="BK226" s="225">
        <f t="shared" si="155"/>
        <v>0</v>
      </c>
      <c r="BL226" s="223" t="e">
        <f t="shared" si="156"/>
        <v>#DIV/0!</v>
      </c>
      <c r="BM226" s="255"/>
      <c r="BN226" s="256"/>
      <c r="BO226" s="223" t="e">
        <f t="shared" si="177"/>
        <v>#DIV/0!</v>
      </c>
      <c r="BP226" s="255"/>
      <c r="BQ226" s="256"/>
      <c r="BR226" s="223" t="e">
        <f t="shared" si="178"/>
        <v>#DIV/0!</v>
      </c>
      <c r="BS226" s="255"/>
      <c r="BT226" s="255"/>
      <c r="BU226" s="223" t="e">
        <f t="shared" si="179"/>
        <v>#DIV/0!</v>
      </c>
      <c r="BV226" s="224">
        <f t="shared" si="157"/>
        <v>0</v>
      </c>
      <c r="BW226" s="224">
        <f t="shared" si="158"/>
        <v>0</v>
      </c>
      <c r="BX226" s="223" t="e">
        <f t="shared" si="159"/>
        <v>#DIV/0!</v>
      </c>
      <c r="BY226" s="223">
        <f t="shared" si="160"/>
        <v>0</v>
      </c>
      <c r="BZ226" s="223">
        <f t="shared" si="161"/>
        <v>0</v>
      </c>
      <c r="CA226" s="226"/>
      <c r="CB226" s="175"/>
      <c r="CC226" s="191"/>
      <c r="CD226" s="192"/>
      <c r="CE226" s="193" t="e">
        <f t="shared" si="180"/>
        <v>#DIV/0!</v>
      </c>
      <c r="CF226" s="191"/>
      <c r="CG226" s="192"/>
      <c r="CH226" s="193" t="e">
        <f t="shared" si="181"/>
        <v>#DIV/0!</v>
      </c>
      <c r="CI226" s="197"/>
      <c r="CJ226" s="198"/>
      <c r="CK226" s="193" t="e">
        <f t="shared" si="182"/>
        <v>#DIV/0!</v>
      </c>
      <c r="CL226" s="195">
        <f t="shared" si="183"/>
        <v>0</v>
      </c>
      <c r="CM226" s="194">
        <f t="shared" si="184"/>
        <v>0</v>
      </c>
      <c r="CN226" s="193" t="e">
        <f t="shared" si="185"/>
        <v>#DIV/0!</v>
      </c>
      <c r="CO226" s="175"/>
      <c r="CP226" s="196">
        <f t="shared" si="186"/>
        <v>0</v>
      </c>
      <c r="CQ226" s="196">
        <f t="shared" si="187"/>
        <v>0</v>
      </c>
      <c r="CR226" s="199" t="e">
        <f t="shared" si="188"/>
        <v>#DIV/0!</v>
      </c>
      <c r="CS226" s="261">
        <f t="shared" si="162"/>
        <v>29</v>
      </c>
      <c r="CT226" s="175"/>
      <c r="CU226" s="196">
        <f t="shared" si="163"/>
        <v>8.6999999999999993</v>
      </c>
      <c r="CV226" s="259"/>
      <c r="CW226" s="199">
        <f t="shared" si="164"/>
        <v>0</v>
      </c>
      <c r="CX226" s="196">
        <f t="shared" si="165"/>
        <v>8.6999999999999993</v>
      </c>
      <c r="CY226" s="259"/>
      <c r="CZ226" s="199">
        <f t="shared" si="166"/>
        <v>0</v>
      </c>
      <c r="DA226" s="196">
        <f t="shared" si="167"/>
        <v>8.6999999999999993</v>
      </c>
      <c r="DB226" s="259"/>
      <c r="DC226" s="199">
        <f t="shared" si="168"/>
        <v>0</v>
      </c>
      <c r="DD226" s="196">
        <f t="shared" si="169"/>
        <v>2.9000000000000004</v>
      </c>
      <c r="DE226" s="259"/>
      <c r="DF226" s="199">
        <f t="shared" si="170"/>
        <v>0</v>
      </c>
      <c r="DG226" s="175"/>
      <c r="DH226" s="196">
        <f t="shared" si="171"/>
        <v>29</v>
      </c>
      <c r="DI226" s="196">
        <f t="shared" si="172"/>
        <v>0</v>
      </c>
      <c r="DJ226" s="199">
        <f t="shared" si="173"/>
        <v>0</v>
      </c>
      <c r="DK226" s="265">
        <f t="shared" si="174"/>
        <v>29</v>
      </c>
      <c r="DM226">
        <f t="shared" si="189"/>
        <v>222</v>
      </c>
    </row>
    <row r="227" spans="1:117" x14ac:dyDescent="0.3">
      <c r="A227" s="81">
        <v>223</v>
      </c>
      <c r="B227" s="91" t="s">
        <v>693</v>
      </c>
      <c r="C227" s="91" t="s">
        <v>685</v>
      </c>
      <c r="D227" s="91" t="s">
        <v>613</v>
      </c>
      <c r="E227" s="91" t="s">
        <v>694</v>
      </c>
      <c r="F227" s="91" t="s">
        <v>695</v>
      </c>
      <c r="G227" s="87" t="s">
        <v>688</v>
      </c>
      <c r="H227" s="87" t="s">
        <v>688</v>
      </c>
      <c r="I227" s="87" t="s">
        <v>689</v>
      </c>
      <c r="J227" s="87" t="s">
        <v>696</v>
      </c>
      <c r="K227" s="85" t="s">
        <v>665</v>
      </c>
      <c r="L227" s="85" t="s">
        <v>105</v>
      </c>
      <c r="M227" s="87" t="s">
        <v>106</v>
      </c>
      <c r="N227" s="87" t="s">
        <v>697</v>
      </c>
      <c r="O227" s="87" t="s">
        <v>665</v>
      </c>
      <c r="P227" s="87" t="s">
        <v>698</v>
      </c>
      <c r="Q227" s="87" t="s">
        <v>129</v>
      </c>
      <c r="R227" s="130">
        <v>29</v>
      </c>
      <c r="S227" s="88" t="s">
        <v>673</v>
      </c>
      <c r="T227" s="81">
        <v>0</v>
      </c>
      <c r="U227" s="81">
        <v>0</v>
      </c>
      <c r="V227" s="25" t="e">
        <f t="shared" si="150"/>
        <v>#DIV/0!</v>
      </c>
      <c r="W227" s="81">
        <v>5</v>
      </c>
      <c r="X227" s="81">
        <v>0</v>
      </c>
      <c r="Y227" s="25">
        <f t="shared" si="1"/>
        <v>0</v>
      </c>
      <c r="Z227" s="81">
        <v>13</v>
      </c>
      <c r="AA227" s="81"/>
      <c r="AB227" s="25">
        <f t="shared" si="2"/>
        <v>0</v>
      </c>
      <c r="AC227" s="81">
        <v>11</v>
      </c>
      <c r="AD227" s="81"/>
      <c r="AE227" s="25">
        <f t="shared" si="3"/>
        <v>0</v>
      </c>
      <c r="AF227" s="137">
        <f t="shared" si="175"/>
        <v>29</v>
      </c>
      <c r="AG227" s="137">
        <f t="shared" si="176"/>
        <v>0</v>
      </c>
      <c r="AH227" s="128">
        <f t="shared" si="130"/>
        <v>0</v>
      </c>
      <c r="AI227" s="90">
        <v>46113</v>
      </c>
      <c r="AJ227" s="90">
        <v>46477</v>
      </c>
      <c r="AK227" s="91"/>
      <c r="AL227" s="91"/>
      <c r="AM227" s="92"/>
      <c r="AN227" s="93"/>
      <c r="AO227" s="93"/>
      <c r="AP227" s="93"/>
      <c r="AQ227" s="94"/>
      <c r="AR227" s="91" t="s">
        <v>699</v>
      </c>
      <c r="AS227" s="91" t="s">
        <v>676</v>
      </c>
      <c r="AT227" s="150" t="s">
        <v>674</v>
      </c>
      <c r="AU227" s="165" t="s">
        <v>2264</v>
      </c>
      <c r="AV227" s="232" t="s">
        <v>2262</v>
      </c>
      <c r="BA227" s="191">
        <v>0</v>
      </c>
      <c r="BB227" s="192">
        <v>0</v>
      </c>
      <c r="BC227" s="223" t="e">
        <f t="shared" si="151"/>
        <v>#DIV/0!</v>
      </c>
      <c r="BD227" s="191">
        <v>0</v>
      </c>
      <c r="BE227" s="192">
        <v>0</v>
      </c>
      <c r="BF227" s="223" t="e">
        <f t="shared" si="152"/>
        <v>#DIV/0!</v>
      </c>
      <c r="BG227" s="191">
        <v>0</v>
      </c>
      <c r="BH227" s="192">
        <v>0</v>
      </c>
      <c r="BI227" s="223" t="e">
        <f t="shared" si="153"/>
        <v>#DIV/0!</v>
      </c>
      <c r="BJ227" s="224">
        <f t="shared" si="154"/>
        <v>0</v>
      </c>
      <c r="BK227" s="225">
        <f t="shared" si="155"/>
        <v>0</v>
      </c>
      <c r="BL227" s="223" t="e">
        <f t="shared" si="156"/>
        <v>#DIV/0!</v>
      </c>
      <c r="BM227" s="191">
        <v>0</v>
      </c>
      <c r="BN227" s="192">
        <v>0</v>
      </c>
      <c r="BO227" s="193" t="e">
        <f t="shared" si="177"/>
        <v>#DIV/0!</v>
      </c>
      <c r="BP227" s="191">
        <v>0</v>
      </c>
      <c r="BQ227" s="192">
        <v>0</v>
      </c>
      <c r="BR227" s="193" t="e">
        <f t="shared" si="178"/>
        <v>#DIV/0!</v>
      </c>
      <c r="BS227" s="191">
        <v>0</v>
      </c>
      <c r="BT227" s="192">
        <v>0</v>
      </c>
      <c r="BU227" s="193" t="e">
        <f t="shared" si="179"/>
        <v>#DIV/0!</v>
      </c>
      <c r="BV227" s="224">
        <f t="shared" si="157"/>
        <v>0</v>
      </c>
      <c r="BW227" s="224">
        <f t="shared" si="158"/>
        <v>0</v>
      </c>
      <c r="BX227" s="223" t="e">
        <f t="shared" si="159"/>
        <v>#DIV/0!</v>
      </c>
      <c r="BY227" s="223">
        <f t="shared" si="160"/>
        <v>0</v>
      </c>
      <c r="BZ227" s="223">
        <f t="shared" si="161"/>
        <v>0</v>
      </c>
      <c r="CA227" s="196"/>
      <c r="CB227" s="175"/>
      <c r="CC227" s="191">
        <v>0</v>
      </c>
      <c r="CD227" s="192">
        <v>0</v>
      </c>
      <c r="CE227" s="193" t="e">
        <f t="shared" si="180"/>
        <v>#DIV/0!</v>
      </c>
      <c r="CF227" s="191">
        <v>0</v>
      </c>
      <c r="CG227" s="192">
        <v>0</v>
      </c>
      <c r="CH227" s="193" t="e">
        <f t="shared" si="181"/>
        <v>#DIV/0!</v>
      </c>
      <c r="CI227" s="197"/>
      <c r="CJ227" s="198"/>
      <c r="CK227" s="193" t="e">
        <f t="shared" si="182"/>
        <v>#DIV/0!</v>
      </c>
      <c r="CL227" s="195">
        <f t="shared" si="183"/>
        <v>0</v>
      </c>
      <c r="CM227" s="194">
        <f t="shared" si="184"/>
        <v>0</v>
      </c>
      <c r="CN227" s="193" t="e">
        <f t="shared" si="185"/>
        <v>#DIV/0!</v>
      </c>
      <c r="CO227" s="175"/>
      <c r="CP227" s="196">
        <f t="shared" si="186"/>
        <v>0</v>
      </c>
      <c r="CQ227" s="196">
        <f t="shared" si="187"/>
        <v>0</v>
      </c>
      <c r="CR227" s="199" t="e">
        <f t="shared" si="188"/>
        <v>#DIV/0!</v>
      </c>
      <c r="CS227" s="261">
        <f t="shared" si="162"/>
        <v>29</v>
      </c>
      <c r="CT227" s="175"/>
      <c r="CU227" s="196">
        <f t="shared" si="163"/>
        <v>8.6999999999999993</v>
      </c>
      <c r="CV227" s="259"/>
      <c r="CW227" s="199">
        <f t="shared" si="164"/>
        <v>0</v>
      </c>
      <c r="CX227" s="196">
        <f t="shared" si="165"/>
        <v>8.6999999999999993</v>
      </c>
      <c r="CY227" s="259"/>
      <c r="CZ227" s="199">
        <f t="shared" si="166"/>
        <v>0</v>
      </c>
      <c r="DA227" s="196">
        <f t="shared" si="167"/>
        <v>8.6999999999999993</v>
      </c>
      <c r="DB227" s="259"/>
      <c r="DC227" s="199">
        <f t="shared" si="168"/>
        <v>0</v>
      </c>
      <c r="DD227" s="196">
        <f t="shared" si="169"/>
        <v>2.9000000000000004</v>
      </c>
      <c r="DE227" s="259"/>
      <c r="DF227" s="199">
        <f t="shared" si="170"/>
        <v>0</v>
      </c>
      <c r="DG227" s="175"/>
      <c r="DH227" s="196">
        <f t="shared" si="171"/>
        <v>29</v>
      </c>
      <c r="DI227" s="196">
        <f t="shared" si="172"/>
        <v>0</v>
      </c>
      <c r="DJ227" s="199">
        <f t="shared" si="173"/>
        <v>0</v>
      </c>
      <c r="DK227" s="265">
        <f t="shared" si="174"/>
        <v>29</v>
      </c>
    </row>
    <row r="228" spans="1:117" x14ac:dyDescent="0.3">
      <c r="A228" s="81">
        <v>224</v>
      </c>
      <c r="B228" s="91" t="s">
        <v>270</v>
      </c>
      <c r="C228" s="91" t="s">
        <v>685</v>
      </c>
      <c r="D228" s="91" t="s">
        <v>613</v>
      </c>
      <c r="E228" s="91" t="s">
        <v>694</v>
      </c>
      <c r="F228" s="91" t="s">
        <v>695</v>
      </c>
      <c r="G228" s="87" t="s">
        <v>688</v>
      </c>
      <c r="H228" s="87" t="s">
        <v>700</v>
      </c>
      <c r="I228" s="87" t="s">
        <v>701</v>
      </c>
      <c r="J228" s="87" t="s">
        <v>702</v>
      </c>
      <c r="K228" s="85" t="s">
        <v>665</v>
      </c>
      <c r="L228" s="85" t="s">
        <v>105</v>
      </c>
      <c r="M228" s="87" t="s">
        <v>106</v>
      </c>
      <c r="N228" s="87" t="s">
        <v>702</v>
      </c>
      <c r="O228" s="87" t="s">
        <v>665</v>
      </c>
      <c r="P228" s="87" t="s">
        <v>703</v>
      </c>
      <c r="Q228" s="87" t="s">
        <v>129</v>
      </c>
      <c r="R228" s="130">
        <v>29</v>
      </c>
      <c r="S228" s="88" t="s">
        <v>673</v>
      </c>
      <c r="T228" s="81">
        <v>0</v>
      </c>
      <c r="U228" s="81">
        <v>0</v>
      </c>
      <c r="V228" s="25" t="e">
        <f t="shared" si="150"/>
        <v>#DIV/0!</v>
      </c>
      <c r="W228" s="81">
        <v>5</v>
      </c>
      <c r="X228" s="81">
        <v>0</v>
      </c>
      <c r="Y228" s="25">
        <f t="shared" si="1"/>
        <v>0</v>
      </c>
      <c r="Z228" s="81">
        <v>13</v>
      </c>
      <c r="AA228" s="81"/>
      <c r="AB228" s="25">
        <f t="shared" si="2"/>
        <v>0</v>
      </c>
      <c r="AC228" s="81">
        <v>11</v>
      </c>
      <c r="AD228" s="81"/>
      <c r="AE228" s="25">
        <f t="shared" si="3"/>
        <v>0</v>
      </c>
      <c r="AF228" s="137">
        <f t="shared" si="175"/>
        <v>29</v>
      </c>
      <c r="AG228" s="137">
        <f t="shared" si="176"/>
        <v>0</v>
      </c>
      <c r="AH228" s="128">
        <f t="shared" si="130"/>
        <v>0</v>
      </c>
      <c r="AI228" s="90">
        <v>46113</v>
      </c>
      <c r="AJ228" s="90">
        <v>46477</v>
      </c>
      <c r="AK228" s="91"/>
      <c r="AL228" s="91"/>
      <c r="AM228" s="92"/>
      <c r="AN228" s="93"/>
      <c r="AO228" s="93"/>
      <c r="AP228" s="93"/>
      <c r="AQ228" s="94"/>
      <c r="AR228" s="91" t="s">
        <v>115</v>
      </c>
      <c r="AS228" s="91"/>
      <c r="AT228" s="150" t="s">
        <v>674</v>
      </c>
      <c r="AU228" s="165" t="s">
        <v>2264</v>
      </c>
      <c r="AV228" s="232" t="s">
        <v>2262</v>
      </c>
      <c r="BA228" s="191">
        <v>0</v>
      </c>
      <c r="BB228" s="192">
        <v>0</v>
      </c>
      <c r="BC228" s="223" t="e">
        <f t="shared" si="151"/>
        <v>#DIV/0!</v>
      </c>
      <c r="BD228" s="191">
        <v>0</v>
      </c>
      <c r="BE228" s="192">
        <v>0</v>
      </c>
      <c r="BF228" s="223" t="e">
        <f t="shared" si="152"/>
        <v>#DIV/0!</v>
      </c>
      <c r="BG228" s="191">
        <v>0</v>
      </c>
      <c r="BH228" s="192">
        <v>0</v>
      </c>
      <c r="BI228" s="223" t="e">
        <f t="shared" si="153"/>
        <v>#DIV/0!</v>
      </c>
      <c r="BJ228" s="224">
        <f t="shared" si="154"/>
        <v>0</v>
      </c>
      <c r="BK228" s="225">
        <f t="shared" si="155"/>
        <v>0</v>
      </c>
      <c r="BL228" s="223" t="e">
        <f t="shared" si="156"/>
        <v>#DIV/0!</v>
      </c>
      <c r="BM228" s="191">
        <v>0</v>
      </c>
      <c r="BN228" s="192">
        <v>0</v>
      </c>
      <c r="BO228" s="193" t="e">
        <f t="shared" si="177"/>
        <v>#DIV/0!</v>
      </c>
      <c r="BP228" s="191">
        <v>0</v>
      </c>
      <c r="BQ228" s="192">
        <v>0</v>
      </c>
      <c r="BR228" s="193" t="e">
        <f t="shared" si="178"/>
        <v>#DIV/0!</v>
      </c>
      <c r="BS228" s="191">
        <v>0</v>
      </c>
      <c r="BT228" s="192">
        <v>0</v>
      </c>
      <c r="BU228" s="193" t="e">
        <f t="shared" si="179"/>
        <v>#DIV/0!</v>
      </c>
      <c r="BV228" s="224">
        <f t="shared" si="157"/>
        <v>0</v>
      </c>
      <c r="BW228" s="224">
        <f t="shared" si="158"/>
        <v>0</v>
      </c>
      <c r="BX228" s="223" t="e">
        <f t="shared" si="159"/>
        <v>#DIV/0!</v>
      </c>
      <c r="BY228" s="223">
        <f t="shared" si="160"/>
        <v>0</v>
      </c>
      <c r="BZ228" s="223">
        <f t="shared" si="161"/>
        <v>0</v>
      </c>
      <c r="CA228" s="196"/>
      <c r="CB228" s="175"/>
      <c r="CC228" s="191">
        <v>0</v>
      </c>
      <c r="CD228" s="192">
        <v>0</v>
      </c>
      <c r="CE228" s="193" t="e">
        <f t="shared" si="180"/>
        <v>#DIV/0!</v>
      </c>
      <c r="CF228" s="191">
        <v>0</v>
      </c>
      <c r="CG228" s="192">
        <v>0</v>
      </c>
      <c r="CH228" s="193" t="e">
        <f t="shared" si="181"/>
        <v>#DIV/0!</v>
      </c>
      <c r="CI228" s="197"/>
      <c r="CJ228" s="198"/>
      <c r="CK228" s="193" t="e">
        <f t="shared" si="182"/>
        <v>#DIV/0!</v>
      </c>
      <c r="CL228" s="195">
        <f t="shared" si="183"/>
        <v>0</v>
      </c>
      <c r="CM228" s="194">
        <f t="shared" si="184"/>
        <v>0</v>
      </c>
      <c r="CN228" s="193" t="e">
        <f t="shared" si="185"/>
        <v>#DIV/0!</v>
      </c>
      <c r="CO228" s="175"/>
      <c r="CP228" s="196">
        <f t="shared" si="186"/>
        <v>0</v>
      </c>
      <c r="CQ228" s="196">
        <f t="shared" si="187"/>
        <v>0</v>
      </c>
      <c r="CR228" s="199" t="e">
        <f t="shared" si="188"/>
        <v>#DIV/0!</v>
      </c>
      <c r="CS228" s="261">
        <f t="shared" si="162"/>
        <v>29</v>
      </c>
      <c r="CT228" s="175"/>
      <c r="CU228" s="196">
        <f t="shared" si="163"/>
        <v>8.6999999999999993</v>
      </c>
      <c r="CV228" s="259"/>
      <c r="CW228" s="199">
        <f t="shared" si="164"/>
        <v>0</v>
      </c>
      <c r="CX228" s="196">
        <f t="shared" si="165"/>
        <v>8.6999999999999993</v>
      </c>
      <c r="CY228" s="259"/>
      <c r="CZ228" s="199">
        <f t="shared" si="166"/>
        <v>0</v>
      </c>
      <c r="DA228" s="196">
        <f t="shared" si="167"/>
        <v>8.6999999999999993</v>
      </c>
      <c r="DB228" s="259"/>
      <c r="DC228" s="199">
        <f t="shared" si="168"/>
        <v>0</v>
      </c>
      <c r="DD228" s="196">
        <f t="shared" si="169"/>
        <v>2.9000000000000004</v>
      </c>
      <c r="DE228" s="259"/>
      <c r="DF228" s="199">
        <f t="shared" si="170"/>
        <v>0</v>
      </c>
      <c r="DG228" s="175"/>
      <c r="DH228" s="196">
        <f t="shared" si="171"/>
        <v>29</v>
      </c>
      <c r="DI228" s="196">
        <f t="shared" si="172"/>
        <v>0</v>
      </c>
      <c r="DJ228" s="199">
        <f t="shared" si="173"/>
        <v>0</v>
      </c>
      <c r="DK228" s="265">
        <f t="shared" si="174"/>
        <v>29</v>
      </c>
    </row>
    <row r="229" spans="1:117" x14ac:dyDescent="0.3">
      <c r="A229" s="81">
        <v>225</v>
      </c>
      <c r="B229" s="91" t="s">
        <v>684</v>
      </c>
      <c r="C229" s="91" t="s">
        <v>685</v>
      </c>
      <c r="D229" s="91" t="s">
        <v>613</v>
      </c>
      <c r="E229" s="91" t="s">
        <v>694</v>
      </c>
      <c r="F229" s="91" t="s">
        <v>695</v>
      </c>
      <c r="G229" s="87" t="s">
        <v>688</v>
      </c>
      <c r="H229" s="87" t="s">
        <v>700</v>
      </c>
      <c r="I229" s="87" t="s">
        <v>704</v>
      </c>
      <c r="J229" s="87" t="s">
        <v>705</v>
      </c>
      <c r="K229" s="85" t="s">
        <v>665</v>
      </c>
      <c r="L229" s="85" t="s">
        <v>105</v>
      </c>
      <c r="M229" s="87" t="s">
        <v>106</v>
      </c>
      <c r="N229" s="87" t="s">
        <v>706</v>
      </c>
      <c r="O229" s="87" t="s">
        <v>665</v>
      </c>
      <c r="P229" s="87" t="s">
        <v>707</v>
      </c>
      <c r="Q229" s="87" t="s">
        <v>129</v>
      </c>
      <c r="R229" s="130">
        <v>29</v>
      </c>
      <c r="S229" s="88" t="s">
        <v>673</v>
      </c>
      <c r="T229" s="81">
        <v>0</v>
      </c>
      <c r="U229" s="81">
        <v>0</v>
      </c>
      <c r="V229" s="25" t="e">
        <f t="shared" si="150"/>
        <v>#DIV/0!</v>
      </c>
      <c r="W229" s="81">
        <v>5</v>
      </c>
      <c r="X229" s="81">
        <v>0</v>
      </c>
      <c r="Y229" s="25">
        <f t="shared" si="1"/>
        <v>0</v>
      </c>
      <c r="Z229" s="81">
        <v>13</v>
      </c>
      <c r="AA229" s="81"/>
      <c r="AB229" s="25">
        <f t="shared" si="2"/>
        <v>0</v>
      </c>
      <c r="AC229" s="81">
        <v>11</v>
      </c>
      <c r="AD229" s="81"/>
      <c r="AE229" s="25">
        <f t="shared" si="3"/>
        <v>0</v>
      </c>
      <c r="AF229" s="137">
        <f t="shared" si="175"/>
        <v>29</v>
      </c>
      <c r="AG229" s="137">
        <f t="shared" si="176"/>
        <v>0</v>
      </c>
      <c r="AH229" s="128">
        <f t="shared" si="130"/>
        <v>0</v>
      </c>
      <c r="AI229" s="90">
        <v>46113</v>
      </c>
      <c r="AJ229" s="90">
        <v>46477</v>
      </c>
      <c r="AK229" s="91"/>
      <c r="AL229" s="91" t="s">
        <v>113</v>
      </c>
      <c r="AM229" s="92" t="s">
        <v>114</v>
      </c>
      <c r="AN229" s="93"/>
      <c r="AO229" s="93"/>
      <c r="AP229" s="93"/>
      <c r="AQ229" s="94"/>
      <c r="AR229" s="91" t="s">
        <v>699</v>
      </c>
      <c r="AS229" s="91"/>
      <c r="AT229" s="150" t="s">
        <v>674</v>
      </c>
      <c r="AU229" s="165" t="s">
        <v>2264</v>
      </c>
      <c r="AV229" s="232" t="s">
        <v>2262</v>
      </c>
      <c r="BA229" s="191">
        <v>0</v>
      </c>
      <c r="BB229" s="192">
        <v>0</v>
      </c>
      <c r="BC229" s="223" t="e">
        <f t="shared" si="151"/>
        <v>#DIV/0!</v>
      </c>
      <c r="BD229" s="191">
        <v>0</v>
      </c>
      <c r="BE229" s="192">
        <v>0</v>
      </c>
      <c r="BF229" s="223" t="e">
        <f t="shared" si="152"/>
        <v>#DIV/0!</v>
      </c>
      <c r="BG229" s="191">
        <v>0</v>
      </c>
      <c r="BH229" s="192">
        <v>0</v>
      </c>
      <c r="BI229" s="223" t="e">
        <f t="shared" si="153"/>
        <v>#DIV/0!</v>
      </c>
      <c r="BJ229" s="224">
        <f t="shared" si="154"/>
        <v>0</v>
      </c>
      <c r="BK229" s="225">
        <f t="shared" si="155"/>
        <v>0</v>
      </c>
      <c r="BL229" s="223" t="e">
        <f t="shared" si="156"/>
        <v>#DIV/0!</v>
      </c>
      <c r="BM229" s="191">
        <v>0</v>
      </c>
      <c r="BN229" s="192">
        <v>0</v>
      </c>
      <c r="BO229" s="193" t="e">
        <f t="shared" si="177"/>
        <v>#DIV/0!</v>
      </c>
      <c r="BP229" s="191">
        <v>0</v>
      </c>
      <c r="BQ229" s="192">
        <v>0</v>
      </c>
      <c r="BR229" s="193" t="e">
        <f t="shared" si="178"/>
        <v>#DIV/0!</v>
      </c>
      <c r="BS229" s="191">
        <v>0</v>
      </c>
      <c r="BT229" s="192">
        <v>0</v>
      </c>
      <c r="BU229" s="193" t="e">
        <f t="shared" si="179"/>
        <v>#DIV/0!</v>
      </c>
      <c r="BV229" s="224">
        <f t="shared" si="157"/>
        <v>0</v>
      </c>
      <c r="BW229" s="224">
        <f t="shared" si="158"/>
        <v>0</v>
      </c>
      <c r="BX229" s="223" t="e">
        <f t="shared" si="159"/>
        <v>#DIV/0!</v>
      </c>
      <c r="BY229" s="223">
        <f t="shared" si="160"/>
        <v>0</v>
      </c>
      <c r="BZ229" s="223">
        <f t="shared" si="161"/>
        <v>0</v>
      </c>
      <c r="CA229" s="196"/>
      <c r="CB229" s="175"/>
      <c r="CC229" s="191">
        <v>0</v>
      </c>
      <c r="CD229" s="192">
        <v>0</v>
      </c>
      <c r="CE229" s="193" t="e">
        <f t="shared" si="180"/>
        <v>#DIV/0!</v>
      </c>
      <c r="CF229" s="191">
        <v>0</v>
      </c>
      <c r="CG229" s="192">
        <v>0</v>
      </c>
      <c r="CH229" s="193" t="e">
        <f t="shared" si="181"/>
        <v>#DIV/0!</v>
      </c>
      <c r="CI229" s="197"/>
      <c r="CJ229" s="198"/>
      <c r="CK229" s="193" t="e">
        <f t="shared" si="182"/>
        <v>#DIV/0!</v>
      </c>
      <c r="CL229" s="195">
        <f t="shared" si="183"/>
        <v>0</v>
      </c>
      <c r="CM229" s="194">
        <f t="shared" si="184"/>
        <v>0</v>
      </c>
      <c r="CN229" s="193" t="e">
        <f t="shared" si="185"/>
        <v>#DIV/0!</v>
      </c>
      <c r="CO229" s="175"/>
      <c r="CP229" s="196">
        <f t="shared" si="186"/>
        <v>0</v>
      </c>
      <c r="CQ229" s="196">
        <f t="shared" si="187"/>
        <v>0</v>
      </c>
      <c r="CR229" s="199" t="e">
        <f t="shared" si="188"/>
        <v>#DIV/0!</v>
      </c>
      <c r="CS229" s="261">
        <f t="shared" si="162"/>
        <v>29</v>
      </c>
      <c r="CT229" s="175"/>
      <c r="CU229" s="196">
        <f t="shared" si="163"/>
        <v>8.6999999999999993</v>
      </c>
      <c r="CV229" s="259"/>
      <c r="CW229" s="199">
        <f t="shared" si="164"/>
        <v>0</v>
      </c>
      <c r="CX229" s="196">
        <f t="shared" si="165"/>
        <v>8.6999999999999993</v>
      </c>
      <c r="CY229" s="259"/>
      <c r="CZ229" s="199">
        <f t="shared" si="166"/>
        <v>0</v>
      </c>
      <c r="DA229" s="196">
        <f t="shared" si="167"/>
        <v>8.6999999999999993</v>
      </c>
      <c r="DB229" s="259"/>
      <c r="DC229" s="199">
        <f t="shared" si="168"/>
        <v>0</v>
      </c>
      <c r="DD229" s="196">
        <f t="shared" si="169"/>
        <v>2.9000000000000004</v>
      </c>
      <c r="DE229" s="259"/>
      <c r="DF229" s="199">
        <f t="shared" si="170"/>
        <v>0</v>
      </c>
      <c r="DG229" s="175"/>
      <c r="DH229" s="196">
        <f t="shared" si="171"/>
        <v>29</v>
      </c>
      <c r="DI229" s="196">
        <f t="shared" si="172"/>
        <v>0</v>
      </c>
      <c r="DJ229" s="199">
        <f t="shared" si="173"/>
        <v>0</v>
      </c>
      <c r="DK229" s="265">
        <f t="shared" si="174"/>
        <v>29</v>
      </c>
    </row>
    <row r="230" spans="1:117" x14ac:dyDescent="0.3">
      <c r="A230" s="81">
        <v>226</v>
      </c>
      <c r="B230" s="91" t="s">
        <v>708</v>
      </c>
      <c r="C230" s="91" t="s">
        <v>118</v>
      </c>
      <c r="D230" s="91" t="s">
        <v>119</v>
      </c>
      <c r="E230" s="91" t="s">
        <v>709</v>
      </c>
      <c r="F230" s="91" t="s">
        <v>710</v>
      </c>
      <c r="G230" s="87" t="s">
        <v>711</v>
      </c>
      <c r="H230" s="87" t="s">
        <v>712</v>
      </c>
      <c r="I230" s="87" t="s">
        <v>103</v>
      </c>
      <c r="J230" s="87" t="s">
        <v>713</v>
      </c>
      <c r="K230" s="85" t="s">
        <v>714</v>
      </c>
      <c r="L230" s="85" t="s">
        <v>715</v>
      </c>
      <c r="M230" s="102">
        <v>2020002470037</v>
      </c>
      <c r="N230" s="87" t="s">
        <v>716</v>
      </c>
      <c r="O230" s="87" t="s">
        <v>659</v>
      </c>
      <c r="P230" s="87" t="s">
        <v>717</v>
      </c>
      <c r="Q230" s="87" t="s">
        <v>129</v>
      </c>
      <c r="R230" s="130">
        <v>4</v>
      </c>
      <c r="S230" s="88" t="s">
        <v>111</v>
      </c>
      <c r="T230" s="81"/>
      <c r="U230" s="81"/>
      <c r="V230" s="25" t="e">
        <f t="shared" si="150"/>
        <v>#DIV/0!</v>
      </c>
      <c r="W230" s="81">
        <v>5</v>
      </c>
      <c r="X230" s="81"/>
      <c r="Y230" s="25">
        <f t="shared" si="1"/>
        <v>0</v>
      </c>
      <c r="Z230" s="81">
        <v>13</v>
      </c>
      <c r="AA230" s="81"/>
      <c r="AB230" s="25">
        <f t="shared" si="2"/>
        <v>0</v>
      </c>
      <c r="AC230" s="81">
        <v>11</v>
      </c>
      <c r="AD230" s="81"/>
      <c r="AE230" s="25">
        <f t="shared" si="3"/>
        <v>0</v>
      </c>
      <c r="AF230" s="137">
        <f t="shared" si="175"/>
        <v>4</v>
      </c>
      <c r="AG230" s="137">
        <f t="shared" si="176"/>
        <v>0</v>
      </c>
      <c r="AH230" s="128">
        <f t="shared" si="130"/>
        <v>0</v>
      </c>
      <c r="AI230" s="90">
        <v>46113</v>
      </c>
      <c r="AJ230" s="90">
        <v>46477</v>
      </c>
      <c r="AK230" s="91"/>
      <c r="AL230" s="91"/>
      <c r="AM230" s="92"/>
      <c r="AN230" s="93">
        <v>10826626481</v>
      </c>
      <c r="AO230" s="93">
        <v>10826626481</v>
      </c>
      <c r="AP230" s="93">
        <v>10826626481</v>
      </c>
      <c r="AQ230" s="94">
        <v>0</v>
      </c>
      <c r="AR230" s="91" t="s">
        <v>115</v>
      </c>
      <c r="AS230" s="91"/>
      <c r="AT230" s="149" t="s">
        <v>718</v>
      </c>
      <c r="AU230" s="91" t="s">
        <v>2264</v>
      </c>
      <c r="AV230" s="126" t="s">
        <v>2238</v>
      </c>
      <c r="BA230" s="191"/>
      <c r="BB230" s="192"/>
      <c r="BC230" s="223" t="e">
        <f t="shared" si="151"/>
        <v>#DIV/0!</v>
      </c>
      <c r="BD230" s="191"/>
      <c r="BE230" s="192"/>
      <c r="BF230" s="223" t="e">
        <f t="shared" si="152"/>
        <v>#DIV/0!</v>
      </c>
      <c r="BG230" s="191"/>
      <c r="BH230" s="192"/>
      <c r="BI230" s="223" t="e">
        <f t="shared" si="153"/>
        <v>#DIV/0!</v>
      </c>
      <c r="BJ230" s="224">
        <f t="shared" si="154"/>
        <v>0</v>
      </c>
      <c r="BK230" s="225">
        <f t="shared" si="155"/>
        <v>0</v>
      </c>
      <c r="BL230" s="223" t="e">
        <f t="shared" si="156"/>
        <v>#DIV/0!</v>
      </c>
      <c r="BM230" s="191"/>
      <c r="BN230" s="192"/>
      <c r="BO230" s="193" t="e">
        <f t="shared" si="177"/>
        <v>#DIV/0!</v>
      </c>
      <c r="BP230" s="191"/>
      <c r="BQ230" s="192"/>
      <c r="BR230" s="193" t="e">
        <f t="shared" si="178"/>
        <v>#DIV/0!</v>
      </c>
      <c r="BS230" s="191"/>
      <c r="BT230" s="192"/>
      <c r="BU230" s="193" t="e">
        <f t="shared" si="179"/>
        <v>#DIV/0!</v>
      </c>
      <c r="BV230" s="224">
        <f t="shared" si="157"/>
        <v>0</v>
      </c>
      <c r="BW230" s="224">
        <f t="shared" si="158"/>
        <v>0</v>
      </c>
      <c r="BX230" s="223" t="e">
        <f t="shared" si="159"/>
        <v>#DIV/0!</v>
      </c>
      <c r="BY230" s="223">
        <f t="shared" si="160"/>
        <v>0</v>
      </c>
      <c r="BZ230" s="223">
        <f t="shared" si="161"/>
        <v>0</v>
      </c>
      <c r="CA230" s="196"/>
      <c r="CB230" s="175"/>
      <c r="CC230" s="191"/>
      <c r="CD230" s="192"/>
      <c r="CE230" s="193" t="e">
        <f t="shared" si="180"/>
        <v>#DIV/0!</v>
      </c>
      <c r="CF230" s="191"/>
      <c r="CG230" s="192"/>
      <c r="CH230" s="193" t="e">
        <f t="shared" si="181"/>
        <v>#DIV/0!</v>
      </c>
      <c r="CI230" s="197"/>
      <c r="CJ230" s="198"/>
      <c r="CK230" s="193" t="e">
        <f t="shared" si="182"/>
        <v>#DIV/0!</v>
      </c>
      <c r="CL230" s="195">
        <f t="shared" si="183"/>
        <v>0</v>
      </c>
      <c r="CM230" s="194">
        <f t="shared" si="184"/>
        <v>0</v>
      </c>
      <c r="CN230" s="193" t="e">
        <f t="shared" si="185"/>
        <v>#DIV/0!</v>
      </c>
      <c r="CO230" s="175"/>
      <c r="CP230" s="196">
        <f t="shared" si="186"/>
        <v>0</v>
      </c>
      <c r="CQ230" s="196">
        <f t="shared" si="187"/>
        <v>0</v>
      </c>
      <c r="CR230" s="199" t="e">
        <f t="shared" si="188"/>
        <v>#DIV/0!</v>
      </c>
      <c r="CS230" s="261">
        <f t="shared" si="162"/>
        <v>4</v>
      </c>
      <c r="CT230" s="175"/>
      <c r="CU230" s="196">
        <f t="shared" si="163"/>
        <v>1.2</v>
      </c>
      <c r="CV230" s="259"/>
      <c r="CW230" s="199">
        <f t="shared" si="164"/>
        <v>0</v>
      </c>
      <c r="CX230" s="196">
        <f t="shared" si="165"/>
        <v>1.2</v>
      </c>
      <c r="CY230" s="259"/>
      <c r="CZ230" s="199">
        <f t="shared" si="166"/>
        <v>0</v>
      </c>
      <c r="DA230" s="196">
        <f t="shared" si="167"/>
        <v>1.2</v>
      </c>
      <c r="DB230" s="259"/>
      <c r="DC230" s="199">
        <f t="shared" si="168"/>
        <v>0</v>
      </c>
      <c r="DD230" s="196">
        <f t="shared" si="169"/>
        <v>0.4</v>
      </c>
      <c r="DE230" s="259"/>
      <c r="DF230" s="199">
        <f t="shared" si="170"/>
        <v>0</v>
      </c>
      <c r="DG230" s="175"/>
      <c r="DH230" s="196">
        <f t="shared" si="171"/>
        <v>4</v>
      </c>
      <c r="DI230" s="196">
        <f t="shared" si="172"/>
        <v>0</v>
      </c>
      <c r="DJ230" s="199">
        <f t="shared" si="173"/>
        <v>0</v>
      </c>
      <c r="DK230" s="265">
        <f t="shared" si="174"/>
        <v>4</v>
      </c>
    </row>
    <row r="231" spans="1:117" x14ac:dyDescent="0.3">
      <c r="A231" s="81">
        <v>227</v>
      </c>
      <c r="B231" s="91" t="s">
        <v>708</v>
      </c>
      <c r="C231" s="91" t="s">
        <v>118</v>
      </c>
      <c r="D231" s="91" t="s">
        <v>119</v>
      </c>
      <c r="E231" s="91" t="s">
        <v>709</v>
      </c>
      <c r="F231" s="91" t="s">
        <v>719</v>
      </c>
      <c r="G231" s="87" t="s">
        <v>711</v>
      </c>
      <c r="H231" s="87" t="s">
        <v>720</v>
      </c>
      <c r="I231" s="87" t="s">
        <v>103</v>
      </c>
      <c r="J231" s="87" t="s">
        <v>713</v>
      </c>
      <c r="K231" s="85" t="s">
        <v>714</v>
      </c>
      <c r="L231" s="85" t="s">
        <v>715</v>
      </c>
      <c r="M231" s="102">
        <v>2020002470037</v>
      </c>
      <c r="N231" s="87" t="s">
        <v>716</v>
      </c>
      <c r="O231" s="87" t="s">
        <v>659</v>
      </c>
      <c r="P231" s="87" t="s">
        <v>721</v>
      </c>
      <c r="Q231" s="87" t="s">
        <v>129</v>
      </c>
      <c r="R231" s="130">
        <v>60</v>
      </c>
      <c r="S231" s="88" t="s">
        <v>111</v>
      </c>
      <c r="T231" s="81"/>
      <c r="U231" s="81"/>
      <c r="V231" s="25" t="e">
        <f t="shared" si="150"/>
        <v>#DIV/0!</v>
      </c>
      <c r="W231" s="81">
        <v>5</v>
      </c>
      <c r="X231" s="81"/>
      <c r="Y231" s="25">
        <f t="shared" si="1"/>
        <v>0</v>
      </c>
      <c r="Z231" s="81">
        <v>13</v>
      </c>
      <c r="AA231" s="81"/>
      <c r="AB231" s="25">
        <f t="shared" si="2"/>
        <v>0</v>
      </c>
      <c r="AC231" s="81">
        <v>11</v>
      </c>
      <c r="AD231" s="81"/>
      <c r="AE231" s="25">
        <f t="shared" si="3"/>
        <v>0</v>
      </c>
      <c r="AF231" s="137">
        <f t="shared" si="175"/>
        <v>60</v>
      </c>
      <c r="AG231" s="137">
        <f t="shared" si="176"/>
        <v>0</v>
      </c>
      <c r="AH231" s="128">
        <f t="shared" si="130"/>
        <v>0</v>
      </c>
      <c r="AI231" s="90">
        <v>46113</v>
      </c>
      <c r="AJ231" s="90">
        <v>46477</v>
      </c>
      <c r="AK231" s="91"/>
      <c r="AL231" s="91"/>
      <c r="AM231" s="92"/>
      <c r="AN231" s="93">
        <v>300000000</v>
      </c>
      <c r="AO231" s="93">
        <v>300000000</v>
      </c>
      <c r="AP231" s="93">
        <v>300000000</v>
      </c>
      <c r="AQ231" s="94">
        <v>0</v>
      </c>
      <c r="AR231" s="91" t="s">
        <v>115</v>
      </c>
      <c r="AS231" s="91"/>
      <c r="AT231" s="149" t="s">
        <v>718</v>
      </c>
      <c r="AU231" s="91" t="s">
        <v>2264</v>
      </c>
      <c r="AV231" s="126" t="s">
        <v>2238</v>
      </c>
      <c r="BA231" s="191"/>
      <c r="BB231" s="192"/>
      <c r="BC231" s="223" t="e">
        <f t="shared" si="151"/>
        <v>#DIV/0!</v>
      </c>
      <c r="BD231" s="191"/>
      <c r="BE231" s="192"/>
      <c r="BF231" s="223" t="e">
        <f t="shared" si="152"/>
        <v>#DIV/0!</v>
      </c>
      <c r="BG231" s="191"/>
      <c r="BH231" s="192"/>
      <c r="BI231" s="223" t="e">
        <f t="shared" si="153"/>
        <v>#DIV/0!</v>
      </c>
      <c r="BJ231" s="224">
        <f t="shared" si="154"/>
        <v>0</v>
      </c>
      <c r="BK231" s="225">
        <f t="shared" si="155"/>
        <v>0</v>
      </c>
      <c r="BL231" s="223" t="e">
        <f t="shared" si="156"/>
        <v>#DIV/0!</v>
      </c>
      <c r="BM231" s="191"/>
      <c r="BN231" s="192"/>
      <c r="BO231" s="193" t="e">
        <f t="shared" si="177"/>
        <v>#DIV/0!</v>
      </c>
      <c r="BP231" s="191"/>
      <c r="BQ231" s="192"/>
      <c r="BR231" s="193" t="e">
        <f t="shared" si="178"/>
        <v>#DIV/0!</v>
      </c>
      <c r="BS231" s="191"/>
      <c r="BT231" s="192"/>
      <c r="BU231" s="193" t="e">
        <f t="shared" si="179"/>
        <v>#DIV/0!</v>
      </c>
      <c r="BV231" s="224">
        <f t="shared" si="157"/>
        <v>0</v>
      </c>
      <c r="BW231" s="224">
        <f t="shared" si="158"/>
        <v>0</v>
      </c>
      <c r="BX231" s="223" t="e">
        <f t="shared" si="159"/>
        <v>#DIV/0!</v>
      </c>
      <c r="BY231" s="223">
        <f t="shared" si="160"/>
        <v>0</v>
      </c>
      <c r="BZ231" s="223">
        <f t="shared" si="161"/>
        <v>0</v>
      </c>
      <c r="CA231" s="196"/>
      <c r="CB231" s="175"/>
      <c r="CC231" s="191"/>
      <c r="CD231" s="192"/>
      <c r="CE231" s="193" t="e">
        <f t="shared" si="180"/>
        <v>#DIV/0!</v>
      </c>
      <c r="CF231" s="191"/>
      <c r="CG231" s="192"/>
      <c r="CH231" s="193" t="e">
        <f t="shared" si="181"/>
        <v>#DIV/0!</v>
      </c>
      <c r="CI231" s="197"/>
      <c r="CJ231" s="198"/>
      <c r="CK231" s="193" t="e">
        <f t="shared" si="182"/>
        <v>#DIV/0!</v>
      </c>
      <c r="CL231" s="195">
        <f t="shared" si="183"/>
        <v>0</v>
      </c>
      <c r="CM231" s="194">
        <f t="shared" si="184"/>
        <v>0</v>
      </c>
      <c r="CN231" s="193" t="e">
        <f t="shared" si="185"/>
        <v>#DIV/0!</v>
      </c>
      <c r="CO231" s="175"/>
      <c r="CP231" s="196">
        <f t="shared" si="186"/>
        <v>0</v>
      </c>
      <c r="CQ231" s="196">
        <f t="shared" si="187"/>
        <v>0</v>
      </c>
      <c r="CR231" s="199" t="e">
        <f t="shared" si="188"/>
        <v>#DIV/0!</v>
      </c>
      <c r="CS231" s="261">
        <f t="shared" si="162"/>
        <v>60</v>
      </c>
      <c r="CT231" s="175"/>
      <c r="CU231" s="196">
        <f t="shared" si="163"/>
        <v>18</v>
      </c>
      <c r="CV231" s="259"/>
      <c r="CW231" s="199">
        <f t="shared" si="164"/>
        <v>0</v>
      </c>
      <c r="CX231" s="196">
        <f t="shared" si="165"/>
        <v>18</v>
      </c>
      <c r="CY231" s="259"/>
      <c r="CZ231" s="199">
        <f t="shared" si="166"/>
        <v>0</v>
      </c>
      <c r="DA231" s="196">
        <f t="shared" si="167"/>
        <v>18</v>
      </c>
      <c r="DB231" s="259"/>
      <c r="DC231" s="199">
        <f t="shared" si="168"/>
        <v>0</v>
      </c>
      <c r="DD231" s="196">
        <f t="shared" si="169"/>
        <v>6</v>
      </c>
      <c r="DE231" s="259"/>
      <c r="DF231" s="199">
        <f t="shared" si="170"/>
        <v>0</v>
      </c>
      <c r="DG231" s="175"/>
      <c r="DH231" s="196">
        <f t="shared" si="171"/>
        <v>60</v>
      </c>
      <c r="DI231" s="196">
        <f t="shared" si="172"/>
        <v>0</v>
      </c>
      <c r="DJ231" s="199">
        <f t="shared" si="173"/>
        <v>0</v>
      </c>
      <c r="DK231" s="265">
        <f t="shared" si="174"/>
        <v>60</v>
      </c>
    </row>
    <row r="232" spans="1:117" x14ac:dyDescent="0.3">
      <c r="A232" s="81">
        <v>228</v>
      </c>
      <c r="B232" s="91" t="s">
        <v>708</v>
      </c>
      <c r="C232" s="91" t="s">
        <v>118</v>
      </c>
      <c r="D232" s="91" t="s">
        <v>119</v>
      </c>
      <c r="E232" s="91" t="s">
        <v>709</v>
      </c>
      <c r="F232" s="91" t="s">
        <v>719</v>
      </c>
      <c r="G232" s="87" t="s">
        <v>711</v>
      </c>
      <c r="H232" s="87" t="s">
        <v>720</v>
      </c>
      <c r="I232" s="87" t="s">
        <v>103</v>
      </c>
      <c r="J232" s="87" t="s">
        <v>713</v>
      </c>
      <c r="K232" s="85" t="s">
        <v>714</v>
      </c>
      <c r="L232" s="85" t="s">
        <v>715</v>
      </c>
      <c r="M232" s="102">
        <v>2020002470037</v>
      </c>
      <c r="N232" s="87" t="s">
        <v>716</v>
      </c>
      <c r="O232" s="87" t="s">
        <v>659</v>
      </c>
      <c r="P232" s="87" t="s">
        <v>722</v>
      </c>
      <c r="Q232" s="87" t="s">
        <v>129</v>
      </c>
      <c r="R232" s="130">
        <v>60</v>
      </c>
      <c r="S232" s="88" t="s">
        <v>111</v>
      </c>
      <c r="T232" s="81"/>
      <c r="U232" s="81"/>
      <c r="V232" s="25" t="e">
        <f t="shared" si="150"/>
        <v>#DIV/0!</v>
      </c>
      <c r="W232" s="81">
        <v>5</v>
      </c>
      <c r="X232" s="81"/>
      <c r="Y232" s="25">
        <f t="shared" si="1"/>
        <v>0</v>
      </c>
      <c r="Z232" s="81">
        <v>13</v>
      </c>
      <c r="AA232" s="81"/>
      <c r="AB232" s="25">
        <f t="shared" si="2"/>
        <v>0</v>
      </c>
      <c r="AC232" s="81">
        <v>11</v>
      </c>
      <c r="AD232" s="81"/>
      <c r="AE232" s="25">
        <f t="shared" si="3"/>
        <v>0</v>
      </c>
      <c r="AF232" s="137">
        <f t="shared" si="175"/>
        <v>60</v>
      </c>
      <c r="AG232" s="137">
        <f t="shared" si="176"/>
        <v>0</v>
      </c>
      <c r="AH232" s="128">
        <f t="shared" si="130"/>
        <v>0</v>
      </c>
      <c r="AI232" s="90">
        <v>46113</v>
      </c>
      <c r="AJ232" s="90">
        <v>46477</v>
      </c>
      <c r="AK232" s="91"/>
      <c r="AL232" s="91"/>
      <c r="AM232" s="92"/>
      <c r="AN232" s="93">
        <v>4926057603</v>
      </c>
      <c r="AO232" s="93">
        <v>4926057603</v>
      </c>
      <c r="AP232" s="93">
        <v>4926057603</v>
      </c>
      <c r="AQ232" s="94">
        <v>0</v>
      </c>
      <c r="AR232" s="91" t="s">
        <v>115</v>
      </c>
      <c r="AS232" s="91"/>
      <c r="AT232" s="149" t="s">
        <v>718</v>
      </c>
      <c r="AU232" s="91" t="s">
        <v>2264</v>
      </c>
      <c r="AV232" s="126" t="s">
        <v>2238</v>
      </c>
      <c r="BA232" s="191"/>
      <c r="BB232" s="192"/>
      <c r="BC232" s="223" t="e">
        <f t="shared" si="151"/>
        <v>#DIV/0!</v>
      </c>
      <c r="BD232" s="191"/>
      <c r="BE232" s="192"/>
      <c r="BF232" s="223" t="e">
        <f t="shared" si="152"/>
        <v>#DIV/0!</v>
      </c>
      <c r="BG232" s="191"/>
      <c r="BH232" s="192"/>
      <c r="BI232" s="223" t="e">
        <f t="shared" si="153"/>
        <v>#DIV/0!</v>
      </c>
      <c r="BJ232" s="224">
        <f t="shared" si="154"/>
        <v>0</v>
      </c>
      <c r="BK232" s="225">
        <f t="shared" si="155"/>
        <v>0</v>
      </c>
      <c r="BL232" s="223" t="e">
        <f t="shared" si="156"/>
        <v>#DIV/0!</v>
      </c>
      <c r="BM232" s="191"/>
      <c r="BN232" s="192"/>
      <c r="BO232" s="193" t="e">
        <f t="shared" si="177"/>
        <v>#DIV/0!</v>
      </c>
      <c r="BP232" s="191"/>
      <c r="BQ232" s="192"/>
      <c r="BR232" s="193" t="e">
        <f t="shared" si="178"/>
        <v>#DIV/0!</v>
      </c>
      <c r="BS232" s="191"/>
      <c r="BT232" s="192"/>
      <c r="BU232" s="193" t="e">
        <f t="shared" si="179"/>
        <v>#DIV/0!</v>
      </c>
      <c r="BV232" s="224">
        <f t="shared" si="157"/>
        <v>0</v>
      </c>
      <c r="BW232" s="224">
        <f t="shared" si="158"/>
        <v>0</v>
      </c>
      <c r="BX232" s="223" t="e">
        <f t="shared" si="159"/>
        <v>#DIV/0!</v>
      </c>
      <c r="BY232" s="223">
        <f t="shared" si="160"/>
        <v>0</v>
      </c>
      <c r="BZ232" s="223">
        <f t="shared" si="161"/>
        <v>0</v>
      </c>
      <c r="CA232" s="196"/>
      <c r="CB232" s="175"/>
      <c r="CC232" s="191"/>
      <c r="CD232" s="192"/>
      <c r="CE232" s="193" t="e">
        <f t="shared" si="180"/>
        <v>#DIV/0!</v>
      </c>
      <c r="CF232" s="191"/>
      <c r="CG232" s="192"/>
      <c r="CH232" s="193" t="e">
        <f t="shared" si="181"/>
        <v>#DIV/0!</v>
      </c>
      <c r="CI232" s="197"/>
      <c r="CJ232" s="198"/>
      <c r="CK232" s="193" t="e">
        <f t="shared" si="182"/>
        <v>#DIV/0!</v>
      </c>
      <c r="CL232" s="195">
        <f t="shared" si="183"/>
        <v>0</v>
      </c>
      <c r="CM232" s="194">
        <f t="shared" si="184"/>
        <v>0</v>
      </c>
      <c r="CN232" s="193" t="e">
        <f t="shared" si="185"/>
        <v>#DIV/0!</v>
      </c>
      <c r="CO232" s="175"/>
      <c r="CP232" s="196">
        <f t="shared" si="186"/>
        <v>0</v>
      </c>
      <c r="CQ232" s="196">
        <f t="shared" si="187"/>
        <v>0</v>
      </c>
      <c r="CR232" s="199" t="e">
        <f t="shared" si="188"/>
        <v>#DIV/0!</v>
      </c>
      <c r="CS232" s="261">
        <f t="shared" si="162"/>
        <v>60</v>
      </c>
      <c r="CT232" s="175"/>
      <c r="CU232" s="196">
        <f t="shared" si="163"/>
        <v>18</v>
      </c>
      <c r="CV232" s="259"/>
      <c r="CW232" s="199">
        <f t="shared" si="164"/>
        <v>0</v>
      </c>
      <c r="CX232" s="196">
        <f t="shared" si="165"/>
        <v>18</v>
      </c>
      <c r="CY232" s="259"/>
      <c r="CZ232" s="199">
        <f t="shared" si="166"/>
        <v>0</v>
      </c>
      <c r="DA232" s="196">
        <f t="shared" si="167"/>
        <v>18</v>
      </c>
      <c r="DB232" s="259"/>
      <c r="DC232" s="199">
        <f t="shared" si="168"/>
        <v>0</v>
      </c>
      <c r="DD232" s="196">
        <f t="shared" si="169"/>
        <v>6</v>
      </c>
      <c r="DE232" s="259"/>
      <c r="DF232" s="199">
        <f t="shared" si="170"/>
        <v>0</v>
      </c>
      <c r="DG232" s="175"/>
      <c r="DH232" s="196">
        <f t="shared" si="171"/>
        <v>60</v>
      </c>
      <c r="DI232" s="196">
        <f t="shared" si="172"/>
        <v>0</v>
      </c>
      <c r="DJ232" s="199">
        <f t="shared" si="173"/>
        <v>0</v>
      </c>
      <c r="DK232" s="265">
        <f t="shared" si="174"/>
        <v>60</v>
      </c>
    </row>
    <row r="233" spans="1:117" x14ac:dyDescent="0.3">
      <c r="A233" s="81">
        <v>229</v>
      </c>
      <c r="B233" s="91" t="s">
        <v>708</v>
      </c>
      <c r="C233" s="91" t="s">
        <v>118</v>
      </c>
      <c r="D233" s="91" t="s">
        <v>119</v>
      </c>
      <c r="E233" s="91" t="s">
        <v>709</v>
      </c>
      <c r="F233" s="91" t="s">
        <v>719</v>
      </c>
      <c r="G233" s="87" t="s">
        <v>711</v>
      </c>
      <c r="H233" s="87" t="s">
        <v>720</v>
      </c>
      <c r="I233" s="87" t="s">
        <v>103</v>
      </c>
      <c r="J233" s="87" t="s">
        <v>713</v>
      </c>
      <c r="K233" s="85" t="s">
        <v>714</v>
      </c>
      <c r="L233" s="85" t="s">
        <v>715</v>
      </c>
      <c r="M233" s="102">
        <v>2020002470037</v>
      </c>
      <c r="N233" s="87" t="s">
        <v>716</v>
      </c>
      <c r="O233" s="87" t="s">
        <v>659</v>
      </c>
      <c r="P233" s="87" t="s">
        <v>723</v>
      </c>
      <c r="Q233" s="87" t="s">
        <v>129</v>
      </c>
      <c r="R233" s="130">
        <v>58</v>
      </c>
      <c r="S233" s="88" t="s">
        <v>111</v>
      </c>
      <c r="T233" s="81"/>
      <c r="U233" s="81"/>
      <c r="V233" s="25" t="e">
        <f t="shared" si="150"/>
        <v>#DIV/0!</v>
      </c>
      <c r="W233" s="81">
        <v>5</v>
      </c>
      <c r="X233" s="81"/>
      <c r="Y233" s="25">
        <f t="shared" si="1"/>
        <v>0</v>
      </c>
      <c r="Z233" s="81">
        <v>13</v>
      </c>
      <c r="AA233" s="81"/>
      <c r="AB233" s="25">
        <f t="shared" si="2"/>
        <v>0</v>
      </c>
      <c r="AC233" s="81">
        <v>11</v>
      </c>
      <c r="AD233" s="81"/>
      <c r="AE233" s="25">
        <f t="shared" si="3"/>
        <v>0</v>
      </c>
      <c r="AF233" s="137">
        <f t="shared" si="175"/>
        <v>58</v>
      </c>
      <c r="AG233" s="137">
        <f t="shared" si="176"/>
        <v>0</v>
      </c>
      <c r="AH233" s="128">
        <f t="shared" si="130"/>
        <v>0</v>
      </c>
      <c r="AI233" s="90">
        <v>46113</v>
      </c>
      <c r="AJ233" s="90">
        <v>46477</v>
      </c>
      <c r="AK233" s="91"/>
      <c r="AL233" s="91"/>
      <c r="AM233" s="92"/>
      <c r="AN233" s="93">
        <v>1782154298</v>
      </c>
      <c r="AO233" s="93">
        <v>1782154298</v>
      </c>
      <c r="AP233" s="93">
        <v>1782154298</v>
      </c>
      <c r="AQ233" s="94">
        <v>0</v>
      </c>
      <c r="AR233" s="91" t="s">
        <v>115</v>
      </c>
      <c r="AS233" s="91"/>
      <c r="AT233" s="149" t="s">
        <v>718</v>
      </c>
      <c r="AU233" s="91" t="s">
        <v>2264</v>
      </c>
      <c r="AV233" s="126" t="s">
        <v>2238</v>
      </c>
      <c r="BA233" s="191"/>
      <c r="BB233" s="192"/>
      <c r="BC233" s="223" t="e">
        <f t="shared" si="151"/>
        <v>#DIV/0!</v>
      </c>
      <c r="BD233" s="191"/>
      <c r="BE233" s="192"/>
      <c r="BF233" s="223" t="e">
        <f t="shared" si="152"/>
        <v>#DIV/0!</v>
      </c>
      <c r="BG233" s="191"/>
      <c r="BH233" s="192"/>
      <c r="BI233" s="223" t="e">
        <f t="shared" si="153"/>
        <v>#DIV/0!</v>
      </c>
      <c r="BJ233" s="224">
        <f t="shared" si="154"/>
        <v>0</v>
      </c>
      <c r="BK233" s="225">
        <f t="shared" si="155"/>
        <v>0</v>
      </c>
      <c r="BL233" s="223" t="e">
        <f t="shared" si="156"/>
        <v>#DIV/0!</v>
      </c>
      <c r="BM233" s="191"/>
      <c r="BN233" s="192"/>
      <c r="BO233" s="193" t="e">
        <f t="shared" si="177"/>
        <v>#DIV/0!</v>
      </c>
      <c r="BP233" s="191"/>
      <c r="BQ233" s="192"/>
      <c r="BR233" s="193" t="e">
        <f t="shared" si="178"/>
        <v>#DIV/0!</v>
      </c>
      <c r="BS233" s="191"/>
      <c r="BT233" s="192"/>
      <c r="BU233" s="193" t="e">
        <f t="shared" si="179"/>
        <v>#DIV/0!</v>
      </c>
      <c r="BV233" s="224">
        <f t="shared" si="157"/>
        <v>0</v>
      </c>
      <c r="BW233" s="224">
        <f t="shared" si="158"/>
        <v>0</v>
      </c>
      <c r="BX233" s="223" t="e">
        <f t="shared" si="159"/>
        <v>#DIV/0!</v>
      </c>
      <c r="BY233" s="223">
        <f t="shared" si="160"/>
        <v>0</v>
      </c>
      <c r="BZ233" s="223">
        <f t="shared" si="161"/>
        <v>0</v>
      </c>
      <c r="CA233" s="196"/>
      <c r="CB233" s="175"/>
      <c r="CC233" s="191"/>
      <c r="CD233" s="192"/>
      <c r="CE233" s="193" t="e">
        <f t="shared" si="180"/>
        <v>#DIV/0!</v>
      </c>
      <c r="CF233" s="191"/>
      <c r="CG233" s="192"/>
      <c r="CH233" s="193" t="e">
        <f t="shared" si="181"/>
        <v>#DIV/0!</v>
      </c>
      <c r="CI233" s="197"/>
      <c r="CJ233" s="198"/>
      <c r="CK233" s="193" t="e">
        <f t="shared" si="182"/>
        <v>#DIV/0!</v>
      </c>
      <c r="CL233" s="195">
        <f t="shared" si="183"/>
        <v>0</v>
      </c>
      <c r="CM233" s="194">
        <f t="shared" si="184"/>
        <v>0</v>
      </c>
      <c r="CN233" s="193" t="e">
        <f t="shared" si="185"/>
        <v>#DIV/0!</v>
      </c>
      <c r="CO233" s="175"/>
      <c r="CP233" s="196">
        <f t="shared" si="186"/>
        <v>0</v>
      </c>
      <c r="CQ233" s="196">
        <f t="shared" si="187"/>
        <v>0</v>
      </c>
      <c r="CR233" s="199" t="e">
        <f t="shared" si="188"/>
        <v>#DIV/0!</v>
      </c>
      <c r="CS233" s="261">
        <f t="shared" si="162"/>
        <v>58</v>
      </c>
      <c r="CT233" s="175"/>
      <c r="CU233" s="196">
        <f t="shared" si="163"/>
        <v>17.399999999999999</v>
      </c>
      <c r="CV233" s="259"/>
      <c r="CW233" s="199">
        <f t="shared" si="164"/>
        <v>0</v>
      </c>
      <c r="CX233" s="196">
        <f t="shared" si="165"/>
        <v>17.399999999999999</v>
      </c>
      <c r="CY233" s="259"/>
      <c r="CZ233" s="199">
        <f t="shared" si="166"/>
        <v>0</v>
      </c>
      <c r="DA233" s="196">
        <f t="shared" si="167"/>
        <v>17.399999999999999</v>
      </c>
      <c r="DB233" s="259"/>
      <c r="DC233" s="199">
        <f t="shared" si="168"/>
        <v>0</v>
      </c>
      <c r="DD233" s="196">
        <f t="shared" si="169"/>
        <v>5.8000000000000007</v>
      </c>
      <c r="DE233" s="259"/>
      <c r="DF233" s="199">
        <f t="shared" si="170"/>
        <v>0</v>
      </c>
      <c r="DG233" s="175"/>
      <c r="DH233" s="196">
        <f t="shared" si="171"/>
        <v>58</v>
      </c>
      <c r="DI233" s="196">
        <f t="shared" si="172"/>
        <v>0</v>
      </c>
      <c r="DJ233" s="199">
        <f t="shared" si="173"/>
        <v>0</v>
      </c>
      <c r="DK233" s="265">
        <f t="shared" si="174"/>
        <v>58</v>
      </c>
    </row>
    <row r="234" spans="1:117" x14ac:dyDescent="0.3">
      <c r="A234" s="81">
        <v>230</v>
      </c>
      <c r="B234" s="91" t="s">
        <v>708</v>
      </c>
      <c r="C234" s="91" t="s">
        <v>118</v>
      </c>
      <c r="D234" s="91" t="s">
        <v>119</v>
      </c>
      <c r="E234" s="91" t="s">
        <v>709</v>
      </c>
      <c r="F234" s="91" t="s">
        <v>719</v>
      </c>
      <c r="G234" s="87" t="s">
        <v>711</v>
      </c>
      <c r="H234" s="87" t="s">
        <v>720</v>
      </c>
      <c r="I234" s="87" t="s">
        <v>103</v>
      </c>
      <c r="J234" s="87" t="s">
        <v>713</v>
      </c>
      <c r="K234" s="85" t="s">
        <v>714</v>
      </c>
      <c r="L234" s="85" t="s">
        <v>715</v>
      </c>
      <c r="M234" s="102">
        <v>2020002470037</v>
      </c>
      <c r="N234" s="87" t="s">
        <v>716</v>
      </c>
      <c r="O234" s="87" t="s">
        <v>659</v>
      </c>
      <c r="P234" s="87" t="s">
        <v>724</v>
      </c>
      <c r="Q234" s="87" t="s">
        <v>129</v>
      </c>
      <c r="R234" s="130">
        <v>68986</v>
      </c>
      <c r="S234" s="88" t="s">
        <v>111</v>
      </c>
      <c r="T234" s="81">
        <v>1</v>
      </c>
      <c r="U234" s="81"/>
      <c r="V234" s="25">
        <f t="shared" si="150"/>
        <v>0</v>
      </c>
      <c r="W234" s="81">
        <v>1</v>
      </c>
      <c r="X234" s="81"/>
      <c r="Y234" s="25">
        <f t="shared" si="1"/>
        <v>0</v>
      </c>
      <c r="Z234" s="81">
        <v>1</v>
      </c>
      <c r="AA234" s="81"/>
      <c r="AB234" s="25">
        <f t="shared" si="2"/>
        <v>0</v>
      </c>
      <c r="AC234" s="81">
        <v>1</v>
      </c>
      <c r="AD234" s="81"/>
      <c r="AE234" s="25">
        <f t="shared" si="3"/>
        <v>0</v>
      </c>
      <c r="AF234" s="137">
        <f t="shared" si="175"/>
        <v>68986</v>
      </c>
      <c r="AG234" s="137">
        <f t="shared" si="176"/>
        <v>0</v>
      </c>
      <c r="AH234" s="128">
        <f t="shared" si="130"/>
        <v>0</v>
      </c>
      <c r="AI234" s="90">
        <v>46113</v>
      </c>
      <c r="AJ234" s="90">
        <v>46477</v>
      </c>
      <c r="AK234" s="91"/>
      <c r="AL234" s="91" t="s">
        <v>725</v>
      </c>
      <c r="AM234" s="92" t="s">
        <v>726</v>
      </c>
      <c r="AN234" s="93">
        <v>9064996090</v>
      </c>
      <c r="AO234" s="93">
        <v>9064996090</v>
      </c>
      <c r="AP234" s="93">
        <v>9064996090</v>
      </c>
      <c r="AQ234" s="94">
        <v>0</v>
      </c>
      <c r="AR234" s="91" t="s">
        <v>115</v>
      </c>
      <c r="AS234" s="91" t="s">
        <v>727</v>
      </c>
      <c r="AT234" s="149" t="s">
        <v>718</v>
      </c>
      <c r="AU234" s="91" t="s">
        <v>2264</v>
      </c>
      <c r="AV234" s="126" t="s">
        <v>2238</v>
      </c>
      <c r="BA234" s="191"/>
      <c r="BB234" s="192"/>
      <c r="BC234" s="223" t="e">
        <f t="shared" si="151"/>
        <v>#DIV/0!</v>
      </c>
      <c r="BD234" s="191"/>
      <c r="BE234" s="192"/>
      <c r="BF234" s="223" t="e">
        <f t="shared" si="152"/>
        <v>#DIV/0!</v>
      </c>
      <c r="BG234" s="191"/>
      <c r="BH234" s="192"/>
      <c r="BI234" s="223" t="e">
        <f t="shared" si="153"/>
        <v>#DIV/0!</v>
      </c>
      <c r="BJ234" s="224">
        <f t="shared" si="154"/>
        <v>0</v>
      </c>
      <c r="BK234" s="225">
        <f t="shared" si="155"/>
        <v>0</v>
      </c>
      <c r="BL234" s="223" t="e">
        <f t="shared" si="156"/>
        <v>#DIV/0!</v>
      </c>
      <c r="BM234" s="191"/>
      <c r="BN234" s="192"/>
      <c r="BO234" s="193" t="e">
        <f t="shared" si="177"/>
        <v>#DIV/0!</v>
      </c>
      <c r="BP234" s="191"/>
      <c r="BQ234" s="192"/>
      <c r="BR234" s="193" t="e">
        <f t="shared" si="178"/>
        <v>#DIV/0!</v>
      </c>
      <c r="BS234" s="191"/>
      <c r="BT234" s="192"/>
      <c r="BU234" s="193" t="e">
        <f t="shared" si="179"/>
        <v>#DIV/0!</v>
      </c>
      <c r="BV234" s="224">
        <f t="shared" si="157"/>
        <v>0</v>
      </c>
      <c r="BW234" s="224">
        <f t="shared" si="158"/>
        <v>0</v>
      </c>
      <c r="BX234" s="223" t="e">
        <f t="shared" si="159"/>
        <v>#DIV/0!</v>
      </c>
      <c r="BY234" s="223">
        <f t="shared" si="160"/>
        <v>0</v>
      </c>
      <c r="BZ234" s="223">
        <f t="shared" si="161"/>
        <v>0</v>
      </c>
      <c r="CA234" s="196"/>
      <c r="CB234" s="175"/>
      <c r="CC234" s="191"/>
      <c r="CD234" s="192"/>
      <c r="CE234" s="193" t="e">
        <f t="shared" si="180"/>
        <v>#DIV/0!</v>
      </c>
      <c r="CF234" s="191"/>
      <c r="CG234" s="192"/>
      <c r="CH234" s="193" t="e">
        <f t="shared" si="181"/>
        <v>#DIV/0!</v>
      </c>
      <c r="CI234" s="197"/>
      <c r="CJ234" s="198"/>
      <c r="CK234" s="193" t="e">
        <f t="shared" si="182"/>
        <v>#DIV/0!</v>
      </c>
      <c r="CL234" s="195">
        <f t="shared" si="183"/>
        <v>0</v>
      </c>
      <c r="CM234" s="194">
        <f t="shared" si="184"/>
        <v>0</v>
      </c>
      <c r="CN234" s="193" t="e">
        <f t="shared" si="185"/>
        <v>#DIV/0!</v>
      </c>
      <c r="CO234" s="175"/>
      <c r="CP234" s="196">
        <f t="shared" si="186"/>
        <v>0</v>
      </c>
      <c r="CQ234" s="196">
        <f t="shared" si="187"/>
        <v>0</v>
      </c>
      <c r="CR234" s="199" t="e">
        <f t="shared" si="188"/>
        <v>#DIV/0!</v>
      </c>
      <c r="CS234" s="261">
        <f t="shared" si="162"/>
        <v>68986</v>
      </c>
      <c r="CT234" s="175"/>
      <c r="CU234" s="196">
        <f t="shared" si="163"/>
        <v>20695.8</v>
      </c>
      <c r="CV234" s="259"/>
      <c r="CW234" s="199">
        <f t="shared" si="164"/>
        <v>0</v>
      </c>
      <c r="CX234" s="196">
        <f t="shared" si="165"/>
        <v>20695.8</v>
      </c>
      <c r="CY234" s="259"/>
      <c r="CZ234" s="199">
        <f t="shared" si="166"/>
        <v>0</v>
      </c>
      <c r="DA234" s="196">
        <f t="shared" si="167"/>
        <v>20695.8</v>
      </c>
      <c r="DB234" s="259"/>
      <c r="DC234" s="199">
        <f t="shared" si="168"/>
        <v>0</v>
      </c>
      <c r="DD234" s="196">
        <f t="shared" si="169"/>
        <v>6898.6</v>
      </c>
      <c r="DE234" s="259"/>
      <c r="DF234" s="199">
        <f t="shared" si="170"/>
        <v>0</v>
      </c>
      <c r="DG234" s="175"/>
      <c r="DH234" s="196">
        <f t="shared" si="171"/>
        <v>68986</v>
      </c>
      <c r="DI234" s="196">
        <f t="shared" si="172"/>
        <v>0</v>
      </c>
      <c r="DJ234" s="199">
        <f t="shared" si="173"/>
        <v>0</v>
      </c>
      <c r="DK234" s="265">
        <f t="shared" si="174"/>
        <v>68986</v>
      </c>
    </row>
    <row r="235" spans="1:117" x14ac:dyDescent="0.3">
      <c r="A235" s="81">
        <v>231</v>
      </c>
      <c r="B235" s="91" t="s">
        <v>728</v>
      </c>
      <c r="C235" s="91" t="s">
        <v>118</v>
      </c>
      <c r="D235" s="91" t="s">
        <v>119</v>
      </c>
      <c r="E235" s="91" t="s">
        <v>729</v>
      </c>
      <c r="F235" s="91" t="s">
        <v>730</v>
      </c>
      <c r="G235" s="87" t="s">
        <v>711</v>
      </c>
      <c r="H235" s="87" t="s">
        <v>731</v>
      </c>
      <c r="I235" s="87" t="s">
        <v>103</v>
      </c>
      <c r="J235" s="87" t="s">
        <v>713</v>
      </c>
      <c r="K235" s="85" t="s">
        <v>732</v>
      </c>
      <c r="L235" s="85" t="s">
        <v>733</v>
      </c>
      <c r="M235" s="87" t="s">
        <v>734</v>
      </c>
      <c r="N235" s="87" t="s">
        <v>735</v>
      </c>
      <c r="O235" s="87" t="s">
        <v>659</v>
      </c>
      <c r="P235" s="87" t="s">
        <v>736</v>
      </c>
      <c r="Q235" s="87" t="s">
        <v>129</v>
      </c>
      <c r="R235" s="130">
        <v>14</v>
      </c>
      <c r="S235" s="88" t="s">
        <v>737</v>
      </c>
      <c r="T235" s="81"/>
      <c r="U235" s="81"/>
      <c r="V235" s="25" t="e">
        <f t="shared" si="150"/>
        <v>#DIV/0!</v>
      </c>
      <c r="W235" s="81">
        <v>20</v>
      </c>
      <c r="X235" s="81"/>
      <c r="Y235" s="25">
        <f t="shared" si="1"/>
        <v>0</v>
      </c>
      <c r="Z235" s="81">
        <v>20</v>
      </c>
      <c r="AA235" s="81"/>
      <c r="AB235" s="25">
        <f t="shared" si="2"/>
        <v>0</v>
      </c>
      <c r="AC235" s="81">
        <v>20</v>
      </c>
      <c r="AD235" s="81"/>
      <c r="AE235" s="25">
        <f t="shared" si="3"/>
        <v>0</v>
      </c>
      <c r="AF235" s="137">
        <f t="shared" si="175"/>
        <v>14</v>
      </c>
      <c r="AG235" s="137">
        <f t="shared" si="176"/>
        <v>0</v>
      </c>
      <c r="AH235" s="128">
        <f t="shared" si="130"/>
        <v>0</v>
      </c>
      <c r="AI235" s="90">
        <v>46113</v>
      </c>
      <c r="AJ235" s="90">
        <v>46477</v>
      </c>
      <c r="AK235" s="91"/>
      <c r="AL235" s="91" t="s">
        <v>725</v>
      </c>
      <c r="AM235" s="92" t="s">
        <v>726</v>
      </c>
      <c r="AN235" s="93">
        <v>0</v>
      </c>
      <c r="AO235" s="93">
        <v>0</v>
      </c>
      <c r="AP235" s="93">
        <v>0</v>
      </c>
      <c r="AQ235" s="94"/>
      <c r="AR235" s="91" t="s">
        <v>115</v>
      </c>
      <c r="AS235" s="91" t="s">
        <v>727</v>
      </c>
      <c r="AT235" s="149" t="s">
        <v>738</v>
      </c>
      <c r="AU235" s="91" t="s">
        <v>2264</v>
      </c>
      <c r="AV235" s="231" t="s">
        <v>2237</v>
      </c>
      <c r="AW235" s="126" t="s">
        <v>2253</v>
      </c>
      <c r="BA235" s="221">
        <v>0</v>
      </c>
      <c r="BB235" s="222">
        <v>0</v>
      </c>
      <c r="BC235" s="223" t="e">
        <f t="shared" si="151"/>
        <v>#DIV/0!</v>
      </c>
      <c r="BD235" s="221">
        <v>1</v>
      </c>
      <c r="BE235" s="222">
        <v>1</v>
      </c>
      <c r="BF235" s="223">
        <f t="shared" si="152"/>
        <v>1</v>
      </c>
      <c r="BG235" s="221">
        <v>0</v>
      </c>
      <c r="BH235" s="222">
        <v>0</v>
      </c>
      <c r="BI235" s="223" t="e">
        <f t="shared" si="153"/>
        <v>#DIV/0!</v>
      </c>
      <c r="BJ235" s="224">
        <f t="shared" si="154"/>
        <v>1</v>
      </c>
      <c r="BK235" s="225">
        <f t="shared" si="155"/>
        <v>1</v>
      </c>
      <c r="BL235" s="223">
        <f t="shared" si="156"/>
        <v>1</v>
      </c>
      <c r="BM235" s="221">
        <v>0</v>
      </c>
      <c r="BN235" s="222">
        <v>0</v>
      </c>
      <c r="BO235" s="223" t="e">
        <f t="shared" si="177"/>
        <v>#DIV/0!</v>
      </c>
      <c r="BP235" s="221">
        <v>0</v>
      </c>
      <c r="BQ235" s="222">
        <v>0</v>
      </c>
      <c r="BR235" s="223" t="e">
        <f t="shared" si="178"/>
        <v>#DIV/0!</v>
      </c>
      <c r="BS235" s="221">
        <v>4</v>
      </c>
      <c r="BT235" s="222">
        <v>4</v>
      </c>
      <c r="BU235" s="223">
        <f t="shared" si="179"/>
        <v>1</v>
      </c>
      <c r="BV235" s="224">
        <f t="shared" si="157"/>
        <v>4</v>
      </c>
      <c r="BW235" s="224">
        <f t="shared" si="158"/>
        <v>4</v>
      </c>
      <c r="BX235" s="223">
        <f t="shared" si="159"/>
        <v>1</v>
      </c>
      <c r="BY235" s="223">
        <f t="shared" si="160"/>
        <v>0.35714285714285715</v>
      </c>
      <c r="BZ235" s="223">
        <f t="shared" si="161"/>
        <v>-0.35714285714285715</v>
      </c>
      <c r="CA235" s="226"/>
      <c r="CB235" s="175"/>
      <c r="CC235" s="221">
        <v>0</v>
      </c>
      <c r="CD235" s="222">
        <v>0</v>
      </c>
      <c r="CE235" s="223" t="e">
        <f t="shared" si="180"/>
        <v>#DIV/0!</v>
      </c>
      <c r="CF235" s="221">
        <v>0</v>
      </c>
      <c r="CG235" s="222">
        <v>0</v>
      </c>
      <c r="CH235" s="223" t="e">
        <f t="shared" si="181"/>
        <v>#DIV/0!</v>
      </c>
      <c r="CI235" s="227"/>
      <c r="CJ235" s="188"/>
      <c r="CK235" s="223" t="e">
        <f t="shared" si="182"/>
        <v>#DIV/0!</v>
      </c>
      <c r="CL235" s="224">
        <f t="shared" si="183"/>
        <v>0</v>
      </c>
      <c r="CM235" s="225">
        <f t="shared" si="184"/>
        <v>0</v>
      </c>
      <c r="CN235" s="223" t="e">
        <f t="shared" si="185"/>
        <v>#DIV/0!</v>
      </c>
      <c r="CO235" s="175"/>
      <c r="CP235" s="226">
        <f t="shared" si="186"/>
        <v>5</v>
      </c>
      <c r="CQ235" s="226">
        <f t="shared" si="187"/>
        <v>5</v>
      </c>
      <c r="CR235" s="228">
        <f t="shared" si="188"/>
        <v>1</v>
      </c>
      <c r="CS235" s="261">
        <f t="shared" si="162"/>
        <v>9</v>
      </c>
      <c r="CT235" s="175"/>
      <c r="CU235" s="196">
        <f t="shared" si="163"/>
        <v>2.6999999999999997</v>
      </c>
      <c r="CV235" s="259"/>
      <c r="CW235" s="199">
        <f t="shared" si="164"/>
        <v>0</v>
      </c>
      <c r="CX235" s="196">
        <f t="shared" si="165"/>
        <v>2.6999999999999997</v>
      </c>
      <c r="CY235" s="259"/>
      <c r="CZ235" s="199">
        <f t="shared" si="166"/>
        <v>0</v>
      </c>
      <c r="DA235" s="196">
        <f t="shared" si="167"/>
        <v>2.6999999999999997</v>
      </c>
      <c r="DB235" s="259"/>
      <c r="DC235" s="199">
        <f t="shared" si="168"/>
        <v>0</v>
      </c>
      <c r="DD235" s="196">
        <f t="shared" si="169"/>
        <v>0.9</v>
      </c>
      <c r="DE235" s="259"/>
      <c r="DF235" s="199">
        <f t="shared" si="170"/>
        <v>0</v>
      </c>
      <c r="DG235" s="175"/>
      <c r="DH235" s="196">
        <f t="shared" si="171"/>
        <v>14</v>
      </c>
      <c r="DI235" s="196">
        <f t="shared" si="172"/>
        <v>5</v>
      </c>
      <c r="DJ235" s="199">
        <f t="shared" si="173"/>
        <v>0.35714285714285715</v>
      </c>
      <c r="DK235" s="265">
        <f t="shared" si="174"/>
        <v>9</v>
      </c>
    </row>
    <row r="236" spans="1:117" x14ac:dyDescent="0.3">
      <c r="A236" s="81">
        <v>232</v>
      </c>
      <c r="B236" s="91" t="s">
        <v>728</v>
      </c>
      <c r="C236" s="91" t="s">
        <v>118</v>
      </c>
      <c r="D236" s="91" t="s">
        <v>119</v>
      </c>
      <c r="E236" s="91" t="s">
        <v>729</v>
      </c>
      <c r="F236" s="91" t="s">
        <v>730</v>
      </c>
      <c r="G236" s="87" t="s">
        <v>711</v>
      </c>
      <c r="H236" s="87" t="s">
        <v>731</v>
      </c>
      <c r="I236" s="87" t="s">
        <v>103</v>
      </c>
      <c r="J236" s="87" t="s">
        <v>103</v>
      </c>
      <c r="K236" s="85" t="s">
        <v>732</v>
      </c>
      <c r="L236" s="85" t="s">
        <v>733</v>
      </c>
      <c r="M236" s="87" t="s">
        <v>739</v>
      </c>
      <c r="N236" s="87" t="s">
        <v>740</v>
      </c>
      <c r="O236" s="87" t="s">
        <v>659</v>
      </c>
      <c r="P236" s="87" t="s">
        <v>741</v>
      </c>
      <c r="Q236" s="87" t="s">
        <v>129</v>
      </c>
      <c r="R236" s="130">
        <v>62</v>
      </c>
      <c r="S236" s="88" t="s">
        <v>742</v>
      </c>
      <c r="T236" s="81"/>
      <c r="U236" s="81"/>
      <c r="V236" s="25" t="e">
        <f t="shared" si="150"/>
        <v>#DIV/0!</v>
      </c>
      <c r="W236" s="81">
        <v>20</v>
      </c>
      <c r="X236" s="81"/>
      <c r="Y236" s="25">
        <f t="shared" si="1"/>
        <v>0</v>
      </c>
      <c r="Z236" s="81">
        <v>20</v>
      </c>
      <c r="AA236" s="81"/>
      <c r="AB236" s="25">
        <f t="shared" si="2"/>
        <v>0</v>
      </c>
      <c r="AC236" s="81">
        <v>20</v>
      </c>
      <c r="AD236" s="81"/>
      <c r="AE236" s="25">
        <f t="shared" si="3"/>
        <v>0</v>
      </c>
      <c r="AF236" s="137">
        <f t="shared" si="175"/>
        <v>62</v>
      </c>
      <c r="AG236" s="137">
        <f t="shared" si="176"/>
        <v>0</v>
      </c>
      <c r="AH236" s="128">
        <f t="shared" si="130"/>
        <v>0</v>
      </c>
      <c r="AI236" s="90">
        <v>46113</v>
      </c>
      <c r="AJ236" s="90">
        <v>46477</v>
      </c>
      <c r="AK236" s="91"/>
      <c r="AL236" s="91" t="s">
        <v>725</v>
      </c>
      <c r="AM236" s="92" t="s">
        <v>726</v>
      </c>
      <c r="AN236" s="93">
        <v>0</v>
      </c>
      <c r="AO236" s="93">
        <v>0</v>
      </c>
      <c r="AP236" s="93">
        <v>0</v>
      </c>
      <c r="AQ236" s="94"/>
      <c r="AR236" s="91" t="s">
        <v>115</v>
      </c>
      <c r="AS236" s="91" t="s">
        <v>727</v>
      </c>
      <c r="AT236" s="149" t="s">
        <v>738</v>
      </c>
      <c r="AU236" s="91" t="s">
        <v>2264</v>
      </c>
      <c r="AV236" s="231" t="s">
        <v>2237</v>
      </c>
      <c r="AW236" s="126" t="s">
        <v>2253</v>
      </c>
      <c r="BA236" s="221">
        <v>0</v>
      </c>
      <c r="BB236" s="222">
        <v>0</v>
      </c>
      <c r="BC236" s="223" t="e">
        <f t="shared" si="151"/>
        <v>#DIV/0!</v>
      </c>
      <c r="BD236" s="221">
        <v>31</v>
      </c>
      <c r="BE236" s="222">
        <v>31</v>
      </c>
      <c r="BF236" s="223">
        <f t="shared" si="152"/>
        <v>1</v>
      </c>
      <c r="BG236" s="221">
        <v>31</v>
      </c>
      <c r="BH236" s="222">
        <v>31</v>
      </c>
      <c r="BI236" s="223">
        <f t="shared" si="153"/>
        <v>1</v>
      </c>
      <c r="BJ236" s="224">
        <f t="shared" si="154"/>
        <v>62</v>
      </c>
      <c r="BK236" s="225">
        <f t="shared" si="155"/>
        <v>62</v>
      </c>
      <c r="BL236" s="223">
        <f t="shared" si="156"/>
        <v>1</v>
      </c>
      <c r="BM236" s="221">
        <v>0</v>
      </c>
      <c r="BN236" s="222">
        <v>0</v>
      </c>
      <c r="BO236" s="223" t="e">
        <f t="shared" si="177"/>
        <v>#DIV/0!</v>
      </c>
      <c r="BP236" s="221">
        <v>0</v>
      </c>
      <c r="BQ236" s="222">
        <v>0</v>
      </c>
      <c r="BR236" s="223" t="e">
        <f t="shared" si="178"/>
        <v>#DIV/0!</v>
      </c>
      <c r="BS236" s="221">
        <v>0</v>
      </c>
      <c r="BT236" s="222">
        <v>0</v>
      </c>
      <c r="BU236" s="223" t="e">
        <f t="shared" si="179"/>
        <v>#DIV/0!</v>
      </c>
      <c r="BV236" s="224">
        <f t="shared" si="157"/>
        <v>0</v>
      </c>
      <c r="BW236" s="224">
        <f t="shared" si="158"/>
        <v>0</v>
      </c>
      <c r="BX236" s="223" t="e">
        <f t="shared" si="159"/>
        <v>#DIV/0!</v>
      </c>
      <c r="BY236" s="223">
        <f t="shared" si="160"/>
        <v>1</v>
      </c>
      <c r="BZ236" s="223">
        <f t="shared" si="161"/>
        <v>-1</v>
      </c>
      <c r="CA236" s="226"/>
      <c r="CB236" s="175"/>
      <c r="CC236" s="221"/>
      <c r="CD236" s="222"/>
      <c r="CE236" s="223" t="e">
        <f t="shared" si="180"/>
        <v>#DIV/0!</v>
      </c>
      <c r="CF236" s="221"/>
      <c r="CG236" s="222"/>
      <c r="CH236" s="223" t="e">
        <f t="shared" si="181"/>
        <v>#DIV/0!</v>
      </c>
      <c r="CI236" s="227"/>
      <c r="CJ236" s="188"/>
      <c r="CK236" s="223" t="e">
        <f t="shared" si="182"/>
        <v>#DIV/0!</v>
      </c>
      <c r="CL236" s="224">
        <f t="shared" si="183"/>
        <v>0</v>
      </c>
      <c r="CM236" s="225">
        <f t="shared" si="184"/>
        <v>0</v>
      </c>
      <c r="CN236" s="223" t="e">
        <f t="shared" si="185"/>
        <v>#DIV/0!</v>
      </c>
      <c r="CO236" s="175"/>
      <c r="CP236" s="226">
        <f t="shared" si="186"/>
        <v>62</v>
      </c>
      <c r="CQ236" s="226">
        <f t="shared" si="187"/>
        <v>62</v>
      </c>
      <c r="CR236" s="228">
        <f t="shared" si="188"/>
        <v>1</v>
      </c>
      <c r="CS236" s="261">
        <f t="shared" si="162"/>
        <v>0</v>
      </c>
      <c r="CT236" s="175"/>
      <c r="CU236" s="196">
        <f t="shared" si="163"/>
        <v>0</v>
      </c>
      <c r="CV236" s="259"/>
      <c r="CW236" s="199" t="e">
        <f t="shared" si="164"/>
        <v>#DIV/0!</v>
      </c>
      <c r="CX236" s="196">
        <f t="shared" si="165"/>
        <v>0</v>
      </c>
      <c r="CY236" s="259"/>
      <c r="CZ236" s="199" t="e">
        <f t="shared" si="166"/>
        <v>#DIV/0!</v>
      </c>
      <c r="DA236" s="196">
        <f t="shared" si="167"/>
        <v>0</v>
      </c>
      <c r="DB236" s="259"/>
      <c r="DC236" s="199" t="e">
        <f t="shared" si="168"/>
        <v>#DIV/0!</v>
      </c>
      <c r="DD236" s="196">
        <f t="shared" si="169"/>
        <v>0</v>
      </c>
      <c r="DE236" s="259"/>
      <c r="DF236" s="199" t="e">
        <f t="shared" si="170"/>
        <v>#DIV/0!</v>
      </c>
      <c r="DG236" s="175"/>
      <c r="DH236" s="196">
        <f t="shared" si="171"/>
        <v>62</v>
      </c>
      <c r="DI236" s="196">
        <f t="shared" si="172"/>
        <v>62</v>
      </c>
      <c r="DJ236" s="199">
        <f t="shared" si="173"/>
        <v>1</v>
      </c>
      <c r="DK236" s="265">
        <f t="shared" si="174"/>
        <v>0</v>
      </c>
    </row>
    <row r="237" spans="1:117" x14ac:dyDescent="0.3">
      <c r="A237" s="81">
        <v>233</v>
      </c>
      <c r="B237" s="91" t="s">
        <v>728</v>
      </c>
      <c r="C237" s="91" t="s">
        <v>118</v>
      </c>
      <c r="D237" s="91" t="s">
        <v>119</v>
      </c>
      <c r="E237" s="91" t="s">
        <v>729</v>
      </c>
      <c r="F237" s="91" t="s">
        <v>730</v>
      </c>
      <c r="G237" s="87" t="s">
        <v>711</v>
      </c>
      <c r="H237" s="87" t="s">
        <v>731</v>
      </c>
      <c r="I237" s="87" t="s">
        <v>103</v>
      </c>
      <c r="J237" s="87" t="s">
        <v>103</v>
      </c>
      <c r="K237" s="85" t="s">
        <v>732</v>
      </c>
      <c r="L237" s="85" t="s">
        <v>733</v>
      </c>
      <c r="M237" s="87" t="s">
        <v>743</v>
      </c>
      <c r="N237" s="87" t="s">
        <v>740</v>
      </c>
      <c r="O237" s="87" t="s">
        <v>659</v>
      </c>
      <c r="P237" s="87" t="s">
        <v>744</v>
      </c>
      <c r="Q237" s="87" t="s">
        <v>129</v>
      </c>
      <c r="R237" s="130">
        <v>100</v>
      </c>
      <c r="S237" s="88" t="s">
        <v>745</v>
      </c>
      <c r="T237" s="81"/>
      <c r="U237" s="81"/>
      <c r="V237" s="25" t="e">
        <f t="shared" si="150"/>
        <v>#DIV/0!</v>
      </c>
      <c r="W237" s="81">
        <v>29</v>
      </c>
      <c r="X237" s="81"/>
      <c r="Y237" s="25">
        <f t="shared" si="1"/>
        <v>0</v>
      </c>
      <c r="Z237" s="81"/>
      <c r="AA237" s="81"/>
      <c r="AB237" s="25" t="e">
        <f t="shared" si="2"/>
        <v>#DIV/0!</v>
      </c>
      <c r="AC237" s="81">
        <v>29</v>
      </c>
      <c r="AD237" s="81"/>
      <c r="AE237" s="25">
        <f t="shared" si="3"/>
        <v>0</v>
      </c>
      <c r="AF237" s="137">
        <f t="shared" si="175"/>
        <v>100</v>
      </c>
      <c r="AG237" s="137">
        <f t="shared" si="176"/>
        <v>0</v>
      </c>
      <c r="AH237" s="128">
        <f t="shared" si="130"/>
        <v>0</v>
      </c>
      <c r="AI237" s="90">
        <v>46113</v>
      </c>
      <c r="AJ237" s="90">
        <v>46477</v>
      </c>
      <c r="AK237" s="91"/>
      <c r="AL237" s="91" t="s">
        <v>725</v>
      </c>
      <c r="AM237" s="92" t="s">
        <v>726</v>
      </c>
      <c r="AN237" s="93">
        <v>0</v>
      </c>
      <c r="AO237" s="93">
        <v>0</v>
      </c>
      <c r="AP237" s="93">
        <v>0</v>
      </c>
      <c r="AQ237" s="94"/>
      <c r="AR237" s="91" t="s">
        <v>115</v>
      </c>
      <c r="AS237" s="91" t="s">
        <v>727</v>
      </c>
      <c r="AT237" s="149" t="s">
        <v>738</v>
      </c>
      <c r="AU237" s="91" t="s">
        <v>2264</v>
      </c>
      <c r="AV237" s="231" t="s">
        <v>2237</v>
      </c>
      <c r="AW237" s="126" t="s">
        <v>2253</v>
      </c>
      <c r="BA237" s="221">
        <v>0</v>
      </c>
      <c r="BB237" s="222">
        <v>0</v>
      </c>
      <c r="BC237" s="223" t="e">
        <f t="shared" si="151"/>
        <v>#DIV/0!</v>
      </c>
      <c r="BD237" s="221">
        <v>25</v>
      </c>
      <c r="BE237" s="222">
        <v>25</v>
      </c>
      <c r="BF237" s="223">
        <f t="shared" si="152"/>
        <v>1</v>
      </c>
      <c r="BG237" s="221">
        <v>0</v>
      </c>
      <c r="BH237" s="222">
        <v>0</v>
      </c>
      <c r="BI237" s="223" t="e">
        <f t="shared" si="153"/>
        <v>#DIV/0!</v>
      </c>
      <c r="BJ237" s="224">
        <f t="shared" si="154"/>
        <v>25</v>
      </c>
      <c r="BK237" s="225">
        <f t="shared" si="155"/>
        <v>25</v>
      </c>
      <c r="BL237" s="223">
        <f t="shared" si="156"/>
        <v>1</v>
      </c>
      <c r="BM237" s="221">
        <v>25</v>
      </c>
      <c r="BN237" s="222">
        <v>25</v>
      </c>
      <c r="BO237" s="223">
        <f t="shared" si="177"/>
        <v>1</v>
      </c>
      <c r="BP237" s="221">
        <v>0</v>
      </c>
      <c r="BQ237" s="222">
        <v>0</v>
      </c>
      <c r="BR237" s="223" t="e">
        <f t="shared" si="178"/>
        <v>#DIV/0!</v>
      </c>
      <c r="BS237" s="221">
        <v>0</v>
      </c>
      <c r="BT237" s="222">
        <v>0</v>
      </c>
      <c r="BU237" s="223" t="e">
        <f t="shared" si="179"/>
        <v>#DIV/0!</v>
      </c>
      <c r="BV237" s="224">
        <f t="shared" si="157"/>
        <v>25</v>
      </c>
      <c r="BW237" s="224">
        <f t="shared" si="158"/>
        <v>25</v>
      </c>
      <c r="BX237" s="223">
        <f t="shared" si="159"/>
        <v>1</v>
      </c>
      <c r="BY237" s="223">
        <f t="shared" si="160"/>
        <v>0.5</v>
      </c>
      <c r="BZ237" s="223">
        <f t="shared" si="161"/>
        <v>-0.5</v>
      </c>
      <c r="CA237" s="226"/>
      <c r="CB237" s="175"/>
      <c r="CC237" s="221">
        <v>0</v>
      </c>
      <c r="CD237" s="222">
        <v>0</v>
      </c>
      <c r="CE237" s="223" t="e">
        <f t="shared" si="180"/>
        <v>#DIV/0!</v>
      </c>
      <c r="CF237" s="221">
        <v>0</v>
      </c>
      <c r="CG237" s="222">
        <v>0</v>
      </c>
      <c r="CH237" s="223" t="e">
        <f t="shared" si="181"/>
        <v>#DIV/0!</v>
      </c>
      <c r="CI237" s="227"/>
      <c r="CJ237" s="188"/>
      <c r="CK237" s="223" t="e">
        <f t="shared" si="182"/>
        <v>#DIV/0!</v>
      </c>
      <c r="CL237" s="224">
        <f t="shared" si="183"/>
        <v>0</v>
      </c>
      <c r="CM237" s="225">
        <f t="shared" si="184"/>
        <v>0</v>
      </c>
      <c r="CN237" s="223" t="e">
        <f t="shared" si="185"/>
        <v>#DIV/0!</v>
      </c>
      <c r="CO237" s="175"/>
      <c r="CP237" s="226">
        <f t="shared" si="186"/>
        <v>50</v>
      </c>
      <c r="CQ237" s="226">
        <f t="shared" si="187"/>
        <v>50</v>
      </c>
      <c r="CR237" s="228">
        <f t="shared" si="188"/>
        <v>1</v>
      </c>
      <c r="CS237" s="261">
        <f t="shared" si="162"/>
        <v>50</v>
      </c>
      <c r="CT237" s="175"/>
      <c r="CU237" s="196">
        <f t="shared" si="163"/>
        <v>15</v>
      </c>
      <c r="CV237" s="259"/>
      <c r="CW237" s="199">
        <f t="shared" si="164"/>
        <v>0</v>
      </c>
      <c r="CX237" s="196">
        <f t="shared" si="165"/>
        <v>15</v>
      </c>
      <c r="CY237" s="259"/>
      <c r="CZ237" s="199">
        <f t="shared" si="166"/>
        <v>0</v>
      </c>
      <c r="DA237" s="196">
        <f t="shared" si="167"/>
        <v>15</v>
      </c>
      <c r="DB237" s="259"/>
      <c r="DC237" s="199">
        <f t="shared" si="168"/>
        <v>0</v>
      </c>
      <c r="DD237" s="196">
        <f t="shared" si="169"/>
        <v>5</v>
      </c>
      <c r="DE237" s="259"/>
      <c r="DF237" s="199">
        <f t="shared" si="170"/>
        <v>0</v>
      </c>
      <c r="DG237" s="175"/>
      <c r="DH237" s="196">
        <f t="shared" si="171"/>
        <v>100</v>
      </c>
      <c r="DI237" s="196">
        <f t="shared" si="172"/>
        <v>50</v>
      </c>
      <c r="DJ237" s="199">
        <f t="shared" si="173"/>
        <v>0.5</v>
      </c>
      <c r="DK237" s="265">
        <f t="shared" si="174"/>
        <v>50</v>
      </c>
    </row>
    <row r="238" spans="1:117" x14ac:dyDescent="0.3">
      <c r="A238" s="81">
        <v>234</v>
      </c>
      <c r="B238" s="91" t="s">
        <v>728</v>
      </c>
      <c r="C238" s="91" t="s">
        <v>118</v>
      </c>
      <c r="D238" s="91" t="s">
        <v>119</v>
      </c>
      <c r="E238" s="91" t="s">
        <v>709</v>
      </c>
      <c r="F238" s="91" t="s">
        <v>730</v>
      </c>
      <c r="G238" s="87" t="s">
        <v>711</v>
      </c>
      <c r="H238" s="87" t="s">
        <v>731</v>
      </c>
      <c r="I238" s="87" t="s">
        <v>103</v>
      </c>
      <c r="J238" s="87" t="s">
        <v>103</v>
      </c>
      <c r="K238" s="85" t="s">
        <v>732</v>
      </c>
      <c r="L238" s="85" t="s">
        <v>733</v>
      </c>
      <c r="M238" s="87" t="s">
        <v>743</v>
      </c>
      <c r="N238" s="87" t="s">
        <v>740</v>
      </c>
      <c r="O238" s="87" t="s">
        <v>659</v>
      </c>
      <c r="P238" s="87" t="s">
        <v>746</v>
      </c>
      <c r="Q238" s="87" t="s">
        <v>129</v>
      </c>
      <c r="R238" s="130">
        <v>100</v>
      </c>
      <c r="S238" s="88" t="s">
        <v>747</v>
      </c>
      <c r="T238" s="81"/>
      <c r="U238" s="81"/>
      <c r="V238" s="25" t="e">
        <f t="shared" si="150"/>
        <v>#DIV/0!</v>
      </c>
      <c r="W238" s="81"/>
      <c r="X238" s="81"/>
      <c r="Y238" s="25" t="e">
        <f t="shared" si="1"/>
        <v>#DIV/0!</v>
      </c>
      <c r="Z238" s="81"/>
      <c r="AA238" s="81"/>
      <c r="AB238" s="25" t="e">
        <f t="shared" si="2"/>
        <v>#DIV/0!</v>
      </c>
      <c r="AC238" s="81"/>
      <c r="AD238" s="81"/>
      <c r="AE238" s="25" t="e">
        <f t="shared" si="3"/>
        <v>#DIV/0!</v>
      </c>
      <c r="AF238" s="137">
        <f t="shared" si="175"/>
        <v>100</v>
      </c>
      <c r="AG238" s="137">
        <f t="shared" si="176"/>
        <v>0</v>
      </c>
      <c r="AH238" s="128">
        <f t="shared" si="130"/>
        <v>0</v>
      </c>
      <c r="AI238" s="90">
        <v>46113</v>
      </c>
      <c r="AJ238" s="90">
        <v>46477</v>
      </c>
      <c r="AK238" s="91"/>
      <c r="AL238" s="91" t="s">
        <v>725</v>
      </c>
      <c r="AM238" s="92">
        <v>0</v>
      </c>
      <c r="AN238" s="93">
        <v>0</v>
      </c>
      <c r="AO238" s="93">
        <v>0</v>
      </c>
      <c r="AP238" s="93">
        <v>0</v>
      </c>
      <c r="AQ238" s="94"/>
      <c r="AR238" s="91" t="s">
        <v>115</v>
      </c>
      <c r="AS238" s="91" t="s">
        <v>727</v>
      </c>
      <c r="AT238" s="149" t="s">
        <v>738</v>
      </c>
      <c r="AU238" s="91" t="s">
        <v>2264</v>
      </c>
      <c r="AV238" s="231" t="s">
        <v>2237</v>
      </c>
      <c r="AW238" s="126" t="s">
        <v>2253</v>
      </c>
      <c r="BA238" s="221">
        <v>8</v>
      </c>
      <c r="BB238" s="222">
        <v>8.3000000000000007</v>
      </c>
      <c r="BC238" s="223">
        <f t="shared" si="151"/>
        <v>1.0375000000000001</v>
      </c>
      <c r="BD238" s="221">
        <v>8</v>
      </c>
      <c r="BE238" s="222">
        <v>8.3000000000000007</v>
      </c>
      <c r="BF238" s="223">
        <f t="shared" si="152"/>
        <v>1.0375000000000001</v>
      </c>
      <c r="BG238" s="221">
        <v>8</v>
      </c>
      <c r="BH238" s="222">
        <v>8.3000000000000007</v>
      </c>
      <c r="BI238" s="223">
        <f t="shared" si="153"/>
        <v>1.0375000000000001</v>
      </c>
      <c r="BJ238" s="224">
        <f t="shared" si="154"/>
        <v>24</v>
      </c>
      <c r="BK238" s="225">
        <f t="shared" si="155"/>
        <v>24.900000000000002</v>
      </c>
      <c r="BL238" s="223">
        <f t="shared" si="156"/>
        <v>1.0375000000000001</v>
      </c>
      <c r="BM238" s="221">
        <v>8</v>
      </c>
      <c r="BN238" s="222">
        <v>8.3000000000000007</v>
      </c>
      <c r="BO238" s="223">
        <f t="shared" si="177"/>
        <v>1.0375000000000001</v>
      </c>
      <c r="BP238" s="221">
        <v>8</v>
      </c>
      <c r="BQ238" s="222">
        <v>8.3000000000000007</v>
      </c>
      <c r="BR238" s="223">
        <f t="shared" si="178"/>
        <v>1.0375000000000001</v>
      </c>
      <c r="BS238" s="221">
        <v>8</v>
      </c>
      <c r="BT238" s="222">
        <v>8.3000000000000007</v>
      </c>
      <c r="BU238" s="223">
        <f t="shared" si="179"/>
        <v>1.0375000000000001</v>
      </c>
      <c r="BV238" s="224">
        <f t="shared" si="157"/>
        <v>24</v>
      </c>
      <c r="BW238" s="224">
        <f t="shared" si="158"/>
        <v>24.900000000000002</v>
      </c>
      <c r="BX238" s="223">
        <f t="shared" si="159"/>
        <v>1.0375000000000001</v>
      </c>
      <c r="BY238" s="223">
        <f t="shared" si="160"/>
        <v>0.49800000000000005</v>
      </c>
      <c r="BZ238" s="223">
        <f t="shared" si="161"/>
        <v>-0.49800000000000005</v>
      </c>
      <c r="CA238" s="226"/>
      <c r="CB238" s="175"/>
      <c r="CC238" s="221">
        <v>8</v>
      </c>
      <c r="CD238" s="222">
        <v>8.3000000000000007</v>
      </c>
      <c r="CE238" s="223">
        <f t="shared" si="180"/>
        <v>1.0375000000000001</v>
      </c>
      <c r="CF238" s="221">
        <v>8</v>
      </c>
      <c r="CG238" s="222">
        <v>8.3000000000000007</v>
      </c>
      <c r="CH238" s="223">
        <f t="shared" si="181"/>
        <v>1.0375000000000001</v>
      </c>
      <c r="CI238" s="227"/>
      <c r="CJ238" s="188"/>
      <c r="CK238" s="223" t="e">
        <f t="shared" si="182"/>
        <v>#DIV/0!</v>
      </c>
      <c r="CL238" s="224">
        <f t="shared" si="183"/>
        <v>16</v>
      </c>
      <c r="CM238" s="225">
        <f t="shared" si="184"/>
        <v>16.600000000000001</v>
      </c>
      <c r="CN238" s="223">
        <f t="shared" si="185"/>
        <v>1.0375000000000001</v>
      </c>
      <c r="CO238" s="175"/>
      <c r="CP238" s="226">
        <f t="shared" si="186"/>
        <v>64</v>
      </c>
      <c r="CQ238" s="226">
        <f t="shared" si="187"/>
        <v>66.400000000000006</v>
      </c>
      <c r="CR238" s="228">
        <f t="shared" si="188"/>
        <v>1.0375000000000001</v>
      </c>
      <c r="CS238" s="261">
        <f t="shared" si="162"/>
        <v>33.599999999999994</v>
      </c>
      <c r="CT238" s="175"/>
      <c r="CU238" s="196">
        <f t="shared" si="163"/>
        <v>10.079999999999998</v>
      </c>
      <c r="CV238" s="259"/>
      <c r="CW238" s="199">
        <f t="shared" si="164"/>
        <v>0</v>
      </c>
      <c r="CX238" s="196">
        <f t="shared" si="165"/>
        <v>10.079999999999998</v>
      </c>
      <c r="CY238" s="259"/>
      <c r="CZ238" s="199">
        <f t="shared" si="166"/>
        <v>0</v>
      </c>
      <c r="DA238" s="196">
        <f t="shared" si="167"/>
        <v>10.079999999999998</v>
      </c>
      <c r="DB238" s="259"/>
      <c r="DC238" s="199">
        <f t="shared" si="168"/>
        <v>0</v>
      </c>
      <c r="DD238" s="196">
        <f t="shared" si="169"/>
        <v>3.3599999999999994</v>
      </c>
      <c r="DE238" s="259"/>
      <c r="DF238" s="199">
        <f t="shared" si="170"/>
        <v>0</v>
      </c>
      <c r="DG238" s="175"/>
      <c r="DH238" s="196">
        <f t="shared" si="171"/>
        <v>100</v>
      </c>
      <c r="DI238" s="196">
        <f t="shared" si="172"/>
        <v>66.400000000000006</v>
      </c>
      <c r="DJ238" s="199">
        <f t="shared" si="173"/>
        <v>0.66400000000000003</v>
      </c>
      <c r="DK238" s="265">
        <f t="shared" si="174"/>
        <v>33.599999999999994</v>
      </c>
    </row>
    <row r="239" spans="1:117" x14ac:dyDescent="0.3">
      <c r="A239" s="81">
        <v>235</v>
      </c>
      <c r="B239" s="91" t="s">
        <v>728</v>
      </c>
      <c r="C239" s="91" t="s">
        <v>118</v>
      </c>
      <c r="D239" s="91" t="s">
        <v>119</v>
      </c>
      <c r="E239" s="91" t="s">
        <v>709</v>
      </c>
      <c r="F239" s="91" t="s">
        <v>730</v>
      </c>
      <c r="G239" s="87" t="s">
        <v>711</v>
      </c>
      <c r="H239" s="87" t="s">
        <v>731</v>
      </c>
      <c r="I239" s="87" t="s">
        <v>103</v>
      </c>
      <c r="J239" s="87" t="s">
        <v>103</v>
      </c>
      <c r="K239" s="85" t="s">
        <v>732</v>
      </c>
      <c r="L239" s="85" t="s">
        <v>733</v>
      </c>
      <c r="M239" s="87" t="s">
        <v>743</v>
      </c>
      <c r="N239" s="87" t="s">
        <v>748</v>
      </c>
      <c r="O239" s="87" t="s">
        <v>659</v>
      </c>
      <c r="P239" s="87" t="s">
        <v>749</v>
      </c>
      <c r="Q239" s="87" t="s">
        <v>129</v>
      </c>
      <c r="R239" s="130">
        <v>400</v>
      </c>
      <c r="S239" s="88" t="s">
        <v>111</v>
      </c>
      <c r="T239" s="81">
        <v>1</v>
      </c>
      <c r="U239" s="81"/>
      <c r="V239" s="25">
        <f t="shared" si="150"/>
        <v>0</v>
      </c>
      <c r="W239" s="81">
        <v>4</v>
      </c>
      <c r="X239" s="81"/>
      <c r="Y239" s="25">
        <f t="shared" si="1"/>
        <v>0</v>
      </c>
      <c r="Z239" s="81">
        <v>4</v>
      </c>
      <c r="AA239" s="81"/>
      <c r="AB239" s="25">
        <f t="shared" si="2"/>
        <v>0</v>
      </c>
      <c r="AC239" s="81">
        <v>5</v>
      </c>
      <c r="AD239" s="81"/>
      <c r="AE239" s="25">
        <f t="shared" si="3"/>
        <v>0</v>
      </c>
      <c r="AF239" s="137">
        <f t="shared" si="175"/>
        <v>400</v>
      </c>
      <c r="AG239" s="137">
        <f t="shared" si="176"/>
        <v>0</v>
      </c>
      <c r="AH239" s="128">
        <f t="shared" si="130"/>
        <v>0</v>
      </c>
      <c r="AI239" s="103">
        <v>46113</v>
      </c>
      <c r="AJ239" s="103">
        <v>46477</v>
      </c>
      <c r="AK239" s="91" t="s">
        <v>112</v>
      </c>
      <c r="AL239" s="91"/>
      <c r="AM239" s="92">
        <v>0</v>
      </c>
      <c r="AN239" s="93">
        <v>0</v>
      </c>
      <c r="AO239" s="93">
        <v>0</v>
      </c>
      <c r="AP239" s="93">
        <v>0</v>
      </c>
      <c r="AQ239" s="94"/>
      <c r="AR239" s="91" t="s">
        <v>115</v>
      </c>
      <c r="AS239" s="91" t="s">
        <v>750</v>
      </c>
      <c r="AT239" s="149" t="s">
        <v>738</v>
      </c>
      <c r="AU239" s="91" t="s">
        <v>2264</v>
      </c>
      <c r="AV239" s="231" t="s">
        <v>2237</v>
      </c>
      <c r="AW239" s="126" t="s">
        <v>2253</v>
      </c>
      <c r="BA239" s="221">
        <v>0</v>
      </c>
      <c r="BB239" s="222">
        <v>0</v>
      </c>
      <c r="BC239" s="223" t="e">
        <f t="shared" si="151"/>
        <v>#DIV/0!</v>
      </c>
      <c r="BD239" s="221">
        <v>42</v>
      </c>
      <c r="BE239" s="222">
        <v>42</v>
      </c>
      <c r="BF239" s="223">
        <f t="shared" si="152"/>
        <v>1</v>
      </c>
      <c r="BG239" s="221">
        <v>34</v>
      </c>
      <c r="BH239" s="222">
        <v>34</v>
      </c>
      <c r="BI239" s="223">
        <f t="shared" si="153"/>
        <v>1</v>
      </c>
      <c r="BJ239" s="224">
        <f t="shared" si="154"/>
        <v>76</v>
      </c>
      <c r="BK239" s="225">
        <f t="shared" si="155"/>
        <v>76</v>
      </c>
      <c r="BL239" s="223">
        <f t="shared" si="156"/>
        <v>1</v>
      </c>
      <c r="BM239" s="221">
        <v>0</v>
      </c>
      <c r="BN239" s="222">
        <v>0</v>
      </c>
      <c r="BO239" s="223" t="e">
        <f t="shared" si="177"/>
        <v>#DIV/0!</v>
      </c>
      <c r="BP239" s="221">
        <v>0</v>
      </c>
      <c r="BQ239" s="222">
        <v>0</v>
      </c>
      <c r="BR239" s="223" t="e">
        <f t="shared" si="178"/>
        <v>#DIV/0!</v>
      </c>
      <c r="BS239" s="221">
        <v>70</v>
      </c>
      <c r="BT239" s="222">
        <v>70</v>
      </c>
      <c r="BU239" s="223">
        <f t="shared" si="179"/>
        <v>1</v>
      </c>
      <c r="BV239" s="224">
        <f t="shared" si="157"/>
        <v>70</v>
      </c>
      <c r="BW239" s="224">
        <f t="shared" si="158"/>
        <v>70</v>
      </c>
      <c r="BX239" s="223">
        <f t="shared" si="159"/>
        <v>1</v>
      </c>
      <c r="BY239" s="223">
        <f t="shared" si="160"/>
        <v>0.36499999999999999</v>
      </c>
      <c r="BZ239" s="223">
        <f t="shared" si="161"/>
        <v>-0.36499999999999999</v>
      </c>
      <c r="CA239" s="226"/>
      <c r="CB239" s="175"/>
      <c r="CC239" s="221">
        <v>32</v>
      </c>
      <c r="CD239" s="222">
        <v>32</v>
      </c>
      <c r="CE239" s="223">
        <f t="shared" si="180"/>
        <v>1</v>
      </c>
      <c r="CF239" s="221">
        <v>39</v>
      </c>
      <c r="CG239" s="222">
        <v>39</v>
      </c>
      <c r="CH239" s="223">
        <f t="shared" si="181"/>
        <v>1</v>
      </c>
      <c r="CI239" s="227"/>
      <c r="CJ239" s="188"/>
      <c r="CK239" s="223" t="e">
        <f t="shared" si="182"/>
        <v>#DIV/0!</v>
      </c>
      <c r="CL239" s="224">
        <f t="shared" si="183"/>
        <v>71</v>
      </c>
      <c r="CM239" s="225">
        <f t="shared" si="184"/>
        <v>71</v>
      </c>
      <c r="CN239" s="223">
        <f t="shared" si="185"/>
        <v>1</v>
      </c>
      <c r="CO239" s="175"/>
      <c r="CP239" s="226">
        <f t="shared" si="186"/>
        <v>217</v>
      </c>
      <c r="CQ239" s="226">
        <f t="shared" si="187"/>
        <v>217</v>
      </c>
      <c r="CR239" s="228">
        <f t="shared" si="188"/>
        <v>1</v>
      </c>
      <c r="CS239" s="261">
        <f t="shared" si="162"/>
        <v>183</v>
      </c>
      <c r="CT239" s="175"/>
      <c r="CU239" s="196">
        <f t="shared" si="163"/>
        <v>54.9</v>
      </c>
      <c r="CV239" s="259"/>
      <c r="CW239" s="199">
        <f t="shared" si="164"/>
        <v>0</v>
      </c>
      <c r="CX239" s="196">
        <f t="shared" si="165"/>
        <v>54.9</v>
      </c>
      <c r="CY239" s="259"/>
      <c r="CZ239" s="199">
        <f t="shared" si="166"/>
        <v>0</v>
      </c>
      <c r="DA239" s="196">
        <f t="shared" si="167"/>
        <v>54.9</v>
      </c>
      <c r="DB239" s="259"/>
      <c r="DC239" s="199">
        <f t="shared" si="168"/>
        <v>0</v>
      </c>
      <c r="DD239" s="196">
        <f t="shared" si="169"/>
        <v>18.3</v>
      </c>
      <c r="DE239" s="259"/>
      <c r="DF239" s="199">
        <f t="shared" si="170"/>
        <v>0</v>
      </c>
      <c r="DG239" s="175"/>
      <c r="DH239" s="196">
        <f t="shared" si="171"/>
        <v>400</v>
      </c>
      <c r="DI239" s="196">
        <f t="shared" si="172"/>
        <v>217</v>
      </c>
      <c r="DJ239" s="199">
        <f t="shared" si="173"/>
        <v>0.54249999999999998</v>
      </c>
      <c r="DK239" s="265">
        <f t="shared" si="174"/>
        <v>183</v>
      </c>
    </row>
    <row r="240" spans="1:117" x14ac:dyDescent="0.3">
      <c r="A240" s="81">
        <v>236</v>
      </c>
      <c r="B240" s="91" t="s">
        <v>728</v>
      </c>
      <c r="C240" s="91" t="s">
        <v>118</v>
      </c>
      <c r="D240" s="91" t="s">
        <v>119</v>
      </c>
      <c r="E240" s="91" t="s">
        <v>709</v>
      </c>
      <c r="F240" s="91" t="s">
        <v>730</v>
      </c>
      <c r="G240" s="87" t="s">
        <v>711</v>
      </c>
      <c r="H240" s="87" t="s">
        <v>731</v>
      </c>
      <c r="I240" s="87" t="s">
        <v>285</v>
      </c>
      <c r="J240" s="87" t="s">
        <v>103</v>
      </c>
      <c r="K240" s="85" t="s">
        <v>732</v>
      </c>
      <c r="L240" s="85" t="s">
        <v>733</v>
      </c>
      <c r="M240" s="87" t="s">
        <v>743</v>
      </c>
      <c r="N240" s="87" t="s">
        <v>748</v>
      </c>
      <c r="O240" s="87" t="s">
        <v>659</v>
      </c>
      <c r="P240" s="87" t="s">
        <v>751</v>
      </c>
      <c r="Q240" s="87" t="s">
        <v>129</v>
      </c>
      <c r="R240" s="130">
        <v>100</v>
      </c>
      <c r="S240" s="88" t="s">
        <v>158</v>
      </c>
      <c r="T240" s="81">
        <v>62</v>
      </c>
      <c r="U240" s="81"/>
      <c r="V240" s="25">
        <f t="shared" si="150"/>
        <v>0</v>
      </c>
      <c r="W240" s="81">
        <v>0</v>
      </c>
      <c r="X240" s="81"/>
      <c r="Y240" s="25" t="e">
        <f t="shared" si="1"/>
        <v>#DIV/0!</v>
      </c>
      <c r="Z240" s="81">
        <v>0</v>
      </c>
      <c r="AA240" s="81"/>
      <c r="AB240" s="25" t="e">
        <f t="shared" si="2"/>
        <v>#DIV/0!</v>
      </c>
      <c r="AC240" s="81">
        <v>0</v>
      </c>
      <c r="AD240" s="81"/>
      <c r="AE240" s="25" t="e">
        <f t="shared" si="3"/>
        <v>#DIV/0!</v>
      </c>
      <c r="AF240" s="137">
        <f t="shared" si="175"/>
        <v>100</v>
      </c>
      <c r="AG240" s="137">
        <f t="shared" si="176"/>
        <v>0</v>
      </c>
      <c r="AH240" s="128">
        <f t="shared" si="130"/>
        <v>0</v>
      </c>
      <c r="AI240" s="103">
        <v>46113</v>
      </c>
      <c r="AJ240" s="103">
        <v>46477</v>
      </c>
      <c r="AK240" s="91" t="s">
        <v>112</v>
      </c>
      <c r="AL240" s="91"/>
      <c r="AM240" s="92">
        <v>0</v>
      </c>
      <c r="AN240" s="93">
        <v>0</v>
      </c>
      <c r="AO240" s="93">
        <v>0</v>
      </c>
      <c r="AP240" s="93">
        <v>0</v>
      </c>
      <c r="AQ240" s="94"/>
      <c r="AR240" s="91" t="s">
        <v>115</v>
      </c>
      <c r="AS240" s="91" t="s">
        <v>750</v>
      </c>
      <c r="AT240" s="149" t="s">
        <v>738</v>
      </c>
      <c r="AU240" s="91" t="s">
        <v>2264</v>
      </c>
      <c r="AV240" s="231" t="s">
        <v>2237</v>
      </c>
      <c r="AW240" s="126" t="s">
        <v>2253</v>
      </c>
      <c r="BA240" s="221">
        <v>8</v>
      </c>
      <c r="BB240" s="222">
        <v>8.3000000000000007</v>
      </c>
      <c r="BC240" s="223">
        <f t="shared" si="151"/>
        <v>1.0375000000000001</v>
      </c>
      <c r="BD240" s="221">
        <v>8</v>
      </c>
      <c r="BE240" s="222">
        <v>8.3000000000000007</v>
      </c>
      <c r="BF240" s="223">
        <f t="shared" si="152"/>
        <v>1.0375000000000001</v>
      </c>
      <c r="BG240" s="221">
        <v>8</v>
      </c>
      <c r="BH240" s="222">
        <v>8.3000000000000007</v>
      </c>
      <c r="BI240" s="223">
        <f t="shared" si="153"/>
        <v>1.0375000000000001</v>
      </c>
      <c r="BJ240" s="224">
        <f t="shared" si="154"/>
        <v>24</v>
      </c>
      <c r="BK240" s="225">
        <f t="shared" si="155"/>
        <v>24.900000000000002</v>
      </c>
      <c r="BL240" s="223">
        <f t="shared" si="156"/>
        <v>1.0375000000000001</v>
      </c>
      <c r="BM240" s="221">
        <v>8</v>
      </c>
      <c r="BN240" s="222">
        <v>8.3000000000000007</v>
      </c>
      <c r="BO240" s="223">
        <f t="shared" si="177"/>
        <v>1.0375000000000001</v>
      </c>
      <c r="BP240" s="221">
        <v>8</v>
      </c>
      <c r="BQ240" s="222">
        <v>8.3000000000000007</v>
      </c>
      <c r="BR240" s="223">
        <f t="shared" si="178"/>
        <v>1.0375000000000001</v>
      </c>
      <c r="BS240" s="221">
        <v>8</v>
      </c>
      <c r="BT240" s="222">
        <v>8.3000000000000007</v>
      </c>
      <c r="BU240" s="223">
        <f t="shared" si="179"/>
        <v>1.0375000000000001</v>
      </c>
      <c r="BV240" s="224">
        <f t="shared" si="157"/>
        <v>24</v>
      </c>
      <c r="BW240" s="224">
        <f t="shared" si="158"/>
        <v>24.900000000000002</v>
      </c>
      <c r="BX240" s="223">
        <f t="shared" si="159"/>
        <v>1.0375000000000001</v>
      </c>
      <c r="BY240" s="223">
        <f t="shared" si="160"/>
        <v>0.49800000000000005</v>
      </c>
      <c r="BZ240" s="223">
        <f t="shared" si="161"/>
        <v>-0.49800000000000005</v>
      </c>
      <c r="CA240" s="226"/>
      <c r="CB240" s="175"/>
      <c r="CC240" s="221">
        <v>8</v>
      </c>
      <c r="CD240" s="222">
        <v>8.3000000000000007</v>
      </c>
      <c r="CE240" s="223">
        <f t="shared" si="180"/>
        <v>1.0375000000000001</v>
      </c>
      <c r="CF240" s="221">
        <v>8</v>
      </c>
      <c r="CG240" s="222">
        <v>8.3000000000000007</v>
      </c>
      <c r="CH240" s="223">
        <f t="shared" si="181"/>
        <v>1.0375000000000001</v>
      </c>
      <c r="CI240" s="227"/>
      <c r="CJ240" s="188"/>
      <c r="CK240" s="223" t="e">
        <f t="shared" si="182"/>
        <v>#DIV/0!</v>
      </c>
      <c r="CL240" s="224">
        <f t="shared" si="183"/>
        <v>16</v>
      </c>
      <c r="CM240" s="225">
        <f t="shared" si="184"/>
        <v>16.600000000000001</v>
      </c>
      <c r="CN240" s="223">
        <f t="shared" si="185"/>
        <v>1.0375000000000001</v>
      </c>
      <c r="CO240" s="175"/>
      <c r="CP240" s="226">
        <f t="shared" si="186"/>
        <v>64</v>
      </c>
      <c r="CQ240" s="226">
        <f t="shared" si="187"/>
        <v>66.400000000000006</v>
      </c>
      <c r="CR240" s="228">
        <f t="shared" si="188"/>
        <v>1.0375000000000001</v>
      </c>
      <c r="CS240" s="261">
        <f t="shared" si="162"/>
        <v>33.599999999999994</v>
      </c>
      <c r="CT240" s="175"/>
      <c r="CU240" s="196">
        <f t="shared" si="163"/>
        <v>10.079999999999998</v>
      </c>
      <c r="CV240" s="259"/>
      <c r="CW240" s="199">
        <f t="shared" si="164"/>
        <v>0</v>
      </c>
      <c r="CX240" s="196">
        <f t="shared" si="165"/>
        <v>10.079999999999998</v>
      </c>
      <c r="CY240" s="259"/>
      <c r="CZ240" s="199">
        <f t="shared" si="166"/>
        <v>0</v>
      </c>
      <c r="DA240" s="196">
        <f t="shared" si="167"/>
        <v>10.079999999999998</v>
      </c>
      <c r="DB240" s="259"/>
      <c r="DC240" s="199">
        <f t="shared" si="168"/>
        <v>0</v>
      </c>
      <c r="DD240" s="196">
        <f t="shared" si="169"/>
        <v>3.3599999999999994</v>
      </c>
      <c r="DE240" s="259"/>
      <c r="DF240" s="199">
        <f t="shared" si="170"/>
        <v>0</v>
      </c>
      <c r="DG240" s="175"/>
      <c r="DH240" s="196">
        <f t="shared" si="171"/>
        <v>100</v>
      </c>
      <c r="DI240" s="196">
        <f t="shared" si="172"/>
        <v>66.400000000000006</v>
      </c>
      <c r="DJ240" s="199">
        <f t="shared" si="173"/>
        <v>0.66400000000000003</v>
      </c>
      <c r="DK240" s="265">
        <f t="shared" si="174"/>
        <v>33.599999999999994</v>
      </c>
    </row>
    <row r="241" spans="1:117" x14ac:dyDescent="0.3">
      <c r="A241" s="81">
        <v>237</v>
      </c>
      <c r="B241" s="91" t="s">
        <v>752</v>
      </c>
      <c r="C241" s="91" t="s">
        <v>118</v>
      </c>
      <c r="D241" s="91" t="s">
        <v>119</v>
      </c>
      <c r="E241" s="91" t="s">
        <v>729</v>
      </c>
      <c r="F241" s="91" t="s">
        <v>753</v>
      </c>
      <c r="G241" s="87" t="s">
        <v>711</v>
      </c>
      <c r="H241" s="87" t="s">
        <v>656</v>
      </c>
      <c r="I241" s="87" t="s">
        <v>285</v>
      </c>
      <c r="J241" s="87" t="s">
        <v>285</v>
      </c>
      <c r="K241" s="85" t="s">
        <v>754</v>
      </c>
      <c r="L241" s="85" t="s">
        <v>755</v>
      </c>
      <c r="M241" s="87"/>
      <c r="N241" s="87" t="s">
        <v>756</v>
      </c>
      <c r="O241" s="87" t="s">
        <v>665</v>
      </c>
      <c r="P241" s="87" t="s">
        <v>757</v>
      </c>
      <c r="Q241" s="87" t="s">
        <v>129</v>
      </c>
      <c r="R241" s="130">
        <v>4</v>
      </c>
      <c r="S241" s="88" t="s">
        <v>742</v>
      </c>
      <c r="T241" s="81">
        <v>25</v>
      </c>
      <c r="U241" s="81"/>
      <c r="V241" s="25">
        <f t="shared" si="150"/>
        <v>0</v>
      </c>
      <c r="W241" s="81">
        <v>25</v>
      </c>
      <c r="X241" s="81"/>
      <c r="Y241" s="25">
        <f t="shared" si="1"/>
        <v>0</v>
      </c>
      <c r="Z241" s="81">
        <v>25</v>
      </c>
      <c r="AA241" s="81"/>
      <c r="AB241" s="25">
        <f t="shared" si="2"/>
        <v>0</v>
      </c>
      <c r="AC241" s="81">
        <v>25</v>
      </c>
      <c r="AD241" s="81"/>
      <c r="AE241" s="25">
        <f t="shared" si="3"/>
        <v>0</v>
      </c>
      <c r="AF241" s="137">
        <f t="shared" si="175"/>
        <v>4</v>
      </c>
      <c r="AG241" s="137">
        <f t="shared" si="176"/>
        <v>0</v>
      </c>
      <c r="AH241" s="128">
        <f t="shared" si="130"/>
        <v>0</v>
      </c>
      <c r="AI241" s="103">
        <v>46113</v>
      </c>
      <c r="AJ241" s="103">
        <v>46477</v>
      </c>
      <c r="AK241" s="91" t="s">
        <v>112</v>
      </c>
      <c r="AL241" s="91"/>
      <c r="AM241" s="92">
        <v>0</v>
      </c>
      <c r="AN241" s="93">
        <v>0</v>
      </c>
      <c r="AO241" s="93">
        <v>0</v>
      </c>
      <c r="AP241" s="93">
        <v>0</v>
      </c>
      <c r="AQ241" s="94"/>
      <c r="AR241" s="91" t="s">
        <v>115</v>
      </c>
      <c r="AS241" s="91" t="s">
        <v>750</v>
      </c>
      <c r="AT241" s="149" t="s">
        <v>758</v>
      </c>
      <c r="AU241" s="91" t="s">
        <v>2264</v>
      </c>
      <c r="AV241" s="232" t="s">
        <v>2237</v>
      </c>
      <c r="BA241" s="221">
        <v>0</v>
      </c>
      <c r="BB241" s="222">
        <v>0</v>
      </c>
      <c r="BC241" s="223" t="e">
        <f t="shared" si="151"/>
        <v>#DIV/0!</v>
      </c>
      <c r="BD241" s="221">
        <v>0</v>
      </c>
      <c r="BE241" s="222">
        <v>0</v>
      </c>
      <c r="BF241" s="223" t="e">
        <f t="shared" si="152"/>
        <v>#DIV/0!</v>
      </c>
      <c r="BG241" s="221">
        <v>1</v>
      </c>
      <c r="BH241" s="222">
        <v>0</v>
      </c>
      <c r="BI241" s="223">
        <f t="shared" si="153"/>
        <v>0</v>
      </c>
      <c r="BJ241" s="224">
        <f t="shared" si="154"/>
        <v>1</v>
      </c>
      <c r="BK241" s="225">
        <f t="shared" si="155"/>
        <v>0</v>
      </c>
      <c r="BL241" s="223">
        <f t="shared" si="156"/>
        <v>0</v>
      </c>
      <c r="BM241" s="221">
        <v>0</v>
      </c>
      <c r="BN241" s="222">
        <v>17</v>
      </c>
      <c r="BO241" s="223" t="e">
        <f t="shared" si="177"/>
        <v>#DIV/0!</v>
      </c>
      <c r="BP241" s="221">
        <v>0</v>
      </c>
      <c r="BQ241" s="222">
        <v>0</v>
      </c>
      <c r="BR241" s="223" t="e">
        <f t="shared" si="178"/>
        <v>#DIV/0!</v>
      </c>
      <c r="BS241" s="221">
        <v>1</v>
      </c>
      <c r="BT241" s="222">
        <v>10</v>
      </c>
      <c r="BU241" s="223">
        <f t="shared" si="179"/>
        <v>10</v>
      </c>
      <c r="BV241" s="224">
        <f t="shared" si="157"/>
        <v>1</v>
      </c>
      <c r="BW241" s="224">
        <f t="shared" si="158"/>
        <v>27</v>
      </c>
      <c r="BX241" s="223">
        <f t="shared" si="159"/>
        <v>27</v>
      </c>
      <c r="BY241" s="223">
        <f t="shared" si="160"/>
        <v>6.75</v>
      </c>
      <c r="BZ241" s="223">
        <f t="shared" si="161"/>
        <v>-6.75</v>
      </c>
      <c r="CA241" s="226"/>
      <c r="CB241" s="175"/>
      <c r="CC241" s="221"/>
      <c r="CD241" s="222"/>
      <c r="CE241" s="223" t="e">
        <f t="shared" si="180"/>
        <v>#DIV/0!</v>
      </c>
      <c r="CF241" s="221"/>
      <c r="CG241" s="222"/>
      <c r="CH241" s="223" t="e">
        <f t="shared" si="181"/>
        <v>#DIV/0!</v>
      </c>
      <c r="CI241" s="227"/>
      <c r="CJ241" s="188"/>
      <c r="CK241" s="223" t="e">
        <f t="shared" si="182"/>
        <v>#DIV/0!</v>
      </c>
      <c r="CL241" s="224">
        <f t="shared" si="183"/>
        <v>0</v>
      </c>
      <c r="CM241" s="225">
        <f t="shared" si="184"/>
        <v>0</v>
      </c>
      <c r="CN241" s="223" t="e">
        <f t="shared" si="185"/>
        <v>#DIV/0!</v>
      </c>
      <c r="CO241" s="175"/>
      <c r="CP241" s="226">
        <f t="shared" si="186"/>
        <v>2</v>
      </c>
      <c r="CQ241" s="226">
        <f t="shared" si="187"/>
        <v>27</v>
      </c>
      <c r="CR241" s="228">
        <f t="shared" si="188"/>
        <v>13.5</v>
      </c>
      <c r="CS241" s="261">
        <f t="shared" si="162"/>
        <v>-23</v>
      </c>
      <c r="CT241" s="175"/>
      <c r="CU241" s="196">
        <f t="shared" si="163"/>
        <v>-6.8999999999999995</v>
      </c>
      <c r="CV241" s="259"/>
      <c r="CW241" s="199">
        <f t="shared" si="164"/>
        <v>0</v>
      </c>
      <c r="CX241" s="196">
        <f t="shared" si="165"/>
        <v>-6.8999999999999995</v>
      </c>
      <c r="CY241" s="259"/>
      <c r="CZ241" s="199">
        <f t="shared" si="166"/>
        <v>0</v>
      </c>
      <c r="DA241" s="196">
        <f t="shared" si="167"/>
        <v>-6.8999999999999995</v>
      </c>
      <c r="DB241" s="259"/>
      <c r="DC241" s="199">
        <f t="shared" si="168"/>
        <v>0</v>
      </c>
      <c r="DD241" s="196">
        <f t="shared" si="169"/>
        <v>-2.3000000000000003</v>
      </c>
      <c r="DE241" s="259"/>
      <c r="DF241" s="199">
        <f t="shared" si="170"/>
        <v>0</v>
      </c>
      <c r="DG241" s="175"/>
      <c r="DH241" s="196">
        <f t="shared" si="171"/>
        <v>4</v>
      </c>
      <c r="DI241" s="196">
        <f t="shared" si="172"/>
        <v>27</v>
      </c>
      <c r="DJ241" s="199">
        <f t="shared" si="173"/>
        <v>6.75</v>
      </c>
      <c r="DK241" s="265">
        <f t="shared" si="174"/>
        <v>-23</v>
      </c>
    </row>
    <row r="242" spans="1:117" x14ac:dyDescent="0.3">
      <c r="A242" s="81">
        <v>238</v>
      </c>
      <c r="B242" s="91" t="s">
        <v>752</v>
      </c>
      <c r="C242" s="91" t="s">
        <v>118</v>
      </c>
      <c r="D242" s="91" t="s">
        <v>119</v>
      </c>
      <c r="E242" s="91" t="s">
        <v>709</v>
      </c>
      <c r="F242" s="91" t="s">
        <v>753</v>
      </c>
      <c r="G242" s="87" t="s">
        <v>711</v>
      </c>
      <c r="H242" s="87" t="s">
        <v>656</v>
      </c>
      <c r="I242" s="87" t="s">
        <v>285</v>
      </c>
      <c r="J242" s="87" t="s">
        <v>285</v>
      </c>
      <c r="K242" s="85" t="s">
        <v>754</v>
      </c>
      <c r="L242" s="85" t="s">
        <v>755</v>
      </c>
      <c r="M242" s="87"/>
      <c r="N242" s="87" t="s">
        <v>756</v>
      </c>
      <c r="O242" s="87" t="s">
        <v>665</v>
      </c>
      <c r="P242" s="87" t="s">
        <v>759</v>
      </c>
      <c r="Q242" s="87" t="s">
        <v>129</v>
      </c>
      <c r="R242" s="130">
        <v>29</v>
      </c>
      <c r="S242" s="88" t="s">
        <v>742</v>
      </c>
      <c r="T242" s="81">
        <v>25</v>
      </c>
      <c r="U242" s="81"/>
      <c r="V242" s="25">
        <f t="shared" si="150"/>
        <v>0</v>
      </c>
      <c r="W242" s="81">
        <v>25</v>
      </c>
      <c r="X242" s="81"/>
      <c r="Y242" s="25">
        <f t="shared" si="1"/>
        <v>0</v>
      </c>
      <c r="Z242" s="81">
        <v>25</v>
      </c>
      <c r="AA242" s="81"/>
      <c r="AB242" s="25">
        <f t="shared" si="2"/>
        <v>0</v>
      </c>
      <c r="AC242" s="81">
        <v>25</v>
      </c>
      <c r="AD242" s="81"/>
      <c r="AE242" s="25">
        <f t="shared" si="3"/>
        <v>0</v>
      </c>
      <c r="AF242" s="137">
        <f t="shared" si="175"/>
        <v>29</v>
      </c>
      <c r="AG242" s="137">
        <f t="shared" si="176"/>
        <v>0</v>
      </c>
      <c r="AH242" s="128">
        <f t="shared" si="130"/>
        <v>0</v>
      </c>
      <c r="AI242" s="103">
        <v>46113</v>
      </c>
      <c r="AJ242" s="103">
        <v>46477</v>
      </c>
      <c r="AK242" s="91" t="s">
        <v>112</v>
      </c>
      <c r="AL242" s="91"/>
      <c r="AM242" s="92">
        <v>0</v>
      </c>
      <c r="AN242" s="93">
        <v>0</v>
      </c>
      <c r="AO242" s="93">
        <v>0</v>
      </c>
      <c r="AP242" s="93">
        <v>0</v>
      </c>
      <c r="AQ242" s="94"/>
      <c r="AR242" s="91" t="s">
        <v>115</v>
      </c>
      <c r="AS242" s="91" t="s">
        <v>750</v>
      </c>
      <c r="AT242" s="149" t="s">
        <v>758</v>
      </c>
      <c r="AU242" s="91" t="s">
        <v>2264</v>
      </c>
      <c r="AV242" s="232" t="s">
        <v>2237</v>
      </c>
      <c r="BA242" s="221">
        <v>0</v>
      </c>
      <c r="BB242" s="222">
        <v>0</v>
      </c>
      <c r="BC242" s="223" t="e">
        <f t="shared" si="151"/>
        <v>#DIV/0!</v>
      </c>
      <c r="BD242" s="221">
        <v>0</v>
      </c>
      <c r="BE242" s="222">
        <v>0</v>
      </c>
      <c r="BF242" s="223" t="e">
        <f t="shared" si="152"/>
        <v>#DIV/0!</v>
      </c>
      <c r="BG242" s="221">
        <v>4</v>
      </c>
      <c r="BH242" s="222"/>
      <c r="BI242" s="223">
        <f t="shared" si="153"/>
        <v>0</v>
      </c>
      <c r="BJ242" s="224">
        <f t="shared" si="154"/>
        <v>4</v>
      </c>
      <c r="BK242" s="225">
        <f t="shared" si="155"/>
        <v>0</v>
      </c>
      <c r="BL242" s="223">
        <f t="shared" si="156"/>
        <v>0</v>
      </c>
      <c r="BM242" s="221">
        <v>6</v>
      </c>
      <c r="BN242" s="222"/>
      <c r="BO242" s="223">
        <f t="shared" si="177"/>
        <v>0</v>
      </c>
      <c r="BP242" s="221">
        <v>3</v>
      </c>
      <c r="BQ242" s="222"/>
      <c r="BR242" s="223">
        <f t="shared" si="178"/>
        <v>0</v>
      </c>
      <c r="BS242" s="221">
        <v>3</v>
      </c>
      <c r="BT242" s="222"/>
      <c r="BU242" s="223">
        <f t="shared" si="179"/>
        <v>0</v>
      </c>
      <c r="BV242" s="224">
        <f t="shared" si="157"/>
        <v>12</v>
      </c>
      <c r="BW242" s="224">
        <f t="shared" si="158"/>
        <v>0</v>
      </c>
      <c r="BX242" s="223">
        <f t="shared" si="159"/>
        <v>0</v>
      </c>
      <c r="BY242" s="223">
        <f t="shared" si="160"/>
        <v>0</v>
      </c>
      <c r="BZ242" s="223">
        <f t="shared" si="161"/>
        <v>0</v>
      </c>
      <c r="CA242" s="226"/>
      <c r="CB242" s="175"/>
      <c r="CC242" s="221">
        <v>3</v>
      </c>
      <c r="CD242" s="222"/>
      <c r="CE242" s="223">
        <f t="shared" si="180"/>
        <v>0</v>
      </c>
      <c r="CF242" s="221">
        <v>4</v>
      </c>
      <c r="CG242" s="222"/>
      <c r="CH242" s="223">
        <f t="shared" si="181"/>
        <v>0</v>
      </c>
      <c r="CI242" s="227"/>
      <c r="CJ242" s="188"/>
      <c r="CK242" s="223" t="e">
        <f t="shared" si="182"/>
        <v>#DIV/0!</v>
      </c>
      <c r="CL242" s="224">
        <f t="shared" si="183"/>
        <v>7</v>
      </c>
      <c r="CM242" s="225">
        <f t="shared" si="184"/>
        <v>0</v>
      </c>
      <c r="CN242" s="223">
        <f t="shared" si="185"/>
        <v>0</v>
      </c>
      <c r="CO242" s="175"/>
      <c r="CP242" s="226">
        <f t="shared" si="186"/>
        <v>23</v>
      </c>
      <c r="CQ242" s="226">
        <f t="shared" si="187"/>
        <v>0</v>
      </c>
      <c r="CR242" s="228">
        <f t="shared" si="188"/>
        <v>0</v>
      </c>
      <c r="CS242" s="261">
        <f t="shared" si="162"/>
        <v>29</v>
      </c>
      <c r="CT242" s="175"/>
      <c r="CU242" s="196">
        <f t="shared" si="163"/>
        <v>8.6999999999999993</v>
      </c>
      <c r="CV242" s="259"/>
      <c r="CW242" s="199">
        <f t="shared" si="164"/>
        <v>0</v>
      </c>
      <c r="CX242" s="196">
        <f t="shared" si="165"/>
        <v>8.6999999999999993</v>
      </c>
      <c r="CY242" s="259"/>
      <c r="CZ242" s="199">
        <f t="shared" si="166"/>
        <v>0</v>
      </c>
      <c r="DA242" s="196">
        <f t="shared" si="167"/>
        <v>8.6999999999999993</v>
      </c>
      <c r="DB242" s="259"/>
      <c r="DC242" s="199">
        <f t="shared" si="168"/>
        <v>0</v>
      </c>
      <c r="DD242" s="196">
        <f t="shared" si="169"/>
        <v>2.9000000000000004</v>
      </c>
      <c r="DE242" s="259"/>
      <c r="DF242" s="199">
        <f t="shared" si="170"/>
        <v>0</v>
      </c>
      <c r="DG242" s="175"/>
      <c r="DH242" s="196">
        <f t="shared" si="171"/>
        <v>29</v>
      </c>
      <c r="DI242" s="196">
        <f t="shared" si="172"/>
        <v>0</v>
      </c>
      <c r="DJ242" s="199">
        <f t="shared" si="173"/>
        <v>0</v>
      </c>
      <c r="DK242" s="265">
        <f t="shared" si="174"/>
        <v>29</v>
      </c>
    </row>
    <row r="243" spans="1:117" x14ac:dyDescent="0.3">
      <c r="A243" s="81">
        <v>239</v>
      </c>
      <c r="B243" s="91" t="s">
        <v>760</v>
      </c>
      <c r="C243" s="91" t="s">
        <v>118</v>
      </c>
      <c r="D243" s="91" t="s">
        <v>119</v>
      </c>
      <c r="E243" s="91" t="s">
        <v>729</v>
      </c>
      <c r="F243" s="91" t="s">
        <v>753</v>
      </c>
      <c r="G243" s="87" t="s">
        <v>711</v>
      </c>
      <c r="H243" s="87" t="s">
        <v>656</v>
      </c>
      <c r="I243" s="87" t="s">
        <v>285</v>
      </c>
      <c r="J243" s="87" t="s">
        <v>761</v>
      </c>
      <c r="K243" s="85" t="s">
        <v>754</v>
      </c>
      <c r="L243" s="85" t="s">
        <v>755</v>
      </c>
      <c r="M243" s="87"/>
      <c r="N243" s="87" t="s">
        <v>762</v>
      </c>
      <c r="O243" s="87" t="s">
        <v>665</v>
      </c>
      <c r="P243" s="87" t="s">
        <v>763</v>
      </c>
      <c r="Q243" s="87" t="s">
        <v>129</v>
      </c>
      <c r="R243" s="130">
        <v>80</v>
      </c>
      <c r="S243" s="88" t="s">
        <v>747</v>
      </c>
      <c r="T243" s="81">
        <v>50</v>
      </c>
      <c r="U243" s="81"/>
      <c r="V243" s="25">
        <f t="shared" si="150"/>
        <v>0</v>
      </c>
      <c r="W243" s="81">
        <v>120</v>
      </c>
      <c r="X243" s="81"/>
      <c r="Y243" s="25">
        <f t="shared" si="1"/>
        <v>0</v>
      </c>
      <c r="Z243" s="81">
        <v>260</v>
      </c>
      <c r="AA243" s="81"/>
      <c r="AB243" s="25">
        <f t="shared" si="2"/>
        <v>0</v>
      </c>
      <c r="AC243" s="81">
        <v>70</v>
      </c>
      <c r="AD243" s="81"/>
      <c r="AE243" s="25">
        <f t="shared" si="3"/>
        <v>0</v>
      </c>
      <c r="AF243" s="137">
        <f t="shared" si="175"/>
        <v>80</v>
      </c>
      <c r="AG243" s="137">
        <f t="shared" si="176"/>
        <v>0</v>
      </c>
      <c r="AH243" s="128">
        <f t="shared" si="130"/>
        <v>0</v>
      </c>
      <c r="AI243" s="103">
        <v>46113</v>
      </c>
      <c r="AJ243" s="103">
        <v>46477</v>
      </c>
      <c r="AK243" s="91" t="s">
        <v>112</v>
      </c>
      <c r="AL243" s="91"/>
      <c r="AM243" s="92">
        <v>0</v>
      </c>
      <c r="AN243" s="93">
        <v>0</v>
      </c>
      <c r="AO243" s="93">
        <v>0</v>
      </c>
      <c r="AP243" s="93">
        <v>0</v>
      </c>
      <c r="AQ243" s="94"/>
      <c r="AR243" s="91" t="s">
        <v>115</v>
      </c>
      <c r="AS243" s="91" t="s">
        <v>750</v>
      </c>
      <c r="AT243" s="149" t="s">
        <v>758</v>
      </c>
      <c r="AU243" s="91" t="s">
        <v>2264</v>
      </c>
      <c r="AV243" s="232" t="s">
        <v>2237</v>
      </c>
      <c r="BA243" s="221">
        <v>3</v>
      </c>
      <c r="BB243" s="222">
        <v>3</v>
      </c>
      <c r="BC243" s="223">
        <f t="shared" si="151"/>
        <v>1</v>
      </c>
      <c r="BD243" s="221">
        <v>8</v>
      </c>
      <c r="BE243" s="222">
        <v>8</v>
      </c>
      <c r="BF243" s="223">
        <f t="shared" si="152"/>
        <v>1</v>
      </c>
      <c r="BG243" s="221">
        <v>9</v>
      </c>
      <c r="BH243" s="222">
        <v>9</v>
      </c>
      <c r="BI243" s="223">
        <f t="shared" si="153"/>
        <v>1</v>
      </c>
      <c r="BJ243" s="224">
        <f t="shared" si="154"/>
        <v>20</v>
      </c>
      <c r="BK243" s="225">
        <f t="shared" si="155"/>
        <v>20</v>
      </c>
      <c r="BL243" s="223">
        <f t="shared" si="156"/>
        <v>1</v>
      </c>
      <c r="BM243" s="221">
        <v>6</v>
      </c>
      <c r="BN243" s="222">
        <v>6</v>
      </c>
      <c r="BO243" s="223">
        <f t="shared" si="177"/>
        <v>1</v>
      </c>
      <c r="BP243" s="221">
        <v>14</v>
      </c>
      <c r="BQ243" s="222">
        <v>14</v>
      </c>
      <c r="BR243" s="223">
        <f t="shared" si="178"/>
        <v>1</v>
      </c>
      <c r="BS243" s="221">
        <v>10</v>
      </c>
      <c r="BT243" s="222">
        <v>9</v>
      </c>
      <c r="BU243" s="223">
        <f t="shared" si="179"/>
        <v>0.9</v>
      </c>
      <c r="BV243" s="224">
        <f t="shared" si="157"/>
        <v>30</v>
      </c>
      <c r="BW243" s="224">
        <f t="shared" si="158"/>
        <v>29</v>
      </c>
      <c r="BX243" s="223">
        <f t="shared" si="159"/>
        <v>0.96666666666666667</v>
      </c>
      <c r="BY243" s="223">
        <f t="shared" si="160"/>
        <v>0.61250000000000004</v>
      </c>
      <c r="BZ243" s="223">
        <f t="shared" si="161"/>
        <v>-0.61250000000000004</v>
      </c>
      <c r="CA243" s="226"/>
      <c r="CB243" s="175"/>
      <c r="CC243" s="221">
        <v>4</v>
      </c>
      <c r="CD243" s="222">
        <v>4</v>
      </c>
      <c r="CE243" s="223">
        <f t="shared" si="180"/>
        <v>1</v>
      </c>
      <c r="CF243" s="221">
        <v>4</v>
      </c>
      <c r="CG243" s="222">
        <v>4</v>
      </c>
      <c r="CH243" s="223">
        <f t="shared" si="181"/>
        <v>1</v>
      </c>
      <c r="CI243" s="227"/>
      <c r="CJ243" s="188"/>
      <c r="CK243" s="223" t="e">
        <f t="shared" si="182"/>
        <v>#DIV/0!</v>
      </c>
      <c r="CL243" s="224">
        <f t="shared" si="183"/>
        <v>8</v>
      </c>
      <c r="CM243" s="225">
        <f t="shared" si="184"/>
        <v>8</v>
      </c>
      <c r="CN243" s="223">
        <f t="shared" si="185"/>
        <v>1</v>
      </c>
      <c r="CO243" s="175"/>
      <c r="CP243" s="226">
        <f t="shared" si="186"/>
        <v>58</v>
      </c>
      <c r="CQ243" s="226">
        <f t="shared" si="187"/>
        <v>57</v>
      </c>
      <c r="CR243" s="228">
        <f t="shared" si="188"/>
        <v>0.98275862068965514</v>
      </c>
      <c r="CS243" s="261">
        <f t="shared" si="162"/>
        <v>23</v>
      </c>
      <c r="CT243" s="175"/>
      <c r="CU243" s="196">
        <f t="shared" si="163"/>
        <v>6.8999999999999995</v>
      </c>
      <c r="CV243" s="259"/>
      <c r="CW243" s="199">
        <f t="shared" si="164"/>
        <v>0</v>
      </c>
      <c r="CX243" s="196">
        <f t="shared" si="165"/>
        <v>6.8999999999999995</v>
      </c>
      <c r="CY243" s="259"/>
      <c r="CZ243" s="199">
        <f t="shared" si="166"/>
        <v>0</v>
      </c>
      <c r="DA243" s="196">
        <f t="shared" si="167"/>
        <v>6.8999999999999995</v>
      </c>
      <c r="DB243" s="259"/>
      <c r="DC243" s="199">
        <f t="shared" si="168"/>
        <v>0</v>
      </c>
      <c r="DD243" s="196">
        <f t="shared" si="169"/>
        <v>2.3000000000000003</v>
      </c>
      <c r="DE243" s="259"/>
      <c r="DF243" s="199">
        <f t="shared" si="170"/>
        <v>0</v>
      </c>
      <c r="DG243" s="175"/>
      <c r="DH243" s="196">
        <f t="shared" si="171"/>
        <v>80</v>
      </c>
      <c r="DI243" s="196">
        <f t="shared" si="172"/>
        <v>57</v>
      </c>
      <c r="DJ243" s="199">
        <f t="shared" si="173"/>
        <v>0.71250000000000002</v>
      </c>
      <c r="DK243" s="265">
        <f t="shared" si="174"/>
        <v>23</v>
      </c>
    </row>
    <row r="244" spans="1:117" x14ac:dyDescent="0.3">
      <c r="A244" s="81">
        <v>240</v>
      </c>
      <c r="B244" s="91" t="s">
        <v>764</v>
      </c>
      <c r="C244" s="91" t="s">
        <v>97</v>
      </c>
      <c r="D244" s="91" t="s">
        <v>119</v>
      </c>
      <c r="E244" s="91" t="s">
        <v>765</v>
      </c>
      <c r="F244" s="91" t="s">
        <v>766</v>
      </c>
      <c r="G244" s="87" t="s">
        <v>767</v>
      </c>
      <c r="H244" s="87" t="s">
        <v>656</v>
      </c>
      <c r="I244" s="87" t="s">
        <v>768</v>
      </c>
      <c r="J244" s="87" t="s">
        <v>769</v>
      </c>
      <c r="K244" s="85" t="s">
        <v>754</v>
      </c>
      <c r="L244" s="85" t="s">
        <v>755</v>
      </c>
      <c r="M244" s="87"/>
      <c r="N244" s="87" t="s">
        <v>770</v>
      </c>
      <c r="O244" s="87" t="s">
        <v>665</v>
      </c>
      <c r="P244" s="87" t="s">
        <v>771</v>
      </c>
      <c r="Q244" s="87" t="s">
        <v>129</v>
      </c>
      <c r="R244" s="130">
        <v>4</v>
      </c>
      <c r="S244" s="88" t="s">
        <v>742</v>
      </c>
      <c r="T244" s="81">
        <v>25</v>
      </c>
      <c r="U244" s="81"/>
      <c r="V244" s="25">
        <f t="shared" si="150"/>
        <v>0</v>
      </c>
      <c r="W244" s="81">
        <v>25</v>
      </c>
      <c r="X244" s="81"/>
      <c r="Y244" s="25">
        <f t="shared" si="1"/>
        <v>0</v>
      </c>
      <c r="Z244" s="81">
        <v>25</v>
      </c>
      <c r="AA244" s="81"/>
      <c r="AB244" s="25">
        <f t="shared" si="2"/>
        <v>0</v>
      </c>
      <c r="AC244" s="81">
        <v>25</v>
      </c>
      <c r="AD244" s="81"/>
      <c r="AE244" s="25">
        <f t="shared" si="3"/>
        <v>0</v>
      </c>
      <c r="AF244" s="137">
        <f t="shared" si="175"/>
        <v>4</v>
      </c>
      <c r="AG244" s="137">
        <f t="shared" si="176"/>
        <v>0</v>
      </c>
      <c r="AH244" s="128">
        <f t="shared" si="130"/>
        <v>0</v>
      </c>
      <c r="AI244" s="103">
        <v>46113</v>
      </c>
      <c r="AJ244" s="103">
        <v>46477</v>
      </c>
      <c r="AK244" s="91" t="s">
        <v>112</v>
      </c>
      <c r="AL244" s="91"/>
      <c r="AM244" s="92">
        <v>0</v>
      </c>
      <c r="AN244" s="93">
        <v>0</v>
      </c>
      <c r="AO244" s="93">
        <v>0</v>
      </c>
      <c r="AP244" s="93">
        <v>0</v>
      </c>
      <c r="AQ244" s="94"/>
      <c r="AR244" s="91" t="s">
        <v>115</v>
      </c>
      <c r="AS244" s="91" t="s">
        <v>750</v>
      </c>
      <c r="AT244" s="149" t="s">
        <v>758</v>
      </c>
      <c r="AU244" s="91" t="s">
        <v>2264</v>
      </c>
      <c r="AV244" s="232" t="s">
        <v>2237</v>
      </c>
      <c r="BA244" s="221">
        <v>0</v>
      </c>
      <c r="BB244" s="222">
        <v>0</v>
      </c>
      <c r="BC244" s="223" t="e">
        <f t="shared" si="151"/>
        <v>#DIV/0!</v>
      </c>
      <c r="BD244" s="221">
        <v>0</v>
      </c>
      <c r="BE244" s="222">
        <v>0</v>
      </c>
      <c r="BF244" s="223" t="e">
        <f t="shared" si="152"/>
        <v>#DIV/0!</v>
      </c>
      <c r="BG244" s="221">
        <v>1</v>
      </c>
      <c r="BH244" s="222">
        <v>1</v>
      </c>
      <c r="BI244" s="223">
        <f t="shared" si="153"/>
        <v>1</v>
      </c>
      <c r="BJ244" s="224">
        <f t="shared" si="154"/>
        <v>1</v>
      </c>
      <c r="BK244" s="225">
        <f t="shared" si="155"/>
        <v>1</v>
      </c>
      <c r="BL244" s="223">
        <f t="shared" si="156"/>
        <v>1</v>
      </c>
      <c r="BM244" s="221">
        <v>0</v>
      </c>
      <c r="BN244" s="222">
        <v>0</v>
      </c>
      <c r="BO244" s="223" t="e">
        <f t="shared" si="177"/>
        <v>#DIV/0!</v>
      </c>
      <c r="BP244" s="221">
        <v>0</v>
      </c>
      <c r="BQ244" s="222">
        <v>0</v>
      </c>
      <c r="BR244" s="223" t="e">
        <f t="shared" si="178"/>
        <v>#DIV/0!</v>
      </c>
      <c r="BS244" s="221">
        <v>1</v>
      </c>
      <c r="BT244" s="222">
        <v>1</v>
      </c>
      <c r="BU244" s="223">
        <f t="shared" si="179"/>
        <v>1</v>
      </c>
      <c r="BV244" s="224">
        <f t="shared" si="157"/>
        <v>1</v>
      </c>
      <c r="BW244" s="224">
        <f t="shared" si="158"/>
        <v>1</v>
      </c>
      <c r="BX244" s="223">
        <f t="shared" si="159"/>
        <v>1</v>
      </c>
      <c r="BY244" s="223">
        <f t="shared" si="160"/>
        <v>0.5</v>
      </c>
      <c r="BZ244" s="223">
        <f t="shared" si="161"/>
        <v>-0.5</v>
      </c>
      <c r="CA244" s="226"/>
      <c r="CB244" s="175"/>
      <c r="CC244" s="221">
        <v>0</v>
      </c>
      <c r="CD244" s="222">
        <v>0</v>
      </c>
      <c r="CE244" s="223" t="e">
        <f t="shared" si="180"/>
        <v>#DIV/0!</v>
      </c>
      <c r="CF244" s="221">
        <v>0</v>
      </c>
      <c r="CG244" s="222">
        <v>0</v>
      </c>
      <c r="CH244" s="223" t="e">
        <f t="shared" si="181"/>
        <v>#DIV/0!</v>
      </c>
      <c r="CI244" s="227"/>
      <c r="CJ244" s="188"/>
      <c r="CK244" s="223" t="e">
        <f t="shared" si="182"/>
        <v>#DIV/0!</v>
      </c>
      <c r="CL244" s="224">
        <f t="shared" si="183"/>
        <v>0</v>
      </c>
      <c r="CM244" s="225">
        <f t="shared" si="184"/>
        <v>0</v>
      </c>
      <c r="CN244" s="223" t="e">
        <f t="shared" si="185"/>
        <v>#DIV/0!</v>
      </c>
      <c r="CO244" s="175"/>
      <c r="CP244" s="226">
        <f t="shared" si="186"/>
        <v>2</v>
      </c>
      <c r="CQ244" s="226">
        <f t="shared" si="187"/>
        <v>2</v>
      </c>
      <c r="CR244" s="228">
        <f t="shared" si="188"/>
        <v>1</v>
      </c>
      <c r="CS244" s="261">
        <f t="shared" si="162"/>
        <v>2</v>
      </c>
      <c r="CT244" s="175"/>
      <c r="CU244" s="196">
        <f t="shared" si="163"/>
        <v>0.6</v>
      </c>
      <c r="CV244" s="259"/>
      <c r="CW244" s="199">
        <f t="shared" si="164"/>
        <v>0</v>
      </c>
      <c r="CX244" s="196">
        <f t="shared" si="165"/>
        <v>0.6</v>
      </c>
      <c r="CY244" s="259"/>
      <c r="CZ244" s="199">
        <f t="shared" si="166"/>
        <v>0</v>
      </c>
      <c r="DA244" s="196">
        <f t="shared" si="167"/>
        <v>0.6</v>
      </c>
      <c r="DB244" s="259"/>
      <c r="DC244" s="199">
        <f t="shared" si="168"/>
        <v>0</v>
      </c>
      <c r="DD244" s="196">
        <f t="shared" si="169"/>
        <v>0.2</v>
      </c>
      <c r="DE244" s="259"/>
      <c r="DF244" s="199">
        <f t="shared" si="170"/>
        <v>0</v>
      </c>
      <c r="DG244" s="175"/>
      <c r="DH244" s="196">
        <f t="shared" si="171"/>
        <v>4</v>
      </c>
      <c r="DI244" s="196">
        <f t="shared" si="172"/>
        <v>2</v>
      </c>
      <c r="DJ244" s="199">
        <f t="shared" si="173"/>
        <v>0.5</v>
      </c>
      <c r="DK244" s="265">
        <f t="shared" si="174"/>
        <v>2</v>
      </c>
    </row>
    <row r="245" spans="1:117" x14ac:dyDescent="0.3">
      <c r="A245" s="81">
        <v>241</v>
      </c>
      <c r="B245" s="91" t="s">
        <v>772</v>
      </c>
      <c r="C245" s="91" t="s">
        <v>118</v>
      </c>
      <c r="D245" s="91" t="s">
        <v>119</v>
      </c>
      <c r="E245" s="91" t="s">
        <v>729</v>
      </c>
      <c r="F245" s="91" t="s">
        <v>753</v>
      </c>
      <c r="G245" s="87" t="s">
        <v>767</v>
      </c>
      <c r="H245" s="87" t="s">
        <v>773</v>
      </c>
      <c r="I245" s="87" t="s">
        <v>340</v>
      </c>
      <c r="J245" s="87" t="s">
        <v>774</v>
      </c>
      <c r="K245" s="85" t="s">
        <v>754</v>
      </c>
      <c r="L245" s="85" t="s">
        <v>755</v>
      </c>
      <c r="M245" s="87"/>
      <c r="N245" s="87" t="s">
        <v>775</v>
      </c>
      <c r="O245" s="87" t="s">
        <v>665</v>
      </c>
      <c r="P245" s="161" t="s">
        <v>776</v>
      </c>
      <c r="Q245" s="87" t="s">
        <v>129</v>
      </c>
      <c r="R245" s="130">
        <v>29</v>
      </c>
      <c r="S245" s="88" t="s">
        <v>742</v>
      </c>
      <c r="T245" s="81">
        <v>1</v>
      </c>
      <c r="U245" s="81"/>
      <c r="V245" s="25">
        <f t="shared" si="150"/>
        <v>0</v>
      </c>
      <c r="W245" s="81">
        <v>1</v>
      </c>
      <c r="X245" s="81"/>
      <c r="Y245" s="25">
        <f t="shared" si="1"/>
        <v>0</v>
      </c>
      <c r="Z245" s="81">
        <v>1</v>
      </c>
      <c r="AA245" s="81"/>
      <c r="AB245" s="25">
        <f t="shared" si="2"/>
        <v>0</v>
      </c>
      <c r="AC245" s="81">
        <v>1</v>
      </c>
      <c r="AD245" s="81"/>
      <c r="AE245" s="25">
        <f t="shared" si="3"/>
        <v>0</v>
      </c>
      <c r="AF245" s="137">
        <f t="shared" si="175"/>
        <v>29</v>
      </c>
      <c r="AG245" s="137">
        <f t="shared" si="176"/>
        <v>0</v>
      </c>
      <c r="AH245" s="128">
        <f t="shared" si="130"/>
        <v>0</v>
      </c>
      <c r="AI245" s="103">
        <v>46054</v>
      </c>
      <c r="AJ245" s="103">
        <v>46387</v>
      </c>
      <c r="AK245" s="91" t="s">
        <v>676</v>
      </c>
      <c r="AL245" s="91"/>
      <c r="AM245" s="92"/>
      <c r="AN245" s="93">
        <v>0</v>
      </c>
      <c r="AO245" s="93">
        <v>0</v>
      </c>
      <c r="AP245" s="93">
        <v>0</v>
      </c>
      <c r="AQ245" s="94"/>
      <c r="AR245" s="91" t="s">
        <v>777</v>
      </c>
      <c r="AS245" s="91" t="s">
        <v>750</v>
      </c>
      <c r="AT245" s="149" t="s">
        <v>778</v>
      </c>
      <c r="AU245" s="91" t="s">
        <v>2264</v>
      </c>
      <c r="AV245" s="232" t="s">
        <v>2237</v>
      </c>
      <c r="BA245" s="221">
        <v>0</v>
      </c>
      <c r="BB245" s="222">
        <v>0</v>
      </c>
      <c r="BC245" s="223" t="e">
        <f t="shared" si="151"/>
        <v>#DIV/0!</v>
      </c>
      <c r="BD245" s="221">
        <v>2</v>
      </c>
      <c r="BE245" s="222">
        <v>0</v>
      </c>
      <c r="BF245" s="223">
        <f t="shared" si="152"/>
        <v>0</v>
      </c>
      <c r="BG245" s="221">
        <v>4</v>
      </c>
      <c r="BH245" s="222">
        <v>0</v>
      </c>
      <c r="BI245" s="223">
        <f t="shared" si="153"/>
        <v>0</v>
      </c>
      <c r="BJ245" s="224">
        <f t="shared" si="154"/>
        <v>6</v>
      </c>
      <c r="BK245" s="225">
        <f t="shared" si="155"/>
        <v>0</v>
      </c>
      <c r="BL245" s="223">
        <f t="shared" si="156"/>
        <v>0</v>
      </c>
      <c r="BM245" s="221">
        <v>3</v>
      </c>
      <c r="BN245" s="222">
        <v>0</v>
      </c>
      <c r="BO245" s="223">
        <f t="shared" si="177"/>
        <v>0</v>
      </c>
      <c r="BP245" s="221">
        <v>3</v>
      </c>
      <c r="BQ245" s="222">
        <v>0</v>
      </c>
      <c r="BR245" s="223">
        <f t="shared" si="178"/>
        <v>0</v>
      </c>
      <c r="BS245" s="221">
        <v>3</v>
      </c>
      <c r="BT245" s="222">
        <v>0</v>
      </c>
      <c r="BU245" s="223">
        <f t="shared" si="179"/>
        <v>0</v>
      </c>
      <c r="BV245" s="224">
        <f t="shared" si="157"/>
        <v>9</v>
      </c>
      <c r="BW245" s="224">
        <f t="shared" si="158"/>
        <v>0</v>
      </c>
      <c r="BX245" s="223">
        <f t="shared" si="159"/>
        <v>0</v>
      </c>
      <c r="BY245" s="223">
        <f t="shared" si="160"/>
        <v>0</v>
      </c>
      <c r="BZ245" s="223">
        <f t="shared" si="161"/>
        <v>0</v>
      </c>
      <c r="CA245" s="226"/>
      <c r="CB245" s="175"/>
      <c r="CC245" s="221">
        <v>3</v>
      </c>
      <c r="CD245" s="222">
        <v>0</v>
      </c>
      <c r="CE245" s="223">
        <f t="shared" si="180"/>
        <v>0</v>
      </c>
      <c r="CF245" s="221">
        <v>4</v>
      </c>
      <c r="CG245" s="222">
        <v>0</v>
      </c>
      <c r="CH245" s="223">
        <f t="shared" si="181"/>
        <v>0</v>
      </c>
      <c r="CI245" s="227"/>
      <c r="CJ245" s="188"/>
      <c r="CK245" s="223" t="e">
        <f t="shared" si="182"/>
        <v>#DIV/0!</v>
      </c>
      <c r="CL245" s="224">
        <f t="shared" si="183"/>
        <v>7</v>
      </c>
      <c r="CM245" s="225">
        <f t="shared" si="184"/>
        <v>0</v>
      </c>
      <c r="CN245" s="223">
        <f t="shared" si="185"/>
        <v>0</v>
      </c>
      <c r="CO245" s="175"/>
      <c r="CP245" s="226">
        <f t="shared" si="186"/>
        <v>22</v>
      </c>
      <c r="CQ245" s="226">
        <f t="shared" si="187"/>
        <v>0</v>
      </c>
      <c r="CR245" s="228">
        <f t="shared" si="188"/>
        <v>0</v>
      </c>
      <c r="CS245" s="261">
        <f t="shared" si="162"/>
        <v>29</v>
      </c>
      <c r="CT245" s="175"/>
      <c r="CU245" s="196">
        <f t="shared" si="163"/>
        <v>8.6999999999999993</v>
      </c>
      <c r="CV245" s="259"/>
      <c r="CW245" s="199">
        <f t="shared" si="164"/>
        <v>0</v>
      </c>
      <c r="CX245" s="196">
        <f t="shared" si="165"/>
        <v>8.6999999999999993</v>
      </c>
      <c r="CY245" s="259"/>
      <c r="CZ245" s="199">
        <f t="shared" si="166"/>
        <v>0</v>
      </c>
      <c r="DA245" s="196">
        <f t="shared" si="167"/>
        <v>8.6999999999999993</v>
      </c>
      <c r="DB245" s="259"/>
      <c r="DC245" s="199">
        <f t="shared" si="168"/>
        <v>0</v>
      </c>
      <c r="DD245" s="196">
        <f t="shared" si="169"/>
        <v>2.9000000000000004</v>
      </c>
      <c r="DE245" s="259"/>
      <c r="DF245" s="199">
        <f t="shared" si="170"/>
        <v>0</v>
      </c>
      <c r="DG245" s="175"/>
      <c r="DH245" s="196">
        <f t="shared" si="171"/>
        <v>29</v>
      </c>
      <c r="DI245" s="196">
        <f t="shared" si="172"/>
        <v>0</v>
      </c>
      <c r="DJ245" s="199">
        <f t="shared" si="173"/>
        <v>0</v>
      </c>
      <c r="DK245" s="265">
        <f t="shared" si="174"/>
        <v>29</v>
      </c>
    </row>
    <row r="246" spans="1:117" x14ac:dyDescent="0.3">
      <c r="A246" s="81">
        <v>242</v>
      </c>
      <c r="B246" s="91" t="s">
        <v>772</v>
      </c>
      <c r="C246" s="91" t="s">
        <v>118</v>
      </c>
      <c r="D246" s="91" t="s">
        <v>119</v>
      </c>
      <c r="E246" s="91" t="s">
        <v>729</v>
      </c>
      <c r="F246" s="91" t="s">
        <v>753</v>
      </c>
      <c r="G246" s="87" t="s">
        <v>711</v>
      </c>
      <c r="H246" s="87" t="s">
        <v>773</v>
      </c>
      <c r="I246" s="87" t="s">
        <v>340</v>
      </c>
      <c r="J246" s="87" t="s">
        <v>774</v>
      </c>
      <c r="K246" s="85" t="s">
        <v>754</v>
      </c>
      <c r="L246" s="85" t="s">
        <v>755</v>
      </c>
      <c r="M246" s="87"/>
      <c r="N246" s="87" t="s">
        <v>779</v>
      </c>
      <c r="O246" s="87" t="s">
        <v>665</v>
      </c>
      <c r="P246" s="161" t="s">
        <v>780</v>
      </c>
      <c r="Q246" s="87" t="s">
        <v>129</v>
      </c>
      <c r="R246" s="130">
        <v>29</v>
      </c>
      <c r="S246" s="88" t="s">
        <v>742</v>
      </c>
      <c r="T246" s="81">
        <v>7</v>
      </c>
      <c r="U246" s="81"/>
      <c r="V246" s="25">
        <f t="shared" si="150"/>
        <v>0</v>
      </c>
      <c r="W246" s="81">
        <v>7</v>
      </c>
      <c r="X246" s="81"/>
      <c r="Y246" s="25">
        <f t="shared" si="1"/>
        <v>0</v>
      </c>
      <c r="Z246" s="81">
        <v>7</v>
      </c>
      <c r="AA246" s="81"/>
      <c r="AB246" s="25">
        <f t="shared" si="2"/>
        <v>0</v>
      </c>
      <c r="AC246" s="81">
        <v>8</v>
      </c>
      <c r="AD246" s="81"/>
      <c r="AE246" s="25">
        <f t="shared" si="3"/>
        <v>0</v>
      </c>
      <c r="AF246" s="137">
        <f t="shared" si="175"/>
        <v>29</v>
      </c>
      <c r="AG246" s="137">
        <f t="shared" si="176"/>
        <v>0</v>
      </c>
      <c r="AH246" s="128">
        <f t="shared" si="130"/>
        <v>0</v>
      </c>
      <c r="AI246" s="103">
        <v>46054</v>
      </c>
      <c r="AJ246" s="103">
        <v>46387</v>
      </c>
      <c r="AK246" s="91" t="s">
        <v>676</v>
      </c>
      <c r="AL246" s="91"/>
      <c r="AM246" s="92"/>
      <c r="AN246" s="93">
        <v>0</v>
      </c>
      <c r="AO246" s="93">
        <v>0</v>
      </c>
      <c r="AP246" s="93">
        <v>0</v>
      </c>
      <c r="AQ246" s="94"/>
      <c r="AR246" s="91" t="s">
        <v>777</v>
      </c>
      <c r="AS246" s="91" t="s">
        <v>750</v>
      </c>
      <c r="AT246" s="149" t="s">
        <v>778</v>
      </c>
      <c r="AU246" s="91" t="s">
        <v>2264</v>
      </c>
      <c r="AV246" s="232" t="s">
        <v>2237</v>
      </c>
      <c r="BA246" s="221">
        <v>0</v>
      </c>
      <c r="BB246" s="222">
        <v>0</v>
      </c>
      <c r="BC246" s="223" t="e">
        <f t="shared" si="151"/>
        <v>#DIV/0!</v>
      </c>
      <c r="BD246" s="221">
        <v>2</v>
      </c>
      <c r="BE246" s="222">
        <v>0</v>
      </c>
      <c r="BF246" s="223">
        <f t="shared" si="152"/>
        <v>0</v>
      </c>
      <c r="BG246" s="221">
        <v>4</v>
      </c>
      <c r="BH246" s="222">
        <v>0</v>
      </c>
      <c r="BI246" s="223">
        <f t="shared" si="153"/>
        <v>0</v>
      </c>
      <c r="BJ246" s="224">
        <f t="shared" si="154"/>
        <v>6</v>
      </c>
      <c r="BK246" s="225">
        <f t="shared" si="155"/>
        <v>0</v>
      </c>
      <c r="BL246" s="223">
        <f t="shared" si="156"/>
        <v>0</v>
      </c>
      <c r="BM246" s="221">
        <v>3</v>
      </c>
      <c r="BN246" s="222">
        <v>0</v>
      </c>
      <c r="BO246" s="223">
        <f t="shared" si="177"/>
        <v>0</v>
      </c>
      <c r="BP246" s="221">
        <v>3</v>
      </c>
      <c r="BQ246" s="222">
        <v>0</v>
      </c>
      <c r="BR246" s="223">
        <f t="shared" si="178"/>
        <v>0</v>
      </c>
      <c r="BS246" s="221">
        <v>3</v>
      </c>
      <c r="BT246" s="222">
        <v>0</v>
      </c>
      <c r="BU246" s="223">
        <f t="shared" si="179"/>
        <v>0</v>
      </c>
      <c r="BV246" s="224">
        <f t="shared" si="157"/>
        <v>9</v>
      </c>
      <c r="BW246" s="224">
        <f t="shared" si="158"/>
        <v>0</v>
      </c>
      <c r="BX246" s="223">
        <f t="shared" si="159"/>
        <v>0</v>
      </c>
      <c r="BY246" s="223">
        <f t="shared" si="160"/>
        <v>0</v>
      </c>
      <c r="BZ246" s="223">
        <f t="shared" si="161"/>
        <v>0</v>
      </c>
      <c r="CA246" s="226"/>
      <c r="CB246" s="175"/>
      <c r="CC246" s="221">
        <v>3</v>
      </c>
      <c r="CD246" s="222">
        <v>0</v>
      </c>
      <c r="CE246" s="223">
        <f t="shared" si="180"/>
        <v>0</v>
      </c>
      <c r="CF246" s="221">
        <v>4</v>
      </c>
      <c r="CG246" s="222">
        <v>0</v>
      </c>
      <c r="CH246" s="223">
        <f t="shared" si="181"/>
        <v>0</v>
      </c>
      <c r="CI246" s="227"/>
      <c r="CJ246" s="188"/>
      <c r="CK246" s="223" t="e">
        <f t="shared" si="182"/>
        <v>#DIV/0!</v>
      </c>
      <c r="CL246" s="224">
        <f t="shared" si="183"/>
        <v>7</v>
      </c>
      <c r="CM246" s="225">
        <f t="shared" si="184"/>
        <v>0</v>
      </c>
      <c r="CN246" s="223">
        <f t="shared" si="185"/>
        <v>0</v>
      </c>
      <c r="CO246" s="175"/>
      <c r="CP246" s="226">
        <f t="shared" si="186"/>
        <v>22</v>
      </c>
      <c r="CQ246" s="226">
        <f t="shared" si="187"/>
        <v>0</v>
      </c>
      <c r="CR246" s="228">
        <f t="shared" si="188"/>
        <v>0</v>
      </c>
      <c r="CS246" s="261">
        <f t="shared" si="162"/>
        <v>29</v>
      </c>
      <c r="CT246" s="175"/>
      <c r="CU246" s="196">
        <f t="shared" si="163"/>
        <v>8.6999999999999993</v>
      </c>
      <c r="CV246" s="259"/>
      <c r="CW246" s="199">
        <f t="shared" si="164"/>
        <v>0</v>
      </c>
      <c r="CX246" s="196">
        <f t="shared" si="165"/>
        <v>8.6999999999999993</v>
      </c>
      <c r="CY246" s="259"/>
      <c r="CZ246" s="199">
        <f t="shared" si="166"/>
        <v>0</v>
      </c>
      <c r="DA246" s="196">
        <f t="shared" si="167"/>
        <v>8.6999999999999993</v>
      </c>
      <c r="DB246" s="259"/>
      <c r="DC246" s="199">
        <f t="shared" si="168"/>
        <v>0</v>
      </c>
      <c r="DD246" s="196">
        <f t="shared" si="169"/>
        <v>2.9000000000000004</v>
      </c>
      <c r="DE246" s="259"/>
      <c r="DF246" s="199">
        <f t="shared" si="170"/>
        <v>0</v>
      </c>
      <c r="DG246" s="175"/>
      <c r="DH246" s="196">
        <f t="shared" si="171"/>
        <v>29</v>
      </c>
      <c r="DI246" s="196">
        <f t="shared" si="172"/>
        <v>0</v>
      </c>
      <c r="DJ246" s="199">
        <f t="shared" si="173"/>
        <v>0</v>
      </c>
      <c r="DK246" s="265">
        <f t="shared" si="174"/>
        <v>29</v>
      </c>
    </row>
    <row r="247" spans="1:117" x14ac:dyDescent="0.3">
      <c r="A247" s="81">
        <v>243</v>
      </c>
      <c r="B247" s="91" t="s">
        <v>760</v>
      </c>
      <c r="C247" s="91" t="s">
        <v>118</v>
      </c>
      <c r="D247" s="91" t="s">
        <v>119</v>
      </c>
      <c r="E247" s="91" t="s">
        <v>729</v>
      </c>
      <c r="F247" s="91" t="s">
        <v>753</v>
      </c>
      <c r="G247" s="87" t="s">
        <v>711</v>
      </c>
      <c r="H247" s="87" t="s">
        <v>773</v>
      </c>
      <c r="I247" s="87" t="s">
        <v>340</v>
      </c>
      <c r="J247" s="87" t="s">
        <v>774</v>
      </c>
      <c r="K247" s="85" t="s">
        <v>754</v>
      </c>
      <c r="L247" s="85" t="s">
        <v>755</v>
      </c>
      <c r="M247" s="87"/>
      <c r="N247" s="87" t="s">
        <v>781</v>
      </c>
      <c r="O247" s="87" t="s">
        <v>659</v>
      </c>
      <c r="P247" s="87" t="s">
        <v>782</v>
      </c>
      <c r="Q247" s="87" t="s">
        <v>129</v>
      </c>
      <c r="R247" s="130">
        <v>70</v>
      </c>
      <c r="S247" s="88" t="s">
        <v>747</v>
      </c>
      <c r="T247" s="81">
        <v>20</v>
      </c>
      <c r="U247" s="81"/>
      <c r="V247" s="25">
        <f t="shared" si="150"/>
        <v>0</v>
      </c>
      <c r="W247" s="81">
        <v>20</v>
      </c>
      <c r="X247" s="81"/>
      <c r="Y247" s="25">
        <f t="shared" si="1"/>
        <v>0</v>
      </c>
      <c r="Z247" s="81">
        <v>20</v>
      </c>
      <c r="AA247" s="81"/>
      <c r="AB247" s="25">
        <f t="shared" si="2"/>
        <v>0</v>
      </c>
      <c r="AC247" s="81">
        <v>20</v>
      </c>
      <c r="AD247" s="81"/>
      <c r="AE247" s="25">
        <f t="shared" si="3"/>
        <v>0</v>
      </c>
      <c r="AF247" s="137">
        <f t="shared" si="175"/>
        <v>70</v>
      </c>
      <c r="AG247" s="137">
        <f t="shared" si="176"/>
        <v>0</v>
      </c>
      <c r="AH247" s="128">
        <f t="shared" si="130"/>
        <v>0</v>
      </c>
      <c r="AI247" s="103">
        <v>46054</v>
      </c>
      <c r="AJ247" s="103">
        <v>46387</v>
      </c>
      <c r="AK247" s="91" t="s">
        <v>676</v>
      </c>
      <c r="AL247" s="91"/>
      <c r="AM247" s="92"/>
      <c r="AN247" s="93">
        <v>0</v>
      </c>
      <c r="AO247" s="93">
        <v>0</v>
      </c>
      <c r="AP247" s="93">
        <v>0</v>
      </c>
      <c r="AQ247" s="94"/>
      <c r="AR247" s="91" t="s">
        <v>783</v>
      </c>
      <c r="AS247" s="91" t="s">
        <v>750</v>
      </c>
      <c r="AT247" s="149" t="s">
        <v>784</v>
      </c>
      <c r="AU247" s="91" t="s">
        <v>2264</v>
      </c>
      <c r="AV247" s="232" t="s">
        <v>2237</v>
      </c>
      <c r="AW247" s="126" t="s">
        <v>2268</v>
      </c>
      <c r="BA247" s="221">
        <v>7</v>
      </c>
      <c r="BB247" s="222">
        <v>0</v>
      </c>
      <c r="BC247" s="223">
        <f t="shared" si="151"/>
        <v>0</v>
      </c>
      <c r="BD247" s="221">
        <v>7</v>
      </c>
      <c r="BE247" s="222">
        <v>0</v>
      </c>
      <c r="BF247" s="223">
        <f t="shared" si="152"/>
        <v>0</v>
      </c>
      <c r="BG247" s="221">
        <v>6</v>
      </c>
      <c r="BH247" s="222">
        <v>0</v>
      </c>
      <c r="BI247" s="223">
        <f t="shared" si="153"/>
        <v>0</v>
      </c>
      <c r="BJ247" s="224">
        <f t="shared" si="154"/>
        <v>20</v>
      </c>
      <c r="BK247" s="225">
        <f t="shared" si="155"/>
        <v>0</v>
      </c>
      <c r="BL247" s="223">
        <f t="shared" si="156"/>
        <v>0</v>
      </c>
      <c r="BM247" s="221">
        <v>6</v>
      </c>
      <c r="BN247" s="222">
        <v>6</v>
      </c>
      <c r="BO247" s="223">
        <f t="shared" si="177"/>
        <v>1</v>
      </c>
      <c r="BP247" s="221">
        <v>6</v>
      </c>
      <c r="BQ247" s="222">
        <v>6</v>
      </c>
      <c r="BR247" s="223">
        <f t="shared" si="178"/>
        <v>1</v>
      </c>
      <c r="BS247" s="221">
        <v>5</v>
      </c>
      <c r="BT247" s="222">
        <v>5</v>
      </c>
      <c r="BU247" s="223">
        <f t="shared" si="179"/>
        <v>1</v>
      </c>
      <c r="BV247" s="224">
        <f t="shared" si="157"/>
        <v>17</v>
      </c>
      <c r="BW247" s="224">
        <f t="shared" si="158"/>
        <v>17</v>
      </c>
      <c r="BX247" s="223">
        <f t="shared" si="159"/>
        <v>1</v>
      </c>
      <c r="BY247" s="223">
        <f t="shared" si="160"/>
        <v>0.24285714285714285</v>
      </c>
      <c r="BZ247" s="223">
        <f t="shared" si="161"/>
        <v>-0.24285714285714285</v>
      </c>
      <c r="CA247" s="226"/>
      <c r="CB247" s="175"/>
      <c r="CC247" s="221">
        <v>7</v>
      </c>
      <c r="CD247" s="222">
        <v>0</v>
      </c>
      <c r="CE247" s="223">
        <f t="shared" si="180"/>
        <v>0</v>
      </c>
      <c r="CF247" s="221">
        <v>7</v>
      </c>
      <c r="CG247" s="222">
        <v>8</v>
      </c>
      <c r="CH247" s="223">
        <f t="shared" si="181"/>
        <v>1.1428571428571428</v>
      </c>
      <c r="CI247" s="227"/>
      <c r="CJ247" s="188"/>
      <c r="CK247" s="223" t="e">
        <f t="shared" si="182"/>
        <v>#DIV/0!</v>
      </c>
      <c r="CL247" s="224">
        <f t="shared" si="183"/>
        <v>14</v>
      </c>
      <c r="CM247" s="225">
        <f t="shared" si="184"/>
        <v>8</v>
      </c>
      <c r="CN247" s="223">
        <f t="shared" si="185"/>
        <v>0.5714285714285714</v>
      </c>
      <c r="CO247" s="175"/>
      <c r="CP247" s="226">
        <f t="shared" si="186"/>
        <v>51</v>
      </c>
      <c r="CQ247" s="226">
        <f t="shared" si="187"/>
        <v>25</v>
      </c>
      <c r="CR247" s="228">
        <f t="shared" si="188"/>
        <v>0.49019607843137253</v>
      </c>
      <c r="CS247" s="261">
        <f t="shared" si="162"/>
        <v>45</v>
      </c>
      <c r="CT247" s="175"/>
      <c r="CU247" s="196">
        <f t="shared" si="163"/>
        <v>13.5</v>
      </c>
      <c r="CV247" s="259"/>
      <c r="CW247" s="199">
        <f t="shared" si="164"/>
        <v>0</v>
      </c>
      <c r="CX247" s="196">
        <f t="shared" si="165"/>
        <v>13.5</v>
      </c>
      <c r="CY247" s="259"/>
      <c r="CZ247" s="199">
        <f t="shared" si="166"/>
        <v>0</v>
      </c>
      <c r="DA247" s="196">
        <f t="shared" si="167"/>
        <v>13.5</v>
      </c>
      <c r="DB247" s="259"/>
      <c r="DC247" s="199">
        <f t="shared" si="168"/>
        <v>0</v>
      </c>
      <c r="DD247" s="196">
        <f t="shared" si="169"/>
        <v>4.5</v>
      </c>
      <c r="DE247" s="259"/>
      <c r="DF247" s="199">
        <f t="shared" si="170"/>
        <v>0</v>
      </c>
      <c r="DG247" s="175"/>
      <c r="DH247" s="196">
        <f t="shared" si="171"/>
        <v>70</v>
      </c>
      <c r="DI247" s="196">
        <f t="shared" si="172"/>
        <v>25</v>
      </c>
      <c r="DJ247" s="199">
        <f t="shared" si="173"/>
        <v>0.35714285714285715</v>
      </c>
      <c r="DK247" s="265">
        <f t="shared" si="174"/>
        <v>45</v>
      </c>
    </row>
    <row r="248" spans="1:117" x14ac:dyDescent="0.3">
      <c r="A248" s="81">
        <v>244</v>
      </c>
      <c r="B248" s="91" t="s">
        <v>760</v>
      </c>
      <c r="C248" s="91" t="s">
        <v>118</v>
      </c>
      <c r="D248" s="91" t="s">
        <v>119</v>
      </c>
      <c r="E248" s="91" t="s">
        <v>729</v>
      </c>
      <c r="F248" s="91" t="s">
        <v>753</v>
      </c>
      <c r="G248" s="87" t="s">
        <v>711</v>
      </c>
      <c r="H248" s="87" t="s">
        <v>773</v>
      </c>
      <c r="I248" s="87" t="s">
        <v>413</v>
      </c>
      <c r="J248" s="87" t="s">
        <v>413</v>
      </c>
      <c r="K248" s="85" t="s">
        <v>754</v>
      </c>
      <c r="L248" s="85" t="s">
        <v>755</v>
      </c>
      <c r="M248" s="87"/>
      <c r="N248" s="87" t="s">
        <v>785</v>
      </c>
      <c r="O248" s="87" t="s">
        <v>659</v>
      </c>
      <c r="P248" s="161" t="s">
        <v>786</v>
      </c>
      <c r="Q248" s="87" t="s">
        <v>129</v>
      </c>
      <c r="R248" s="130">
        <v>100</v>
      </c>
      <c r="S248" s="88" t="s">
        <v>747</v>
      </c>
      <c r="T248" s="81">
        <v>1</v>
      </c>
      <c r="U248" s="81"/>
      <c r="V248" s="25">
        <f t="shared" si="150"/>
        <v>0</v>
      </c>
      <c r="W248" s="81">
        <v>1</v>
      </c>
      <c r="X248" s="81"/>
      <c r="Y248" s="25">
        <f t="shared" si="1"/>
        <v>0</v>
      </c>
      <c r="Z248" s="81">
        <v>1</v>
      </c>
      <c r="AA248" s="81"/>
      <c r="AB248" s="25">
        <f t="shared" si="2"/>
        <v>0</v>
      </c>
      <c r="AC248" s="81">
        <v>1</v>
      </c>
      <c r="AD248" s="81"/>
      <c r="AE248" s="25">
        <f t="shared" si="3"/>
        <v>0</v>
      </c>
      <c r="AF248" s="137">
        <f t="shared" si="175"/>
        <v>100</v>
      </c>
      <c r="AG248" s="137">
        <f t="shared" si="176"/>
        <v>0</v>
      </c>
      <c r="AH248" s="128">
        <f t="shared" si="130"/>
        <v>0</v>
      </c>
      <c r="AI248" s="103">
        <v>46054</v>
      </c>
      <c r="AJ248" s="103">
        <v>46387</v>
      </c>
      <c r="AK248" s="91" t="s">
        <v>676</v>
      </c>
      <c r="AL248" s="91"/>
      <c r="AM248" s="92"/>
      <c r="AN248" s="93">
        <v>0</v>
      </c>
      <c r="AO248" s="93">
        <v>0</v>
      </c>
      <c r="AP248" s="93">
        <v>0</v>
      </c>
      <c r="AQ248" s="94"/>
      <c r="AR248" s="91" t="s">
        <v>115</v>
      </c>
      <c r="AS248" s="91" t="s">
        <v>750</v>
      </c>
      <c r="AT248" s="149" t="s">
        <v>787</v>
      </c>
      <c r="AU248" s="91" t="s">
        <v>2264</v>
      </c>
      <c r="AV248" s="232" t="s">
        <v>2237</v>
      </c>
      <c r="AW248" s="126" t="s">
        <v>2268</v>
      </c>
      <c r="BA248" s="221">
        <v>0</v>
      </c>
      <c r="BB248" s="222">
        <v>0</v>
      </c>
      <c r="BC248" s="223" t="e">
        <f t="shared" si="151"/>
        <v>#DIV/0!</v>
      </c>
      <c r="BD248" s="221">
        <v>0</v>
      </c>
      <c r="BE248" s="222">
        <v>0</v>
      </c>
      <c r="BF248" s="223" t="e">
        <f t="shared" si="152"/>
        <v>#DIV/0!</v>
      </c>
      <c r="BG248" s="221">
        <v>0</v>
      </c>
      <c r="BH248" s="222">
        <v>0</v>
      </c>
      <c r="BI248" s="223" t="e">
        <f t="shared" si="153"/>
        <v>#DIV/0!</v>
      </c>
      <c r="BJ248" s="224">
        <f t="shared" si="154"/>
        <v>0</v>
      </c>
      <c r="BK248" s="225">
        <f t="shared" si="155"/>
        <v>0</v>
      </c>
      <c r="BL248" s="223" t="e">
        <f t="shared" si="156"/>
        <v>#DIV/0!</v>
      </c>
      <c r="BM248" s="221">
        <v>0</v>
      </c>
      <c r="BN248" s="222">
        <v>0</v>
      </c>
      <c r="BO248" s="223" t="e">
        <f t="shared" si="177"/>
        <v>#DIV/0!</v>
      </c>
      <c r="BP248" s="221">
        <v>0</v>
      </c>
      <c r="BQ248" s="222">
        <v>0</v>
      </c>
      <c r="BR248" s="223" t="e">
        <f t="shared" si="178"/>
        <v>#DIV/0!</v>
      </c>
      <c r="BS248" s="221">
        <v>0</v>
      </c>
      <c r="BT248" s="222">
        <v>0</v>
      </c>
      <c r="BU248" s="223" t="e">
        <f t="shared" si="179"/>
        <v>#DIV/0!</v>
      </c>
      <c r="BV248" s="224">
        <f t="shared" si="157"/>
        <v>0</v>
      </c>
      <c r="BW248" s="224">
        <f t="shared" si="158"/>
        <v>0</v>
      </c>
      <c r="BX248" s="223" t="e">
        <f t="shared" si="159"/>
        <v>#DIV/0!</v>
      </c>
      <c r="BY248" s="223">
        <f t="shared" si="160"/>
        <v>0</v>
      </c>
      <c r="BZ248" s="223">
        <f t="shared" si="161"/>
        <v>0</v>
      </c>
      <c r="CA248" s="226"/>
      <c r="CB248" s="175"/>
      <c r="CC248" s="221"/>
      <c r="CD248" s="222"/>
      <c r="CE248" s="223" t="e">
        <f t="shared" si="180"/>
        <v>#DIV/0!</v>
      </c>
      <c r="CF248" s="221"/>
      <c r="CG248" s="222"/>
      <c r="CH248" s="223" t="e">
        <f t="shared" si="181"/>
        <v>#DIV/0!</v>
      </c>
      <c r="CI248" s="227"/>
      <c r="CJ248" s="188"/>
      <c r="CK248" s="223" t="e">
        <f t="shared" si="182"/>
        <v>#DIV/0!</v>
      </c>
      <c r="CL248" s="224">
        <f t="shared" si="183"/>
        <v>0</v>
      </c>
      <c r="CM248" s="225">
        <f t="shared" si="184"/>
        <v>0</v>
      </c>
      <c r="CN248" s="223" t="e">
        <f t="shared" si="185"/>
        <v>#DIV/0!</v>
      </c>
      <c r="CO248" s="175"/>
      <c r="CP248" s="226">
        <f t="shared" si="186"/>
        <v>0</v>
      </c>
      <c r="CQ248" s="226">
        <f t="shared" si="187"/>
        <v>0</v>
      </c>
      <c r="CR248" s="228" t="e">
        <f t="shared" si="188"/>
        <v>#DIV/0!</v>
      </c>
      <c r="CS248" s="261">
        <f t="shared" si="162"/>
        <v>100</v>
      </c>
      <c r="CT248" s="175"/>
      <c r="CU248" s="196">
        <f t="shared" si="163"/>
        <v>30</v>
      </c>
      <c r="CV248" s="259"/>
      <c r="CW248" s="199">
        <f t="shared" si="164"/>
        <v>0</v>
      </c>
      <c r="CX248" s="196">
        <f t="shared" si="165"/>
        <v>30</v>
      </c>
      <c r="CY248" s="259"/>
      <c r="CZ248" s="199">
        <f t="shared" si="166"/>
        <v>0</v>
      </c>
      <c r="DA248" s="196">
        <f t="shared" si="167"/>
        <v>30</v>
      </c>
      <c r="DB248" s="259"/>
      <c r="DC248" s="199">
        <f t="shared" si="168"/>
        <v>0</v>
      </c>
      <c r="DD248" s="196">
        <f t="shared" si="169"/>
        <v>10</v>
      </c>
      <c r="DE248" s="259"/>
      <c r="DF248" s="199">
        <f t="shared" si="170"/>
        <v>0</v>
      </c>
      <c r="DG248" s="175"/>
      <c r="DH248" s="196">
        <f t="shared" si="171"/>
        <v>100</v>
      </c>
      <c r="DI248" s="196">
        <f t="shared" si="172"/>
        <v>0</v>
      </c>
      <c r="DJ248" s="199">
        <f t="shared" si="173"/>
        <v>0</v>
      </c>
      <c r="DK248" s="265">
        <f t="shared" si="174"/>
        <v>100</v>
      </c>
    </row>
    <row r="249" spans="1:117" x14ac:dyDescent="0.3">
      <c r="A249" s="81">
        <v>245</v>
      </c>
      <c r="B249" s="91" t="s">
        <v>760</v>
      </c>
      <c r="C249" s="91" t="s">
        <v>118</v>
      </c>
      <c r="D249" s="91" t="s">
        <v>119</v>
      </c>
      <c r="E249" s="91" t="s">
        <v>729</v>
      </c>
      <c r="F249" s="91" t="s">
        <v>753</v>
      </c>
      <c r="G249" s="87" t="s">
        <v>711</v>
      </c>
      <c r="H249" s="87" t="s">
        <v>773</v>
      </c>
      <c r="I249" s="87" t="s">
        <v>413</v>
      </c>
      <c r="J249" s="87" t="s">
        <v>413</v>
      </c>
      <c r="K249" s="85" t="s">
        <v>754</v>
      </c>
      <c r="L249" s="85" t="s">
        <v>755</v>
      </c>
      <c r="M249" s="87"/>
      <c r="N249" s="87" t="s">
        <v>788</v>
      </c>
      <c r="O249" s="87" t="s">
        <v>659</v>
      </c>
      <c r="P249" s="87" t="s">
        <v>789</v>
      </c>
      <c r="Q249" s="87" t="s">
        <v>129</v>
      </c>
      <c r="R249" s="130">
        <v>4</v>
      </c>
      <c r="S249" s="88" t="s">
        <v>111</v>
      </c>
      <c r="T249" s="81">
        <v>7</v>
      </c>
      <c r="U249" s="81"/>
      <c r="V249" s="25">
        <f t="shared" si="150"/>
        <v>0</v>
      </c>
      <c r="W249" s="81">
        <v>7</v>
      </c>
      <c r="X249" s="81"/>
      <c r="Y249" s="25">
        <f t="shared" si="1"/>
        <v>0</v>
      </c>
      <c r="Z249" s="81">
        <v>7</v>
      </c>
      <c r="AA249" s="81"/>
      <c r="AB249" s="25">
        <f t="shared" si="2"/>
        <v>0</v>
      </c>
      <c r="AC249" s="81">
        <v>8</v>
      </c>
      <c r="AD249" s="81"/>
      <c r="AE249" s="25">
        <f t="shared" si="3"/>
        <v>0</v>
      </c>
      <c r="AF249" s="137">
        <f t="shared" si="175"/>
        <v>4</v>
      </c>
      <c r="AG249" s="137">
        <f t="shared" si="176"/>
        <v>0</v>
      </c>
      <c r="AH249" s="128">
        <f t="shared" si="130"/>
        <v>0</v>
      </c>
      <c r="AI249" s="103">
        <v>46054</v>
      </c>
      <c r="AJ249" s="103">
        <v>46387</v>
      </c>
      <c r="AK249" s="91" t="s">
        <v>676</v>
      </c>
      <c r="AL249" s="91"/>
      <c r="AM249" s="92"/>
      <c r="AN249" s="93">
        <v>0</v>
      </c>
      <c r="AO249" s="93">
        <v>0</v>
      </c>
      <c r="AP249" s="93">
        <v>0</v>
      </c>
      <c r="AQ249" s="94"/>
      <c r="AR249" s="91" t="s">
        <v>115</v>
      </c>
      <c r="AS249" s="91" t="s">
        <v>750</v>
      </c>
      <c r="AT249" s="149" t="s">
        <v>784</v>
      </c>
      <c r="AU249" s="91" t="s">
        <v>2264</v>
      </c>
      <c r="AV249" s="232" t="s">
        <v>2237</v>
      </c>
      <c r="AW249" s="126" t="s">
        <v>2268</v>
      </c>
      <c r="BA249" s="221">
        <v>0</v>
      </c>
      <c r="BB249" s="222">
        <v>0</v>
      </c>
      <c r="BC249" s="223" t="e">
        <f t="shared" si="151"/>
        <v>#DIV/0!</v>
      </c>
      <c r="BD249" s="221">
        <v>0</v>
      </c>
      <c r="BE249" s="222">
        <v>0</v>
      </c>
      <c r="BF249" s="223" t="e">
        <f t="shared" si="152"/>
        <v>#DIV/0!</v>
      </c>
      <c r="BG249" s="221">
        <v>1</v>
      </c>
      <c r="BH249" s="222">
        <v>1</v>
      </c>
      <c r="BI249" s="223">
        <f t="shared" si="153"/>
        <v>1</v>
      </c>
      <c r="BJ249" s="224">
        <f t="shared" si="154"/>
        <v>1</v>
      </c>
      <c r="BK249" s="225">
        <f t="shared" si="155"/>
        <v>1</v>
      </c>
      <c r="BL249" s="223">
        <f t="shared" si="156"/>
        <v>1</v>
      </c>
      <c r="BM249" s="221">
        <v>0</v>
      </c>
      <c r="BN249" s="222">
        <v>0</v>
      </c>
      <c r="BO249" s="223" t="e">
        <f t="shared" si="177"/>
        <v>#DIV/0!</v>
      </c>
      <c r="BP249" s="221">
        <v>0</v>
      </c>
      <c r="BQ249" s="222">
        <v>0</v>
      </c>
      <c r="BR249" s="223" t="e">
        <f t="shared" si="178"/>
        <v>#DIV/0!</v>
      </c>
      <c r="BS249" s="221">
        <v>1</v>
      </c>
      <c r="BT249" s="222">
        <v>1</v>
      </c>
      <c r="BU249" s="223">
        <f t="shared" si="179"/>
        <v>1</v>
      </c>
      <c r="BV249" s="224">
        <f t="shared" si="157"/>
        <v>1</v>
      </c>
      <c r="BW249" s="224">
        <f t="shared" si="158"/>
        <v>1</v>
      </c>
      <c r="BX249" s="223">
        <f t="shared" si="159"/>
        <v>1</v>
      </c>
      <c r="BY249" s="223">
        <f t="shared" si="160"/>
        <v>0.5</v>
      </c>
      <c r="BZ249" s="223">
        <f t="shared" si="161"/>
        <v>-0.5</v>
      </c>
      <c r="CA249" s="226"/>
      <c r="CB249" s="175"/>
      <c r="CC249" s="221">
        <v>0</v>
      </c>
      <c r="CD249" s="222">
        <v>0</v>
      </c>
      <c r="CE249" s="223" t="e">
        <f t="shared" si="180"/>
        <v>#DIV/0!</v>
      </c>
      <c r="CF249" s="221">
        <v>0</v>
      </c>
      <c r="CG249" s="222">
        <v>0</v>
      </c>
      <c r="CH249" s="223" t="e">
        <f t="shared" si="181"/>
        <v>#DIV/0!</v>
      </c>
      <c r="CI249" s="227"/>
      <c r="CJ249" s="188"/>
      <c r="CK249" s="223" t="e">
        <f t="shared" si="182"/>
        <v>#DIV/0!</v>
      </c>
      <c r="CL249" s="224">
        <f t="shared" si="183"/>
        <v>0</v>
      </c>
      <c r="CM249" s="225">
        <f t="shared" si="184"/>
        <v>0</v>
      </c>
      <c r="CN249" s="223" t="e">
        <f t="shared" si="185"/>
        <v>#DIV/0!</v>
      </c>
      <c r="CO249" s="175"/>
      <c r="CP249" s="226">
        <f t="shared" si="186"/>
        <v>2</v>
      </c>
      <c r="CQ249" s="226">
        <f t="shared" si="187"/>
        <v>2</v>
      </c>
      <c r="CR249" s="228">
        <f t="shared" si="188"/>
        <v>1</v>
      </c>
      <c r="CS249" s="261">
        <f t="shared" si="162"/>
        <v>2</v>
      </c>
      <c r="CT249" s="175"/>
      <c r="CU249" s="196">
        <f t="shared" si="163"/>
        <v>0.6</v>
      </c>
      <c r="CV249" s="259"/>
      <c r="CW249" s="199">
        <f t="shared" si="164"/>
        <v>0</v>
      </c>
      <c r="CX249" s="196">
        <f t="shared" si="165"/>
        <v>0.6</v>
      </c>
      <c r="CY249" s="259"/>
      <c r="CZ249" s="199">
        <f t="shared" si="166"/>
        <v>0</v>
      </c>
      <c r="DA249" s="196">
        <f t="shared" si="167"/>
        <v>0.6</v>
      </c>
      <c r="DB249" s="259"/>
      <c r="DC249" s="199">
        <f t="shared" si="168"/>
        <v>0</v>
      </c>
      <c r="DD249" s="196">
        <f t="shared" si="169"/>
        <v>0.2</v>
      </c>
      <c r="DE249" s="259"/>
      <c r="DF249" s="199">
        <f t="shared" si="170"/>
        <v>0</v>
      </c>
      <c r="DG249" s="175"/>
      <c r="DH249" s="196">
        <f t="shared" si="171"/>
        <v>4</v>
      </c>
      <c r="DI249" s="196">
        <f t="shared" si="172"/>
        <v>2</v>
      </c>
      <c r="DJ249" s="199">
        <f t="shared" si="173"/>
        <v>0.5</v>
      </c>
      <c r="DK249" s="265">
        <f t="shared" si="174"/>
        <v>2</v>
      </c>
    </row>
    <row r="250" spans="1:117" x14ac:dyDescent="0.3">
      <c r="A250" s="81">
        <v>246</v>
      </c>
      <c r="B250" s="91" t="s">
        <v>760</v>
      </c>
      <c r="C250" s="91" t="s">
        <v>118</v>
      </c>
      <c r="D250" s="91" t="s">
        <v>119</v>
      </c>
      <c r="E250" s="91" t="s">
        <v>729</v>
      </c>
      <c r="F250" s="91" t="s">
        <v>753</v>
      </c>
      <c r="G250" s="87" t="s">
        <v>711</v>
      </c>
      <c r="H250" s="87" t="s">
        <v>773</v>
      </c>
      <c r="I250" s="87" t="s">
        <v>413</v>
      </c>
      <c r="J250" s="87" t="s">
        <v>413</v>
      </c>
      <c r="K250" s="85" t="s">
        <v>754</v>
      </c>
      <c r="L250" s="85" t="s">
        <v>755</v>
      </c>
      <c r="M250" s="87"/>
      <c r="N250" s="87" t="s">
        <v>790</v>
      </c>
      <c r="O250" s="87" t="s">
        <v>659</v>
      </c>
      <c r="P250" s="87" t="s">
        <v>791</v>
      </c>
      <c r="Q250" s="87" t="s">
        <v>129</v>
      </c>
      <c r="R250" s="130">
        <v>100</v>
      </c>
      <c r="S250" s="88" t="s">
        <v>745</v>
      </c>
      <c r="T250" s="81">
        <v>7</v>
      </c>
      <c r="U250" s="81"/>
      <c r="V250" s="25">
        <f t="shared" si="150"/>
        <v>0</v>
      </c>
      <c r="W250" s="81">
        <v>7</v>
      </c>
      <c r="X250" s="81"/>
      <c r="Y250" s="25">
        <f t="shared" si="1"/>
        <v>0</v>
      </c>
      <c r="Z250" s="81">
        <v>7</v>
      </c>
      <c r="AA250" s="81"/>
      <c r="AB250" s="25">
        <f t="shared" si="2"/>
        <v>0</v>
      </c>
      <c r="AC250" s="81">
        <v>8</v>
      </c>
      <c r="AD250" s="81"/>
      <c r="AE250" s="25">
        <f t="shared" si="3"/>
        <v>0</v>
      </c>
      <c r="AF250" s="137">
        <f t="shared" si="175"/>
        <v>100</v>
      </c>
      <c r="AG250" s="137">
        <f t="shared" si="176"/>
        <v>0</v>
      </c>
      <c r="AH250" s="128">
        <f t="shared" si="130"/>
        <v>0</v>
      </c>
      <c r="AI250" s="103">
        <v>46054</v>
      </c>
      <c r="AJ250" s="103">
        <v>46387</v>
      </c>
      <c r="AK250" s="91" t="s">
        <v>676</v>
      </c>
      <c r="AL250" s="91"/>
      <c r="AM250" s="92"/>
      <c r="AN250" s="93">
        <v>0</v>
      </c>
      <c r="AO250" s="93">
        <v>0</v>
      </c>
      <c r="AP250" s="93">
        <v>0</v>
      </c>
      <c r="AQ250" s="94"/>
      <c r="AR250" s="91" t="s">
        <v>115</v>
      </c>
      <c r="AS250" s="91" t="s">
        <v>750</v>
      </c>
      <c r="AT250" s="149" t="s">
        <v>792</v>
      </c>
      <c r="AU250" s="91" t="s">
        <v>2264</v>
      </c>
      <c r="AV250" s="232" t="s">
        <v>2237</v>
      </c>
      <c r="AW250" s="126" t="s">
        <v>2268</v>
      </c>
      <c r="BA250" s="221">
        <v>25</v>
      </c>
      <c r="BB250" s="222">
        <v>25</v>
      </c>
      <c r="BC250" s="223">
        <f t="shared" si="151"/>
        <v>1</v>
      </c>
      <c r="BD250" s="221">
        <v>0</v>
      </c>
      <c r="BE250" s="222">
        <v>0</v>
      </c>
      <c r="BF250" s="223" t="e">
        <f t="shared" si="152"/>
        <v>#DIV/0!</v>
      </c>
      <c r="BG250" s="221">
        <v>0</v>
      </c>
      <c r="BH250" s="222">
        <v>0</v>
      </c>
      <c r="BI250" s="223" t="e">
        <f t="shared" si="153"/>
        <v>#DIV/0!</v>
      </c>
      <c r="BJ250" s="224">
        <f t="shared" si="154"/>
        <v>25</v>
      </c>
      <c r="BK250" s="225">
        <f t="shared" si="155"/>
        <v>25</v>
      </c>
      <c r="BL250" s="223">
        <f t="shared" si="156"/>
        <v>1</v>
      </c>
      <c r="BM250" s="221">
        <v>0</v>
      </c>
      <c r="BN250" s="222">
        <v>0</v>
      </c>
      <c r="BO250" s="223" t="e">
        <f t="shared" si="177"/>
        <v>#DIV/0!</v>
      </c>
      <c r="BP250" s="221">
        <v>25</v>
      </c>
      <c r="BQ250" s="222">
        <v>25</v>
      </c>
      <c r="BR250" s="223">
        <f t="shared" si="178"/>
        <v>1</v>
      </c>
      <c r="BS250" s="221">
        <v>0</v>
      </c>
      <c r="BT250" s="222">
        <v>0</v>
      </c>
      <c r="BU250" s="223" t="e">
        <f t="shared" si="179"/>
        <v>#DIV/0!</v>
      </c>
      <c r="BV250" s="224">
        <f t="shared" si="157"/>
        <v>25</v>
      </c>
      <c r="BW250" s="224">
        <f t="shared" si="158"/>
        <v>25</v>
      </c>
      <c r="BX250" s="223">
        <f t="shared" si="159"/>
        <v>1</v>
      </c>
      <c r="BY250" s="223">
        <f t="shared" si="160"/>
        <v>0.5</v>
      </c>
      <c r="BZ250" s="223">
        <f t="shared" si="161"/>
        <v>-0.5</v>
      </c>
      <c r="CA250" s="226"/>
      <c r="CB250" s="175"/>
      <c r="CC250" s="221">
        <v>0</v>
      </c>
      <c r="CD250" s="222">
        <v>0</v>
      </c>
      <c r="CE250" s="223" t="e">
        <f t="shared" si="180"/>
        <v>#DIV/0!</v>
      </c>
      <c r="CF250" s="221">
        <v>25</v>
      </c>
      <c r="CG250" s="222">
        <v>25</v>
      </c>
      <c r="CH250" s="223">
        <f t="shared" si="181"/>
        <v>1</v>
      </c>
      <c r="CI250" s="227"/>
      <c r="CJ250" s="188"/>
      <c r="CK250" s="223" t="e">
        <f t="shared" si="182"/>
        <v>#DIV/0!</v>
      </c>
      <c r="CL250" s="224">
        <f t="shared" si="183"/>
        <v>25</v>
      </c>
      <c r="CM250" s="225">
        <f t="shared" si="184"/>
        <v>25</v>
      </c>
      <c r="CN250" s="223">
        <f t="shared" si="185"/>
        <v>1</v>
      </c>
      <c r="CO250" s="175"/>
      <c r="CP250" s="226">
        <f t="shared" si="186"/>
        <v>75</v>
      </c>
      <c r="CQ250" s="226">
        <f t="shared" si="187"/>
        <v>75</v>
      </c>
      <c r="CR250" s="228">
        <f t="shared" si="188"/>
        <v>1</v>
      </c>
      <c r="CS250" s="261">
        <f t="shared" si="162"/>
        <v>25</v>
      </c>
      <c r="CT250" s="175"/>
      <c r="CU250" s="196">
        <f t="shared" si="163"/>
        <v>7.5</v>
      </c>
      <c r="CV250" s="259"/>
      <c r="CW250" s="199">
        <f t="shared" si="164"/>
        <v>0</v>
      </c>
      <c r="CX250" s="196">
        <f t="shared" si="165"/>
        <v>7.5</v>
      </c>
      <c r="CY250" s="259"/>
      <c r="CZ250" s="199">
        <f t="shared" si="166"/>
        <v>0</v>
      </c>
      <c r="DA250" s="196">
        <f t="shared" si="167"/>
        <v>7.5</v>
      </c>
      <c r="DB250" s="259"/>
      <c r="DC250" s="199">
        <f t="shared" si="168"/>
        <v>0</v>
      </c>
      <c r="DD250" s="196">
        <f t="shared" si="169"/>
        <v>2.5</v>
      </c>
      <c r="DE250" s="259"/>
      <c r="DF250" s="199">
        <f t="shared" si="170"/>
        <v>0</v>
      </c>
      <c r="DG250" s="175"/>
      <c r="DH250" s="196">
        <f t="shared" si="171"/>
        <v>100</v>
      </c>
      <c r="DI250" s="196">
        <f t="shared" si="172"/>
        <v>75</v>
      </c>
      <c r="DJ250" s="199">
        <f t="shared" si="173"/>
        <v>0.75</v>
      </c>
      <c r="DK250" s="265">
        <f t="shared" si="174"/>
        <v>25</v>
      </c>
    </row>
    <row r="251" spans="1:117" x14ac:dyDescent="0.3">
      <c r="A251" s="81">
        <v>247</v>
      </c>
      <c r="B251" s="91" t="s">
        <v>760</v>
      </c>
      <c r="C251" s="91" t="s">
        <v>118</v>
      </c>
      <c r="D251" s="91" t="s">
        <v>119</v>
      </c>
      <c r="E251" s="91" t="s">
        <v>729</v>
      </c>
      <c r="F251" s="91" t="s">
        <v>753</v>
      </c>
      <c r="G251" s="87" t="s">
        <v>711</v>
      </c>
      <c r="H251" s="87" t="s">
        <v>773</v>
      </c>
      <c r="I251" s="87" t="s">
        <v>413</v>
      </c>
      <c r="J251" s="87" t="s">
        <v>413</v>
      </c>
      <c r="K251" s="85" t="s">
        <v>754</v>
      </c>
      <c r="L251" s="85" t="s">
        <v>755</v>
      </c>
      <c r="M251" s="87"/>
      <c r="N251" s="87" t="s">
        <v>793</v>
      </c>
      <c r="O251" s="87" t="s">
        <v>659</v>
      </c>
      <c r="P251" s="87" t="s">
        <v>794</v>
      </c>
      <c r="Q251" s="87" t="s">
        <v>129</v>
      </c>
      <c r="R251" s="130">
        <v>100</v>
      </c>
      <c r="S251" s="88" t="s">
        <v>745</v>
      </c>
      <c r="T251" s="81">
        <v>17</v>
      </c>
      <c r="U251" s="81"/>
      <c r="V251" s="25">
        <f t="shared" si="150"/>
        <v>0</v>
      </c>
      <c r="W251" s="81">
        <v>17</v>
      </c>
      <c r="X251" s="81"/>
      <c r="Y251" s="25">
        <f t="shared" si="1"/>
        <v>0</v>
      </c>
      <c r="Z251" s="81">
        <v>17</v>
      </c>
      <c r="AA251" s="81"/>
      <c r="AB251" s="25">
        <f t="shared" si="2"/>
        <v>0</v>
      </c>
      <c r="AC251" s="81">
        <v>18</v>
      </c>
      <c r="AD251" s="81"/>
      <c r="AE251" s="25">
        <f t="shared" si="3"/>
        <v>0</v>
      </c>
      <c r="AF251" s="137">
        <f t="shared" si="175"/>
        <v>100</v>
      </c>
      <c r="AG251" s="137">
        <f t="shared" si="176"/>
        <v>0</v>
      </c>
      <c r="AH251" s="128">
        <f t="shared" si="130"/>
        <v>0</v>
      </c>
      <c r="AI251" s="103">
        <v>46054</v>
      </c>
      <c r="AJ251" s="103">
        <v>46387</v>
      </c>
      <c r="AK251" s="91" t="s">
        <v>676</v>
      </c>
      <c r="AL251" s="91"/>
      <c r="AM251" s="92"/>
      <c r="AN251" s="93">
        <v>0</v>
      </c>
      <c r="AO251" s="93">
        <v>0</v>
      </c>
      <c r="AP251" s="93">
        <v>0</v>
      </c>
      <c r="AQ251" s="94"/>
      <c r="AR251" s="91" t="s">
        <v>115</v>
      </c>
      <c r="AS251" s="91" t="s">
        <v>750</v>
      </c>
      <c r="AT251" s="149" t="s">
        <v>792</v>
      </c>
      <c r="AU251" s="91" t="s">
        <v>2264</v>
      </c>
      <c r="AV251" s="232" t="s">
        <v>2237</v>
      </c>
      <c r="AW251" s="126" t="s">
        <v>2268</v>
      </c>
      <c r="BA251" s="221">
        <v>0</v>
      </c>
      <c r="BB251" s="222">
        <v>0</v>
      </c>
      <c r="BC251" s="223" t="e">
        <f t="shared" si="151"/>
        <v>#DIV/0!</v>
      </c>
      <c r="BD251" s="221">
        <v>25</v>
      </c>
      <c r="BE251" s="222">
        <v>25</v>
      </c>
      <c r="BF251" s="223">
        <f t="shared" si="152"/>
        <v>1</v>
      </c>
      <c r="BG251" s="221">
        <v>0</v>
      </c>
      <c r="BH251" s="222">
        <v>0</v>
      </c>
      <c r="BI251" s="223" t="e">
        <f t="shared" si="153"/>
        <v>#DIV/0!</v>
      </c>
      <c r="BJ251" s="224">
        <f t="shared" si="154"/>
        <v>25</v>
      </c>
      <c r="BK251" s="225">
        <f t="shared" si="155"/>
        <v>25</v>
      </c>
      <c r="BL251" s="223">
        <f t="shared" si="156"/>
        <v>1</v>
      </c>
      <c r="BM251" s="221">
        <v>0</v>
      </c>
      <c r="BN251" s="222">
        <v>0</v>
      </c>
      <c r="BO251" s="223" t="e">
        <f t="shared" si="177"/>
        <v>#DIV/0!</v>
      </c>
      <c r="BP251" s="221">
        <v>25</v>
      </c>
      <c r="BQ251" s="222">
        <v>25</v>
      </c>
      <c r="BR251" s="223">
        <f t="shared" si="178"/>
        <v>1</v>
      </c>
      <c r="BS251" s="221">
        <v>0</v>
      </c>
      <c r="BT251" s="222">
        <v>0</v>
      </c>
      <c r="BU251" s="223" t="e">
        <f t="shared" si="179"/>
        <v>#DIV/0!</v>
      </c>
      <c r="BV251" s="224">
        <f t="shared" si="157"/>
        <v>25</v>
      </c>
      <c r="BW251" s="224">
        <f t="shared" si="158"/>
        <v>25</v>
      </c>
      <c r="BX251" s="223">
        <f t="shared" si="159"/>
        <v>1</v>
      </c>
      <c r="BY251" s="223">
        <f t="shared" si="160"/>
        <v>0.5</v>
      </c>
      <c r="BZ251" s="223">
        <f t="shared" si="161"/>
        <v>-0.5</v>
      </c>
      <c r="CA251" s="226"/>
      <c r="CB251" s="175"/>
      <c r="CC251" s="221">
        <v>0</v>
      </c>
      <c r="CD251" s="222">
        <v>0</v>
      </c>
      <c r="CE251" s="223" t="e">
        <f t="shared" si="180"/>
        <v>#DIV/0!</v>
      </c>
      <c r="CF251" s="221">
        <v>25</v>
      </c>
      <c r="CG251" s="222">
        <v>25</v>
      </c>
      <c r="CH251" s="223">
        <f t="shared" si="181"/>
        <v>1</v>
      </c>
      <c r="CI251" s="227"/>
      <c r="CJ251" s="188"/>
      <c r="CK251" s="223" t="e">
        <f t="shared" si="182"/>
        <v>#DIV/0!</v>
      </c>
      <c r="CL251" s="224">
        <f t="shared" si="183"/>
        <v>25</v>
      </c>
      <c r="CM251" s="225">
        <f t="shared" si="184"/>
        <v>25</v>
      </c>
      <c r="CN251" s="223">
        <f t="shared" si="185"/>
        <v>1</v>
      </c>
      <c r="CO251" s="175"/>
      <c r="CP251" s="226">
        <f t="shared" si="186"/>
        <v>75</v>
      </c>
      <c r="CQ251" s="226">
        <f t="shared" si="187"/>
        <v>75</v>
      </c>
      <c r="CR251" s="228">
        <f t="shared" si="188"/>
        <v>1</v>
      </c>
      <c r="CS251" s="261">
        <f t="shared" si="162"/>
        <v>25</v>
      </c>
      <c r="CT251" s="175"/>
      <c r="CU251" s="196">
        <f t="shared" si="163"/>
        <v>7.5</v>
      </c>
      <c r="CV251" s="259"/>
      <c r="CW251" s="199">
        <f t="shared" si="164"/>
        <v>0</v>
      </c>
      <c r="CX251" s="196">
        <f t="shared" si="165"/>
        <v>7.5</v>
      </c>
      <c r="CY251" s="259"/>
      <c r="CZ251" s="199">
        <f t="shared" si="166"/>
        <v>0</v>
      </c>
      <c r="DA251" s="196">
        <f t="shared" si="167"/>
        <v>7.5</v>
      </c>
      <c r="DB251" s="259"/>
      <c r="DC251" s="199">
        <f t="shared" si="168"/>
        <v>0</v>
      </c>
      <c r="DD251" s="196">
        <f t="shared" si="169"/>
        <v>2.5</v>
      </c>
      <c r="DE251" s="259"/>
      <c r="DF251" s="199">
        <f t="shared" si="170"/>
        <v>0</v>
      </c>
      <c r="DG251" s="175"/>
      <c r="DH251" s="196">
        <f t="shared" si="171"/>
        <v>100</v>
      </c>
      <c r="DI251" s="196">
        <f t="shared" si="172"/>
        <v>75</v>
      </c>
      <c r="DJ251" s="199">
        <f t="shared" si="173"/>
        <v>0.75</v>
      </c>
      <c r="DK251" s="265">
        <f t="shared" si="174"/>
        <v>25</v>
      </c>
    </row>
    <row r="252" spans="1:117" x14ac:dyDescent="0.3">
      <c r="A252" s="81">
        <v>248</v>
      </c>
      <c r="B252" s="91" t="s">
        <v>760</v>
      </c>
      <c r="C252" s="91" t="s">
        <v>118</v>
      </c>
      <c r="D252" s="91" t="s">
        <v>119</v>
      </c>
      <c r="E252" s="91" t="s">
        <v>729</v>
      </c>
      <c r="F252" s="91" t="s">
        <v>753</v>
      </c>
      <c r="G252" s="87" t="s">
        <v>711</v>
      </c>
      <c r="H252" s="87" t="s">
        <v>773</v>
      </c>
      <c r="I252" s="87" t="s">
        <v>413</v>
      </c>
      <c r="J252" s="87" t="s">
        <v>413</v>
      </c>
      <c r="K252" s="85" t="s">
        <v>754</v>
      </c>
      <c r="L252" s="85" t="s">
        <v>755</v>
      </c>
      <c r="M252" s="87"/>
      <c r="N252" s="87" t="s">
        <v>795</v>
      </c>
      <c r="O252" s="87" t="s">
        <v>659</v>
      </c>
      <c r="P252" s="87" t="s">
        <v>796</v>
      </c>
      <c r="Q252" s="87" t="s">
        <v>129</v>
      </c>
      <c r="R252" s="130">
        <v>80</v>
      </c>
      <c r="S252" s="88" t="s">
        <v>747</v>
      </c>
      <c r="T252" s="81">
        <v>25</v>
      </c>
      <c r="U252" s="81"/>
      <c r="V252" s="25">
        <f t="shared" si="150"/>
        <v>0</v>
      </c>
      <c r="W252" s="81">
        <v>25</v>
      </c>
      <c r="X252" s="81"/>
      <c r="Y252" s="25">
        <f t="shared" si="1"/>
        <v>0</v>
      </c>
      <c r="Z252" s="81">
        <v>25</v>
      </c>
      <c r="AA252" s="81"/>
      <c r="AB252" s="25">
        <f t="shared" si="2"/>
        <v>0</v>
      </c>
      <c r="AC252" s="81">
        <v>25</v>
      </c>
      <c r="AD252" s="81"/>
      <c r="AE252" s="25">
        <f t="shared" si="3"/>
        <v>0</v>
      </c>
      <c r="AF252" s="137">
        <f t="shared" si="175"/>
        <v>80</v>
      </c>
      <c r="AG252" s="137">
        <f t="shared" si="176"/>
        <v>0</v>
      </c>
      <c r="AH252" s="128">
        <f t="shared" si="130"/>
        <v>0</v>
      </c>
      <c r="AI252" s="103">
        <v>46054</v>
      </c>
      <c r="AJ252" s="103">
        <v>46387</v>
      </c>
      <c r="AK252" s="91" t="s">
        <v>676</v>
      </c>
      <c r="AL252" s="91"/>
      <c r="AM252" s="92"/>
      <c r="AN252" s="93">
        <v>0</v>
      </c>
      <c r="AO252" s="93">
        <v>0</v>
      </c>
      <c r="AP252" s="93">
        <v>0</v>
      </c>
      <c r="AQ252" s="94"/>
      <c r="AR252" s="91" t="s">
        <v>115</v>
      </c>
      <c r="AS252" s="91" t="s">
        <v>750</v>
      </c>
      <c r="AT252" s="149" t="s">
        <v>792</v>
      </c>
      <c r="AU252" s="91" t="s">
        <v>2264</v>
      </c>
      <c r="AV252" s="232" t="s">
        <v>2237</v>
      </c>
      <c r="AW252" s="126" t="s">
        <v>2268</v>
      </c>
      <c r="BA252" s="221">
        <v>0</v>
      </c>
      <c r="BB252" s="222">
        <v>0</v>
      </c>
      <c r="BC252" s="223" t="e">
        <f t="shared" si="151"/>
        <v>#DIV/0!</v>
      </c>
      <c r="BD252" s="221">
        <v>25</v>
      </c>
      <c r="BE252" s="222">
        <v>25</v>
      </c>
      <c r="BF252" s="223">
        <f t="shared" si="152"/>
        <v>1</v>
      </c>
      <c r="BG252" s="221">
        <v>0</v>
      </c>
      <c r="BH252" s="222">
        <v>0</v>
      </c>
      <c r="BI252" s="223" t="e">
        <f t="shared" si="153"/>
        <v>#DIV/0!</v>
      </c>
      <c r="BJ252" s="224">
        <f t="shared" si="154"/>
        <v>25</v>
      </c>
      <c r="BK252" s="225">
        <f t="shared" si="155"/>
        <v>25</v>
      </c>
      <c r="BL252" s="223">
        <f t="shared" si="156"/>
        <v>1</v>
      </c>
      <c r="BM252" s="221">
        <v>0</v>
      </c>
      <c r="BN252" s="222">
        <v>0</v>
      </c>
      <c r="BO252" s="223" t="e">
        <f t="shared" si="177"/>
        <v>#DIV/0!</v>
      </c>
      <c r="BP252" s="221">
        <v>25</v>
      </c>
      <c r="BQ252" s="222">
        <v>25</v>
      </c>
      <c r="BR252" s="223">
        <f t="shared" si="178"/>
        <v>1</v>
      </c>
      <c r="BS252" s="221">
        <v>0</v>
      </c>
      <c r="BT252" s="222">
        <v>0</v>
      </c>
      <c r="BU252" s="223" t="e">
        <f t="shared" si="179"/>
        <v>#DIV/0!</v>
      </c>
      <c r="BV252" s="224">
        <f t="shared" si="157"/>
        <v>25</v>
      </c>
      <c r="BW252" s="224">
        <f t="shared" si="158"/>
        <v>25</v>
      </c>
      <c r="BX252" s="223">
        <f t="shared" si="159"/>
        <v>1</v>
      </c>
      <c r="BY252" s="223">
        <f t="shared" si="160"/>
        <v>0.625</v>
      </c>
      <c r="BZ252" s="223">
        <f t="shared" si="161"/>
        <v>-0.625</v>
      </c>
      <c r="CA252" s="226"/>
      <c r="CB252" s="175"/>
      <c r="CC252" s="221">
        <v>0</v>
      </c>
      <c r="CD252" s="222">
        <v>0</v>
      </c>
      <c r="CE252" s="223" t="e">
        <f t="shared" si="180"/>
        <v>#DIV/0!</v>
      </c>
      <c r="CF252" s="221">
        <v>0</v>
      </c>
      <c r="CG252" s="222">
        <v>0</v>
      </c>
      <c r="CH252" s="223" t="e">
        <f t="shared" si="181"/>
        <v>#DIV/0!</v>
      </c>
      <c r="CI252" s="227"/>
      <c r="CJ252" s="188"/>
      <c r="CK252" s="223" t="e">
        <f t="shared" si="182"/>
        <v>#DIV/0!</v>
      </c>
      <c r="CL252" s="224">
        <f t="shared" si="183"/>
        <v>0</v>
      </c>
      <c r="CM252" s="225">
        <f t="shared" si="184"/>
        <v>0</v>
      </c>
      <c r="CN252" s="223" t="e">
        <f t="shared" si="185"/>
        <v>#DIV/0!</v>
      </c>
      <c r="CO252" s="175"/>
      <c r="CP252" s="226">
        <f t="shared" si="186"/>
        <v>50</v>
      </c>
      <c r="CQ252" s="226">
        <f t="shared" si="187"/>
        <v>50</v>
      </c>
      <c r="CR252" s="228">
        <f t="shared" si="188"/>
        <v>1</v>
      </c>
      <c r="CS252" s="261">
        <f t="shared" si="162"/>
        <v>30</v>
      </c>
      <c r="CT252" s="175"/>
      <c r="CU252" s="196">
        <f t="shared" si="163"/>
        <v>9</v>
      </c>
      <c r="CV252" s="259"/>
      <c r="CW252" s="199">
        <f t="shared" si="164"/>
        <v>0</v>
      </c>
      <c r="CX252" s="196">
        <f t="shared" si="165"/>
        <v>9</v>
      </c>
      <c r="CY252" s="259"/>
      <c r="CZ252" s="199">
        <f t="shared" si="166"/>
        <v>0</v>
      </c>
      <c r="DA252" s="196">
        <f t="shared" si="167"/>
        <v>9</v>
      </c>
      <c r="DB252" s="259"/>
      <c r="DC252" s="199">
        <f t="shared" si="168"/>
        <v>0</v>
      </c>
      <c r="DD252" s="196">
        <f t="shared" si="169"/>
        <v>3</v>
      </c>
      <c r="DE252" s="259"/>
      <c r="DF252" s="199">
        <f t="shared" si="170"/>
        <v>0</v>
      </c>
      <c r="DG252" s="175"/>
      <c r="DH252" s="196">
        <f t="shared" si="171"/>
        <v>80</v>
      </c>
      <c r="DI252" s="196">
        <f t="shared" si="172"/>
        <v>50</v>
      </c>
      <c r="DJ252" s="199">
        <f t="shared" si="173"/>
        <v>0.625</v>
      </c>
      <c r="DK252" s="265">
        <f t="shared" si="174"/>
        <v>30</v>
      </c>
    </row>
    <row r="253" spans="1:117" x14ac:dyDescent="0.3">
      <c r="A253" s="81">
        <v>249</v>
      </c>
      <c r="B253" s="91" t="s">
        <v>760</v>
      </c>
      <c r="C253" s="91" t="s">
        <v>436</v>
      </c>
      <c r="D253" s="91" t="s">
        <v>797</v>
      </c>
      <c r="E253" s="91" t="s">
        <v>709</v>
      </c>
      <c r="F253" s="91" t="s">
        <v>753</v>
      </c>
      <c r="G253" s="87" t="s">
        <v>711</v>
      </c>
      <c r="H253" s="87" t="s">
        <v>773</v>
      </c>
      <c r="I253" s="87" t="s">
        <v>413</v>
      </c>
      <c r="J253" s="87" t="s">
        <v>413</v>
      </c>
      <c r="K253" s="85" t="s">
        <v>754</v>
      </c>
      <c r="L253" s="85" t="s">
        <v>755</v>
      </c>
      <c r="M253" s="87"/>
      <c r="N253" s="87" t="s">
        <v>798</v>
      </c>
      <c r="O253" s="87" t="s">
        <v>659</v>
      </c>
      <c r="P253" s="87" t="s">
        <v>799</v>
      </c>
      <c r="Q253" s="87" t="s">
        <v>129</v>
      </c>
      <c r="R253" s="130">
        <v>100</v>
      </c>
      <c r="S253" s="88" t="s">
        <v>745</v>
      </c>
      <c r="T253" s="81">
        <v>1</v>
      </c>
      <c r="U253" s="81"/>
      <c r="V253" s="25">
        <f t="shared" si="150"/>
        <v>0</v>
      </c>
      <c r="W253" s="81">
        <v>1</v>
      </c>
      <c r="X253" s="81"/>
      <c r="Y253" s="25">
        <f t="shared" si="1"/>
        <v>0</v>
      </c>
      <c r="Z253" s="81">
        <v>1</v>
      </c>
      <c r="AA253" s="81"/>
      <c r="AB253" s="25">
        <f t="shared" si="2"/>
        <v>0</v>
      </c>
      <c r="AC253" s="81">
        <v>1</v>
      </c>
      <c r="AD253" s="81"/>
      <c r="AE253" s="25">
        <f t="shared" si="3"/>
        <v>0</v>
      </c>
      <c r="AF253" s="137">
        <f t="shared" si="175"/>
        <v>100</v>
      </c>
      <c r="AG253" s="137">
        <f t="shared" si="176"/>
        <v>0</v>
      </c>
      <c r="AH253" s="128">
        <f t="shared" si="130"/>
        <v>0</v>
      </c>
      <c r="AI253" s="103">
        <v>46054</v>
      </c>
      <c r="AJ253" s="103">
        <v>46387</v>
      </c>
      <c r="AK253" s="91" t="s">
        <v>676</v>
      </c>
      <c r="AL253" s="91"/>
      <c r="AM253" s="92"/>
      <c r="AN253" s="93">
        <v>0</v>
      </c>
      <c r="AO253" s="93">
        <v>0</v>
      </c>
      <c r="AP253" s="93">
        <v>0</v>
      </c>
      <c r="AQ253" s="94"/>
      <c r="AR253" s="91" t="s">
        <v>115</v>
      </c>
      <c r="AS253" s="91" t="s">
        <v>750</v>
      </c>
      <c r="AT253" s="149" t="s">
        <v>800</v>
      </c>
      <c r="AU253" s="91" t="s">
        <v>2264</v>
      </c>
      <c r="AV253" s="232" t="s">
        <v>2237</v>
      </c>
      <c r="AW253" s="126" t="s">
        <v>2270</v>
      </c>
      <c r="BA253" s="221">
        <v>0</v>
      </c>
      <c r="BB253" s="222">
        <v>0</v>
      </c>
      <c r="BC253" s="223" t="e">
        <f t="shared" si="151"/>
        <v>#DIV/0!</v>
      </c>
      <c r="BD253" s="221">
        <v>0</v>
      </c>
      <c r="BE253" s="222">
        <v>0</v>
      </c>
      <c r="BF253" s="223" t="e">
        <f t="shared" si="152"/>
        <v>#DIV/0!</v>
      </c>
      <c r="BG253" s="221">
        <v>25</v>
      </c>
      <c r="BH253" s="222">
        <v>19</v>
      </c>
      <c r="BI253" s="223">
        <f t="shared" si="153"/>
        <v>0.76</v>
      </c>
      <c r="BJ253" s="224">
        <f t="shared" si="154"/>
        <v>25</v>
      </c>
      <c r="BK253" s="225">
        <f t="shared" si="155"/>
        <v>19</v>
      </c>
      <c r="BL253" s="223">
        <f t="shared" si="156"/>
        <v>0.76</v>
      </c>
      <c r="BM253" s="221">
        <v>0</v>
      </c>
      <c r="BN253" s="222">
        <v>0</v>
      </c>
      <c r="BO253" s="223" t="e">
        <f t="shared" si="177"/>
        <v>#DIV/0!</v>
      </c>
      <c r="BP253" s="221">
        <v>0</v>
      </c>
      <c r="BQ253" s="222">
        <v>0</v>
      </c>
      <c r="BR253" s="223" t="e">
        <f t="shared" si="178"/>
        <v>#DIV/0!</v>
      </c>
      <c r="BS253" s="221">
        <v>25</v>
      </c>
      <c r="BT253" s="222">
        <v>13</v>
      </c>
      <c r="BU253" s="223">
        <f t="shared" si="179"/>
        <v>0.52</v>
      </c>
      <c r="BV253" s="224">
        <f t="shared" si="157"/>
        <v>25</v>
      </c>
      <c r="BW253" s="224">
        <f t="shared" si="158"/>
        <v>13</v>
      </c>
      <c r="BX253" s="223">
        <f t="shared" si="159"/>
        <v>0.52</v>
      </c>
      <c r="BY253" s="223">
        <f t="shared" si="160"/>
        <v>0.32</v>
      </c>
      <c r="BZ253" s="223">
        <f t="shared" si="161"/>
        <v>-0.32</v>
      </c>
      <c r="CA253" s="226"/>
      <c r="CB253" s="175"/>
      <c r="CC253" s="221">
        <v>0</v>
      </c>
      <c r="CD253" s="222">
        <v>0</v>
      </c>
      <c r="CE253" s="223" t="e">
        <f t="shared" si="180"/>
        <v>#DIV/0!</v>
      </c>
      <c r="CF253" s="221">
        <v>0</v>
      </c>
      <c r="CG253" s="222">
        <v>0</v>
      </c>
      <c r="CH253" s="223" t="e">
        <f t="shared" si="181"/>
        <v>#DIV/0!</v>
      </c>
      <c r="CI253" s="227"/>
      <c r="CJ253" s="188"/>
      <c r="CK253" s="223" t="e">
        <f t="shared" si="182"/>
        <v>#DIV/0!</v>
      </c>
      <c r="CL253" s="224">
        <f t="shared" si="183"/>
        <v>0</v>
      </c>
      <c r="CM253" s="225">
        <f t="shared" si="184"/>
        <v>0</v>
      </c>
      <c r="CN253" s="223" t="e">
        <f t="shared" si="185"/>
        <v>#DIV/0!</v>
      </c>
      <c r="CO253" s="175"/>
      <c r="CP253" s="226">
        <f t="shared" si="186"/>
        <v>50</v>
      </c>
      <c r="CQ253" s="226">
        <f t="shared" si="187"/>
        <v>32</v>
      </c>
      <c r="CR253" s="228">
        <f t="shared" si="188"/>
        <v>0.64</v>
      </c>
      <c r="CS253" s="261">
        <f t="shared" si="162"/>
        <v>68</v>
      </c>
      <c r="CT253" s="175"/>
      <c r="CU253" s="196">
        <f t="shared" si="163"/>
        <v>20.399999999999999</v>
      </c>
      <c r="CV253" s="259"/>
      <c r="CW253" s="199">
        <f t="shared" si="164"/>
        <v>0</v>
      </c>
      <c r="CX253" s="196">
        <f t="shared" si="165"/>
        <v>20.399999999999999</v>
      </c>
      <c r="CY253" s="259"/>
      <c r="CZ253" s="199">
        <f t="shared" si="166"/>
        <v>0</v>
      </c>
      <c r="DA253" s="196">
        <f t="shared" si="167"/>
        <v>20.399999999999999</v>
      </c>
      <c r="DB253" s="259"/>
      <c r="DC253" s="199">
        <f t="shared" si="168"/>
        <v>0</v>
      </c>
      <c r="DD253" s="196">
        <f t="shared" si="169"/>
        <v>6.8000000000000007</v>
      </c>
      <c r="DE253" s="259"/>
      <c r="DF253" s="199">
        <f t="shared" si="170"/>
        <v>0</v>
      </c>
      <c r="DG253" s="175"/>
      <c r="DH253" s="196">
        <f t="shared" si="171"/>
        <v>100</v>
      </c>
      <c r="DI253" s="196">
        <f t="shared" si="172"/>
        <v>32</v>
      </c>
      <c r="DJ253" s="199">
        <f t="shared" si="173"/>
        <v>0.32</v>
      </c>
      <c r="DK253" s="265">
        <f t="shared" si="174"/>
        <v>68</v>
      </c>
    </row>
    <row r="254" spans="1:117" x14ac:dyDescent="0.3">
      <c r="A254" s="81">
        <v>250</v>
      </c>
      <c r="B254" s="91" t="s">
        <v>760</v>
      </c>
      <c r="C254" s="91" t="s">
        <v>97</v>
      </c>
      <c r="D254" s="91" t="s">
        <v>98</v>
      </c>
      <c r="E254" s="91" t="s">
        <v>765</v>
      </c>
      <c r="F254" s="91" t="s">
        <v>766</v>
      </c>
      <c r="G254" s="87" t="s">
        <v>767</v>
      </c>
      <c r="H254" s="87" t="s">
        <v>773</v>
      </c>
      <c r="I254" s="87" t="s">
        <v>413</v>
      </c>
      <c r="J254" s="87" t="s">
        <v>413</v>
      </c>
      <c r="K254" s="85" t="s">
        <v>754</v>
      </c>
      <c r="L254" s="85" t="s">
        <v>755</v>
      </c>
      <c r="M254" s="87"/>
      <c r="N254" s="87" t="s">
        <v>801</v>
      </c>
      <c r="O254" s="87" t="s">
        <v>665</v>
      </c>
      <c r="P254" s="87" t="s">
        <v>802</v>
      </c>
      <c r="Q254" s="87" t="s">
        <v>803</v>
      </c>
      <c r="R254" s="131">
        <v>100</v>
      </c>
      <c r="S254" s="88" t="s">
        <v>158</v>
      </c>
      <c r="T254" s="81">
        <v>25</v>
      </c>
      <c r="U254" s="81">
        <v>25</v>
      </c>
      <c r="V254" s="25">
        <f t="shared" si="150"/>
        <v>100</v>
      </c>
      <c r="W254" s="81">
        <v>25</v>
      </c>
      <c r="X254" s="81">
        <v>25</v>
      </c>
      <c r="Y254" s="25">
        <f t="shared" si="1"/>
        <v>100</v>
      </c>
      <c r="Z254" s="81">
        <v>25</v>
      </c>
      <c r="AA254" s="81"/>
      <c r="AB254" s="25">
        <f t="shared" si="2"/>
        <v>0</v>
      </c>
      <c r="AC254" s="81">
        <v>25</v>
      </c>
      <c r="AD254" s="81"/>
      <c r="AE254" s="25">
        <f t="shared" si="3"/>
        <v>0</v>
      </c>
      <c r="AF254" s="137">
        <f t="shared" si="175"/>
        <v>100</v>
      </c>
      <c r="AG254" s="137">
        <f t="shared" si="176"/>
        <v>50</v>
      </c>
      <c r="AH254" s="128">
        <f t="shared" si="130"/>
        <v>100</v>
      </c>
      <c r="AI254" s="103">
        <v>46054</v>
      </c>
      <c r="AJ254" s="103">
        <v>46387</v>
      </c>
      <c r="AK254" s="91" t="s">
        <v>676</v>
      </c>
      <c r="AL254" s="91"/>
      <c r="AM254" s="92"/>
      <c r="AN254" s="93">
        <v>0</v>
      </c>
      <c r="AO254" s="93">
        <v>0</v>
      </c>
      <c r="AP254" s="93">
        <v>0</v>
      </c>
      <c r="AQ254" s="94"/>
      <c r="AR254" s="91" t="s">
        <v>115</v>
      </c>
      <c r="AS254" s="91" t="s">
        <v>750</v>
      </c>
      <c r="AT254" s="149" t="s">
        <v>674</v>
      </c>
      <c r="AU254" s="165" t="s">
        <v>2264</v>
      </c>
      <c r="AV254" s="232" t="s">
        <v>2262</v>
      </c>
      <c r="BA254" s="191">
        <v>0</v>
      </c>
      <c r="BB254" s="192">
        <v>0</v>
      </c>
      <c r="BC254" s="223" t="e">
        <f t="shared" si="151"/>
        <v>#DIV/0!</v>
      </c>
      <c r="BD254" s="191">
        <v>100</v>
      </c>
      <c r="BE254" s="192">
        <v>42</v>
      </c>
      <c r="BF254" s="223">
        <f t="shared" si="152"/>
        <v>0.42</v>
      </c>
      <c r="BG254" s="191">
        <v>100</v>
      </c>
      <c r="BH254" s="192">
        <v>42</v>
      </c>
      <c r="BI254" s="223">
        <f t="shared" si="153"/>
        <v>0.42</v>
      </c>
      <c r="BJ254" s="224">
        <f t="shared" si="154"/>
        <v>200</v>
      </c>
      <c r="BK254" s="225">
        <f t="shared" si="155"/>
        <v>84</v>
      </c>
      <c r="BL254" s="223">
        <f t="shared" si="156"/>
        <v>0.42</v>
      </c>
      <c r="BM254" s="191">
        <v>100</v>
      </c>
      <c r="BN254" s="192">
        <v>42</v>
      </c>
      <c r="BO254" s="193">
        <v>0.42</v>
      </c>
      <c r="BP254" s="191">
        <v>100</v>
      </c>
      <c r="BQ254" s="192">
        <v>42</v>
      </c>
      <c r="BR254" s="193">
        <v>0.42</v>
      </c>
      <c r="BS254" s="191">
        <v>100</v>
      </c>
      <c r="BT254" s="192">
        <v>42</v>
      </c>
      <c r="BU254" s="193">
        <f t="shared" si="179"/>
        <v>0.42</v>
      </c>
      <c r="BV254" s="224">
        <f t="shared" si="157"/>
        <v>300</v>
      </c>
      <c r="BW254" s="224">
        <f t="shared" si="158"/>
        <v>126</v>
      </c>
      <c r="BX254" s="223">
        <f t="shared" si="159"/>
        <v>0.42</v>
      </c>
      <c r="BY254" s="223">
        <f t="shared" si="160"/>
        <v>2.1</v>
      </c>
      <c r="BZ254" s="223">
        <f t="shared" si="161"/>
        <v>-2.1</v>
      </c>
      <c r="CA254" s="196"/>
      <c r="CB254" s="175"/>
      <c r="CC254" s="191">
        <v>100</v>
      </c>
      <c r="CD254" s="192">
        <v>42</v>
      </c>
      <c r="CE254" s="193">
        <v>0.42</v>
      </c>
      <c r="CF254" s="191">
        <v>100</v>
      </c>
      <c r="CG254" s="192">
        <v>42</v>
      </c>
      <c r="CH254" s="193">
        <f t="shared" si="181"/>
        <v>0.42</v>
      </c>
      <c r="CI254" s="197"/>
      <c r="CJ254" s="198"/>
      <c r="CK254" s="193" t="e">
        <f t="shared" si="182"/>
        <v>#DIV/0!</v>
      </c>
      <c r="CL254" s="195">
        <f t="shared" si="183"/>
        <v>200</v>
      </c>
      <c r="CM254" s="194">
        <f t="shared" si="184"/>
        <v>84</v>
      </c>
      <c r="CN254" s="193">
        <f t="shared" si="185"/>
        <v>0.42</v>
      </c>
      <c r="CO254" s="175"/>
      <c r="CP254" s="196">
        <f t="shared" si="186"/>
        <v>700</v>
      </c>
      <c r="CQ254" s="196">
        <f t="shared" si="187"/>
        <v>294</v>
      </c>
      <c r="CR254" s="199">
        <f t="shared" si="188"/>
        <v>0.42</v>
      </c>
      <c r="CS254" s="261">
        <f t="shared" si="162"/>
        <v>-194</v>
      </c>
      <c r="CT254" s="175"/>
      <c r="CU254" s="196">
        <f t="shared" si="163"/>
        <v>-58.199999999999996</v>
      </c>
      <c r="CV254" s="259"/>
      <c r="CW254" s="199">
        <f t="shared" si="164"/>
        <v>0</v>
      </c>
      <c r="CX254" s="196">
        <f t="shared" si="165"/>
        <v>-58.199999999999996</v>
      </c>
      <c r="CY254" s="259"/>
      <c r="CZ254" s="199">
        <f t="shared" si="166"/>
        <v>0</v>
      </c>
      <c r="DA254" s="196">
        <f t="shared" si="167"/>
        <v>-58.199999999999996</v>
      </c>
      <c r="DB254" s="259"/>
      <c r="DC254" s="199">
        <f t="shared" si="168"/>
        <v>0</v>
      </c>
      <c r="DD254" s="196">
        <f t="shared" si="169"/>
        <v>-19.400000000000002</v>
      </c>
      <c r="DE254" s="259"/>
      <c r="DF254" s="199">
        <f t="shared" si="170"/>
        <v>0</v>
      </c>
      <c r="DG254" s="175"/>
      <c r="DH254" s="196">
        <f t="shared" si="171"/>
        <v>100</v>
      </c>
      <c r="DI254" s="196">
        <f t="shared" si="172"/>
        <v>294</v>
      </c>
      <c r="DJ254" s="199">
        <f t="shared" si="173"/>
        <v>2.94</v>
      </c>
      <c r="DK254" s="265">
        <f t="shared" si="174"/>
        <v>-194</v>
      </c>
      <c r="DM254" s="220">
        <v>244</v>
      </c>
    </row>
    <row r="255" spans="1:117" x14ac:dyDescent="0.3">
      <c r="A255" s="81">
        <v>251</v>
      </c>
      <c r="B255" s="91" t="s">
        <v>804</v>
      </c>
      <c r="C255" s="91" t="s">
        <v>118</v>
      </c>
      <c r="D255" s="91" t="s">
        <v>98</v>
      </c>
      <c r="E255" s="91" t="s">
        <v>765</v>
      </c>
      <c r="F255" s="91" t="s">
        <v>766</v>
      </c>
      <c r="G255" s="87" t="s">
        <v>767</v>
      </c>
      <c r="H255" s="87" t="s">
        <v>773</v>
      </c>
      <c r="I255" s="87" t="s">
        <v>413</v>
      </c>
      <c r="J255" s="87" t="s">
        <v>413</v>
      </c>
      <c r="K255" s="85" t="s">
        <v>754</v>
      </c>
      <c r="L255" s="85" t="s">
        <v>676</v>
      </c>
      <c r="M255" s="87"/>
      <c r="N255" s="87" t="s">
        <v>801</v>
      </c>
      <c r="O255" s="87" t="s">
        <v>665</v>
      </c>
      <c r="P255" s="87" t="s">
        <v>805</v>
      </c>
      <c r="Q255" s="87" t="s">
        <v>803</v>
      </c>
      <c r="R255" s="132">
        <v>5</v>
      </c>
      <c r="S255" s="88" t="s">
        <v>111</v>
      </c>
      <c r="T255" s="81">
        <v>25</v>
      </c>
      <c r="U255" s="81">
        <v>25</v>
      </c>
      <c r="V255" s="25">
        <f t="shared" si="150"/>
        <v>100</v>
      </c>
      <c r="W255" s="81">
        <v>25</v>
      </c>
      <c r="X255" s="81">
        <v>12</v>
      </c>
      <c r="Y255" s="25">
        <f t="shared" si="1"/>
        <v>48</v>
      </c>
      <c r="Z255" s="81">
        <v>25</v>
      </c>
      <c r="AA255" s="81"/>
      <c r="AB255" s="25">
        <f t="shared" si="2"/>
        <v>0</v>
      </c>
      <c r="AC255" s="81">
        <v>25</v>
      </c>
      <c r="AD255" s="81"/>
      <c r="AE255" s="25">
        <f t="shared" si="3"/>
        <v>0</v>
      </c>
      <c r="AF255" s="137">
        <f t="shared" si="175"/>
        <v>5</v>
      </c>
      <c r="AG255" s="137">
        <f t="shared" si="176"/>
        <v>37</v>
      </c>
      <c r="AH255" s="128">
        <f t="shared" si="130"/>
        <v>74</v>
      </c>
      <c r="AI255" s="103">
        <v>46054</v>
      </c>
      <c r="AJ255" s="103">
        <v>46387</v>
      </c>
      <c r="AK255" s="91" t="s">
        <v>676</v>
      </c>
      <c r="AL255" s="91"/>
      <c r="AM255" s="92"/>
      <c r="AN255" s="93">
        <v>0</v>
      </c>
      <c r="AO255" s="93">
        <v>0</v>
      </c>
      <c r="AP255" s="93">
        <v>0</v>
      </c>
      <c r="AQ255" s="94"/>
      <c r="AR255" s="91" t="s">
        <v>115</v>
      </c>
      <c r="AS255" s="91" t="s">
        <v>750</v>
      </c>
      <c r="AT255" s="149" t="s">
        <v>674</v>
      </c>
      <c r="AU255" s="165" t="s">
        <v>2264</v>
      </c>
      <c r="AV255" s="232" t="s">
        <v>2262</v>
      </c>
      <c r="BA255" s="191">
        <v>5</v>
      </c>
      <c r="BB255" s="192">
        <v>4</v>
      </c>
      <c r="BC255" s="223">
        <f t="shared" si="151"/>
        <v>0.8</v>
      </c>
      <c r="BD255" s="191">
        <v>5</v>
      </c>
      <c r="BE255" s="192">
        <v>4</v>
      </c>
      <c r="BF255" s="223">
        <f t="shared" si="152"/>
        <v>0.8</v>
      </c>
      <c r="BG255" s="191">
        <v>5</v>
      </c>
      <c r="BH255" s="192">
        <v>4</v>
      </c>
      <c r="BI255" s="223">
        <f t="shared" si="153"/>
        <v>0.8</v>
      </c>
      <c r="BJ255" s="224">
        <f t="shared" si="154"/>
        <v>15</v>
      </c>
      <c r="BK255" s="225">
        <f t="shared" si="155"/>
        <v>12</v>
      </c>
      <c r="BL255" s="223">
        <f t="shared" si="156"/>
        <v>0.8</v>
      </c>
      <c r="BM255" s="191">
        <v>5</v>
      </c>
      <c r="BN255" s="192">
        <v>4</v>
      </c>
      <c r="BO255" s="193">
        <v>0.8</v>
      </c>
      <c r="BP255" s="191">
        <v>5</v>
      </c>
      <c r="BQ255" s="192">
        <v>4</v>
      </c>
      <c r="BR255" s="193">
        <v>0.8</v>
      </c>
      <c r="BS255" s="191">
        <v>5</v>
      </c>
      <c r="BT255" s="192">
        <v>4</v>
      </c>
      <c r="BU255" s="193">
        <f t="shared" si="179"/>
        <v>0.8</v>
      </c>
      <c r="BV255" s="224">
        <f t="shared" si="157"/>
        <v>15</v>
      </c>
      <c r="BW255" s="224">
        <f t="shared" si="158"/>
        <v>12</v>
      </c>
      <c r="BX255" s="223">
        <f t="shared" si="159"/>
        <v>0.8</v>
      </c>
      <c r="BY255" s="223">
        <f t="shared" si="160"/>
        <v>4.8</v>
      </c>
      <c r="BZ255" s="223">
        <f t="shared" si="161"/>
        <v>-4.8</v>
      </c>
      <c r="CA255" s="196"/>
      <c r="CB255" s="175"/>
      <c r="CC255" s="191">
        <v>5</v>
      </c>
      <c r="CD255" s="192">
        <v>4</v>
      </c>
      <c r="CE255" s="193">
        <v>0.8</v>
      </c>
      <c r="CF255" s="191">
        <v>5</v>
      </c>
      <c r="CG255" s="192">
        <v>4</v>
      </c>
      <c r="CH255" s="193">
        <f t="shared" si="181"/>
        <v>0.8</v>
      </c>
      <c r="CI255" s="197"/>
      <c r="CJ255" s="198"/>
      <c r="CK255" s="193" t="e">
        <f t="shared" si="182"/>
        <v>#DIV/0!</v>
      </c>
      <c r="CL255" s="195">
        <f t="shared" si="183"/>
        <v>10</v>
      </c>
      <c r="CM255" s="194">
        <f t="shared" si="184"/>
        <v>8</v>
      </c>
      <c r="CN255" s="193">
        <f t="shared" si="185"/>
        <v>0.8</v>
      </c>
      <c r="CO255" s="175"/>
      <c r="CP255" s="196">
        <f t="shared" si="186"/>
        <v>40</v>
      </c>
      <c r="CQ255" s="196">
        <f t="shared" si="187"/>
        <v>32</v>
      </c>
      <c r="CR255" s="199">
        <f t="shared" si="188"/>
        <v>0.8</v>
      </c>
      <c r="CS255" s="261">
        <f t="shared" si="162"/>
        <v>-27</v>
      </c>
      <c r="CT255" s="175"/>
      <c r="CU255" s="196">
        <f t="shared" si="163"/>
        <v>-8.1</v>
      </c>
      <c r="CV255" s="259"/>
      <c r="CW255" s="199">
        <f t="shared" si="164"/>
        <v>0</v>
      </c>
      <c r="CX255" s="196">
        <f t="shared" si="165"/>
        <v>-8.1</v>
      </c>
      <c r="CY255" s="259"/>
      <c r="CZ255" s="199">
        <f t="shared" si="166"/>
        <v>0</v>
      </c>
      <c r="DA255" s="196">
        <f t="shared" si="167"/>
        <v>-8.1</v>
      </c>
      <c r="DB255" s="259"/>
      <c r="DC255" s="199">
        <f t="shared" si="168"/>
        <v>0</v>
      </c>
      <c r="DD255" s="196">
        <f t="shared" si="169"/>
        <v>-2.7</v>
      </c>
      <c r="DE255" s="259"/>
      <c r="DF255" s="199">
        <f t="shared" si="170"/>
        <v>0</v>
      </c>
      <c r="DG255" s="175"/>
      <c r="DH255" s="196">
        <f t="shared" si="171"/>
        <v>5</v>
      </c>
      <c r="DI255" s="196">
        <f t="shared" si="172"/>
        <v>32</v>
      </c>
      <c r="DJ255" s="199">
        <f t="shared" si="173"/>
        <v>6.4</v>
      </c>
      <c r="DK255" s="265">
        <f t="shared" si="174"/>
        <v>-27</v>
      </c>
      <c r="DM255" s="220">
        <v>245</v>
      </c>
    </row>
    <row r="256" spans="1:117" x14ac:dyDescent="0.3">
      <c r="A256" s="81">
        <v>252</v>
      </c>
      <c r="B256" s="91" t="s">
        <v>728</v>
      </c>
      <c r="C256" s="91" t="s">
        <v>118</v>
      </c>
      <c r="D256" s="91" t="s">
        <v>98</v>
      </c>
      <c r="E256" s="91" t="s">
        <v>765</v>
      </c>
      <c r="F256" s="91" t="s">
        <v>766</v>
      </c>
      <c r="G256" s="87" t="s">
        <v>767</v>
      </c>
      <c r="H256" s="87" t="s">
        <v>773</v>
      </c>
      <c r="I256" s="87" t="s">
        <v>413</v>
      </c>
      <c r="J256" s="87" t="s">
        <v>413</v>
      </c>
      <c r="K256" s="85" t="s">
        <v>754</v>
      </c>
      <c r="L256" s="85" t="s">
        <v>676</v>
      </c>
      <c r="M256" s="87"/>
      <c r="N256" s="87" t="s">
        <v>801</v>
      </c>
      <c r="O256" s="87" t="s">
        <v>665</v>
      </c>
      <c r="P256" s="87" t="s">
        <v>806</v>
      </c>
      <c r="Q256" s="87" t="s">
        <v>803</v>
      </c>
      <c r="R256" s="130">
        <v>5</v>
      </c>
      <c r="S256" s="88" t="s">
        <v>111</v>
      </c>
      <c r="T256" s="81">
        <v>20</v>
      </c>
      <c r="U256" s="81">
        <v>20</v>
      </c>
      <c r="V256" s="25">
        <f t="shared" si="150"/>
        <v>100</v>
      </c>
      <c r="W256" s="81">
        <v>20</v>
      </c>
      <c r="X256" s="81">
        <v>20</v>
      </c>
      <c r="Y256" s="25">
        <f t="shared" si="1"/>
        <v>100</v>
      </c>
      <c r="Z256" s="81">
        <v>20</v>
      </c>
      <c r="AA256" s="81"/>
      <c r="AB256" s="25">
        <f t="shared" si="2"/>
        <v>0</v>
      </c>
      <c r="AC256" s="81">
        <v>20</v>
      </c>
      <c r="AD256" s="81"/>
      <c r="AE256" s="25">
        <f t="shared" si="3"/>
        <v>0</v>
      </c>
      <c r="AF256" s="137">
        <f t="shared" si="175"/>
        <v>5</v>
      </c>
      <c r="AG256" s="137">
        <f t="shared" si="176"/>
        <v>40</v>
      </c>
      <c r="AH256" s="128">
        <f t="shared" si="130"/>
        <v>100</v>
      </c>
      <c r="AI256" s="103">
        <v>46054</v>
      </c>
      <c r="AJ256" s="103">
        <v>46387</v>
      </c>
      <c r="AK256" s="91" t="s">
        <v>676</v>
      </c>
      <c r="AL256" s="91"/>
      <c r="AM256" s="92"/>
      <c r="AN256" s="93">
        <v>0</v>
      </c>
      <c r="AO256" s="93">
        <v>0</v>
      </c>
      <c r="AP256" s="93">
        <v>0</v>
      </c>
      <c r="AQ256" s="94"/>
      <c r="AR256" s="91" t="s">
        <v>115</v>
      </c>
      <c r="AS256" s="91" t="s">
        <v>750</v>
      </c>
      <c r="AT256" s="149" t="s">
        <v>674</v>
      </c>
      <c r="AU256" s="165" t="s">
        <v>2264</v>
      </c>
      <c r="AV256" s="232" t="s">
        <v>2262</v>
      </c>
      <c r="BA256" s="191">
        <v>5</v>
      </c>
      <c r="BB256" s="192">
        <v>4</v>
      </c>
      <c r="BC256" s="223">
        <f t="shared" si="151"/>
        <v>0.8</v>
      </c>
      <c r="BD256" s="191">
        <v>5</v>
      </c>
      <c r="BE256" s="192">
        <v>4</v>
      </c>
      <c r="BF256" s="223">
        <f t="shared" si="152"/>
        <v>0.8</v>
      </c>
      <c r="BG256" s="191">
        <v>5</v>
      </c>
      <c r="BH256" s="192">
        <v>4</v>
      </c>
      <c r="BI256" s="223">
        <f t="shared" si="153"/>
        <v>0.8</v>
      </c>
      <c r="BJ256" s="224">
        <f t="shared" si="154"/>
        <v>15</v>
      </c>
      <c r="BK256" s="225">
        <f t="shared" si="155"/>
        <v>12</v>
      </c>
      <c r="BL256" s="223">
        <f t="shared" si="156"/>
        <v>0.8</v>
      </c>
      <c r="BM256" s="191">
        <v>5</v>
      </c>
      <c r="BN256" s="192">
        <v>4</v>
      </c>
      <c r="BO256" s="193">
        <v>0.8</v>
      </c>
      <c r="BP256" s="191">
        <v>5</v>
      </c>
      <c r="BQ256" s="192">
        <v>4</v>
      </c>
      <c r="BR256" s="193">
        <v>0.8</v>
      </c>
      <c r="BS256" s="191">
        <v>5</v>
      </c>
      <c r="BT256" s="192">
        <v>4</v>
      </c>
      <c r="BU256" s="193">
        <f t="shared" si="179"/>
        <v>0.8</v>
      </c>
      <c r="BV256" s="224">
        <f t="shared" si="157"/>
        <v>15</v>
      </c>
      <c r="BW256" s="224">
        <f t="shared" si="158"/>
        <v>12</v>
      </c>
      <c r="BX256" s="223">
        <f t="shared" si="159"/>
        <v>0.8</v>
      </c>
      <c r="BY256" s="223">
        <f t="shared" si="160"/>
        <v>4.8</v>
      </c>
      <c r="BZ256" s="223">
        <f t="shared" si="161"/>
        <v>-4.8</v>
      </c>
      <c r="CA256" s="196"/>
      <c r="CB256" s="175"/>
      <c r="CC256" s="191">
        <v>5</v>
      </c>
      <c r="CD256" s="192">
        <v>4</v>
      </c>
      <c r="CE256" s="193">
        <v>0.8</v>
      </c>
      <c r="CF256" s="191">
        <v>5</v>
      </c>
      <c r="CG256" s="192">
        <v>4</v>
      </c>
      <c r="CH256" s="193">
        <f t="shared" si="181"/>
        <v>0.8</v>
      </c>
      <c r="CI256" s="197"/>
      <c r="CJ256" s="198"/>
      <c r="CK256" s="193" t="e">
        <f t="shared" si="182"/>
        <v>#DIV/0!</v>
      </c>
      <c r="CL256" s="195">
        <f t="shared" si="183"/>
        <v>10</v>
      </c>
      <c r="CM256" s="194">
        <f t="shared" si="184"/>
        <v>8</v>
      </c>
      <c r="CN256" s="193">
        <f t="shared" si="185"/>
        <v>0.8</v>
      </c>
      <c r="CO256" s="175"/>
      <c r="CP256" s="196">
        <f t="shared" si="186"/>
        <v>40</v>
      </c>
      <c r="CQ256" s="196">
        <f t="shared" si="187"/>
        <v>32</v>
      </c>
      <c r="CR256" s="199">
        <f t="shared" si="188"/>
        <v>0.8</v>
      </c>
      <c r="CS256" s="261">
        <f t="shared" si="162"/>
        <v>-27</v>
      </c>
      <c r="CT256" s="175"/>
      <c r="CU256" s="196">
        <f t="shared" si="163"/>
        <v>-8.1</v>
      </c>
      <c r="CV256" s="259"/>
      <c r="CW256" s="199">
        <f t="shared" si="164"/>
        <v>0</v>
      </c>
      <c r="CX256" s="196">
        <f t="shared" si="165"/>
        <v>-8.1</v>
      </c>
      <c r="CY256" s="259"/>
      <c r="CZ256" s="199">
        <f t="shared" si="166"/>
        <v>0</v>
      </c>
      <c r="DA256" s="196">
        <f t="shared" si="167"/>
        <v>-8.1</v>
      </c>
      <c r="DB256" s="259"/>
      <c r="DC256" s="199">
        <f t="shared" si="168"/>
        <v>0</v>
      </c>
      <c r="DD256" s="196">
        <f t="shared" si="169"/>
        <v>-2.7</v>
      </c>
      <c r="DE256" s="259"/>
      <c r="DF256" s="199">
        <f t="shared" si="170"/>
        <v>0</v>
      </c>
      <c r="DG256" s="175"/>
      <c r="DH256" s="196">
        <f t="shared" si="171"/>
        <v>5</v>
      </c>
      <c r="DI256" s="196">
        <f t="shared" si="172"/>
        <v>32</v>
      </c>
      <c r="DJ256" s="199">
        <f t="shared" si="173"/>
        <v>6.4</v>
      </c>
      <c r="DK256" s="265">
        <f t="shared" si="174"/>
        <v>-27</v>
      </c>
      <c r="DM256" s="220">
        <v>246</v>
      </c>
    </row>
    <row r="257" spans="1:117" x14ac:dyDescent="0.3">
      <c r="A257" s="81">
        <v>253</v>
      </c>
      <c r="B257" s="91" t="s">
        <v>728</v>
      </c>
      <c r="C257" s="91" t="s">
        <v>118</v>
      </c>
      <c r="D257" s="91" t="s">
        <v>119</v>
      </c>
      <c r="E257" s="91" t="s">
        <v>155</v>
      </c>
      <c r="F257" s="91" t="s">
        <v>807</v>
      </c>
      <c r="G257" s="87" t="s">
        <v>711</v>
      </c>
      <c r="H257" s="87" t="s">
        <v>656</v>
      </c>
      <c r="I257" s="87" t="s">
        <v>413</v>
      </c>
      <c r="J257" s="87" t="s">
        <v>413</v>
      </c>
      <c r="K257" s="85" t="s">
        <v>754</v>
      </c>
      <c r="L257" s="85" t="s">
        <v>676</v>
      </c>
      <c r="M257" s="87" t="s">
        <v>808</v>
      </c>
      <c r="N257" s="87" t="s">
        <v>809</v>
      </c>
      <c r="O257" s="87" t="s">
        <v>659</v>
      </c>
      <c r="P257" s="87" t="s">
        <v>810</v>
      </c>
      <c r="Q257" s="87" t="s">
        <v>803</v>
      </c>
      <c r="R257" s="130">
        <v>17</v>
      </c>
      <c r="S257" s="88" t="s">
        <v>111</v>
      </c>
      <c r="T257" s="81">
        <v>25</v>
      </c>
      <c r="U257" s="81"/>
      <c r="V257" s="25">
        <f t="shared" si="150"/>
        <v>0</v>
      </c>
      <c r="W257" s="81">
        <v>25</v>
      </c>
      <c r="X257" s="81"/>
      <c r="Y257" s="25">
        <f t="shared" si="1"/>
        <v>0</v>
      </c>
      <c r="Z257" s="81">
        <v>25</v>
      </c>
      <c r="AA257" s="81"/>
      <c r="AB257" s="25">
        <f t="shared" si="2"/>
        <v>0</v>
      </c>
      <c r="AC257" s="81">
        <v>25</v>
      </c>
      <c r="AD257" s="81"/>
      <c r="AE257" s="25">
        <f t="shared" si="3"/>
        <v>0</v>
      </c>
      <c r="AF257" s="137">
        <f t="shared" si="175"/>
        <v>17</v>
      </c>
      <c r="AG257" s="137">
        <f t="shared" si="176"/>
        <v>0</v>
      </c>
      <c r="AH257" s="128">
        <f t="shared" si="130"/>
        <v>0</v>
      </c>
      <c r="AI257" s="103">
        <v>46054</v>
      </c>
      <c r="AJ257" s="103">
        <v>46387</v>
      </c>
      <c r="AK257" s="91" t="s">
        <v>676</v>
      </c>
      <c r="AL257" s="91"/>
      <c r="AM257" s="92"/>
      <c r="AN257" s="93"/>
      <c r="AO257" s="93"/>
      <c r="AP257" s="93"/>
      <c r="AQ257" s="94"/>
      <c r="AR257" s="91" t="s">
        <v>699</v>
      </c>
      <c r="AS257" s="91" t="s">
        <v>750</v>
      </c>
      <c r="AT257" s="149" t="s">
        <v>652</v>
      </c>
      <c r="AU257" s="91" t="s">
        <v>2264</v>
      </c>
      <c r="AV257" s="126" t="s">
        <v>2235</v>
      </c>
      <c r="BA257" s="191"/>
      <c r="BB257" s="192"/>
      <c r="BC257" s="223" t="e">
        <f t="shared" si="151"/>
        <v>#DIV/0!</v>
      </c>
      <c r="BD257" s="191"/>
      <c r="BE257" s="192"/>
      <c r="BF257" s="223" t="e">
        <f t="shared" si="152"/>
        <v>#DIV/0!</v>
      </c>
      <c r="BG257" s="191"/>
      <c r="BH257" s="192"/>
      <c r="BI257" s="223" t="e">
        <f t="shared" si="153"/>
        <v>#DIV/0!</v>
      </c>
      <c r="BJ257" s="224">
        <f t="shared" si="154"/>
        <v>0</v>
      </c>
      <c r="BK257" s="225">
        <f t="shared" si="155"/>
        <v>0</v>
      </c>
      <c r="BL257" s="223" t="e">
        <f t="shared" si="156"/>
        <v>#DIV/0!</v>
      </c>
      <c r="BM257" s="191"/>
      <c r="BN257" s="192"/>
      <c r="BO257" s="193" t="e">
        <f t="shared" si="177"/>
        <v>#DIV/0!</v>
      </c>
      <c r="BP257" s="191"/>
      <c r="BQ257" s="192"/>
      <c r="BR257" s="193" t="e">
        <f t="shared" si="178"/>
        <v>#DIV/0!</v>
      </c>
      <c r="BS257" s="191"/>
      <c r="BT257" s="192"/>
      <c r="BU257" s="193" t="e">
        <f t="shared" si="179"/>
        <v>#DIV/0!</v>
      </c>
      <c r="BV257" s="224">
        <f t="shared" si="157"/>
        <v>0</v>
      </c>
      <c r="BW257" s="224">
        <f t="shared" si="158"/>
        <v>0</v>
      </c>
      <c r="BX257" s="223" t="e">
        <f t="shared" si="159"/>
        <v>#DIV/0!</v>
      </c>
      <c r="BY257" s="223">
        <f t="shared" si="160"/>
        <v>0</v>
      </c>
      <c r="BZ257" s="223">
        <f t="shared" si="161"/>
        <v>0</v>
      </c>
      <c r="CA257" s="196"/>
      <c r="CB257" s="175"/>
      <c r="CC257" s="191"/>
      <c r="CD257" s="192"/>
      <c r="CE257" s="193" t="e">
        <f t="shared" si="180"/>
        <v>#DIV/0!</v>
      </c>
      <c r="CF257" s="191"/>
      <c r="CG257" s="192"/>
      <c r="CH257" s="193" t="e">
        <f t="shared" si="181"/>
        <v>#DIV/0!</v>
      </c>
      <c r="CI257" s="197"/>
      <c r="CJ257" s="198"/>
      <c r="CK257" s="193" t="e">
        <f t="shared" si="182"/>
        <v>#DIV/0!</v>
      </c>
      <c r="CL257" s="195">
        <f t="shared" si="183"/>
        <v>0</v>
      </c>
      <c r="CM257" s="194">
        <f t="shared" si="184"/>
        <v>0</v>
      </c>
      <c r="CN257" s="193" t="e">
        <f t="shared" si="185"/>
        <v>#DIV/0!</v>
      </c>
      <c r="CO257" s="175"/>
      <c r="CP257" s="196">
        <f t="shared" si="186"/>
        <v>0</v>
      </c>
      <c r="CQ257" s="196">
        <f t="shared" si="187"/>
        <v>0</v>
      </c>
      <c r="CR257" s="199" t="e">
        <f t="shared" si="188"/>
        <v>#DIV/0!</v>
      </c>
      <c r="CS257" s="261">
        <f t="shared" si="162"/>
        <v>17</v>
      </c>
      <c r="CT257" s="175"/>
      <c r="CU257" s="196">
        <f t="shared" si="163"/>
        <v>5.0999999999999996</v>
      </c>
      <c r="CV257" s="259"/>
      <c r="CW257" s="199">
        <f t="shared" si="164"/>
        <v>0</v>
      </c>
      <c r="CX257" s="196">
        <f t="shared" si="165"/>
        <v>5.0999999999999996</v>
      </c>
      <c r="CY257" s="259"/>
      <c r="CZ257" s="199">
        <f t="shared" si="166"/>
        <v>0</v>
      </c>
      <c r="DA257" s="196">
        <f t="shared" si="167"/>
        <v>5.0999999999999996</v>
      </c>
      <c r="DB257" s="259"/>
      <c r="DC257" s="199">
        <f t="shared" si="168"/>
        <v>0</v>
      </c>
      <c r="DD257" s="196">
        <f t="shared" si="169"/>
        <v>1.7000000000000002</v>
      </c>
      <c r="DE257" s="259"/>
      <c r="DF257" s="199">
        <f t="shared" si="170"/>
        <v>0</v>
      </c>
      <c r="DG257" s="175"/>
      <c r="DH257" s="196">
        <f t="shared" si="171"/>
        <v>17</v>
      </c>
      <c r="DI257" s="196">
        <f t="shared" si="172"/>
        <v>0</v>
      </c>
      <c r="DJ257" s="199">
        <f t="shared" si="173"/>
        <v>0</v>
      </c>
      <c r="DK257" s="265">
        <f t="shared" si="174"/>
        <v>17</v>
      </c>
      <c r="DM257" s="220">
        <v>247</v>
      </c>
    </row>
    <row r="258" spans="1:117" x14ac:dyDescent="0.3">
      <c r="A258" s="81">
        <v>254</v>
      </c>
      <c r="B258" s="91" t="s">
        <v>728</v>
      </c>
      <c r="C258" s="91" t="s">
        <v>118</v>
      </c>
      <c r="D258" s="91" t="s">
        <v>119</v>
      </c>
      <c r="E258" s="91" t="s">
        <v>155</v>
      </c>
      <c r="F258" s="91" t="s">
        <v>807</v>
      </c>
      <c r="G258" s="87" t="s">
        <v>711</v>
      </c>
      <c r="H258" s="87" t="s">
        <v>656</v>
      </c>
      <c r="I258" s="87" t="s">
        <v>413</v>
      </c>
      <c r="J258" s="87" t="s">
        <v>413</v>
      </c>
      <c r="K258" s="85" t="s">
        <v>754</v>
      </c>
      <c r="L258" s="85" t="s">
        <v>676</v>
      </c>
      <c r="M258" s="87" t="s">
        <v>808</v>
      </c>
      <c r="N258" s="87" t="s">
        <v>809</v>
      </c>
      <c r="O258" s="87" t="s">
        <v>659</v>
      </c>
      <c r="P258" s="87" t="s">
        <v>811</v>
      </c>
      <c r="Q258" s="87" t="s">
        <v>803</v>
      </c>
      <c r="R258" s="130">
        <v>5</v>
      </c>
      <c r="S258" s="88" t="s">
        <v>111</v>
      </c>
      <c r="T258" s="81">
        <v>25</v>
      </c>
      <c r="U258" s="81"/>
      <c r="V258" s="25">
        <f t="shared" si="150"/>
        <v>0</v>
      </c>
      <c r="W258" s="81">
        <v>25</v>
      </c>
      <c r="X258" s="81"/>
      <c r="Y258" s="25">
        <f t="shared" si="1"/>
        <v>0</v>
      </c>
      <c r="Z258" s="81">
        <v>25</v>
      </c>
      <c r="AA258" s="81"/>
      <c r="AB258" s="25">
        <f t="shared" si="2"/>
        <v>0</v>
      </c>
      <c r="AC258" s="81">
        <v>25</v>
      </c>
      <c r="AD258" s="81"/>
      <c r="AE258" s="25">
        <f t="shared" si="3"/>
        <v>0</v>
      </c>
      <c r="AF258" s="137">
        <f t="shared" si="175"/>
        <v>5</v>
      </c>
      <c r="AG258" s="137">
        <f t="shared" si="176"/>
        <v>0</v>
      </c>
      <c r="AH258" s="128">
        <f t="shared" si="130"/>
        <v>0</v>
      </c>
      <c r="AI258" s="103">
        <v>46054</v>
      </c>
      <c r="AJ258" s="103">
        <v>46387</v>
      </c>
      <c r="AK258" s="91" t="s">
        <v>676</v>
      </c>
      <c r="AL258" s="91"/>
      <c r="AM258" s="92"/>
      <c r="AN258" s="93"/>
      <c r="AO258" s="93"/>
      <c r="AP258" s="93"/>
      <c r="AQ258" s="94"/>
      <c r="AR258" s="91" t="s">
        <v>812</v>
      </c>
      <c r="AS258" s="91" t="s">
        <v>750</v>
      </c>
      <c r="AT258" s="149" t="s">
        <v>652</v>
      </c>
      <c r="AU258" s="91" t="s">
        <v>2264</v>
      </c>
      <c r="AV258" s="126" t="s">
        <v>2235</v>
      </c>
      <c r="BA258" s="191"/>
      <c r="BB258" s="192"/>
      <c r="BC258" s="223" t="e">
        <f t="shared" si="151"/>
        <v>#DIV/0!</v>
      </c>
      <c r="BD258" s="191"/>
      <c r="BE258" s="192"/>
      <c r="BF258" s="223" t="e">
        <f t="shared" si="152"/>
        <v>#DIV/0!</v>
      </c>
      <c r="BG258" s="191"/>
      <c r="BH258" s="192"/>
      <c r="BI258" s="223" t="e">
        <f t="shared" si="153"/>
        <v>#DIV/0!</v>
      </c>
      <c r="BJ258" s="224">
        <f t="shared" si="154"/>
        <v>0</v>
      </c>
      <c r="BK258" s="225">
        <f t="shared" si="155"/>
        <v>0</v>
      </c>
      <c r="BL258" s="223" t="e">
        <f t="shared" si="156"/>
        <v>#DIV/0!</v>
      </c>
      <c r="BM258" s="191"/>
      <c r="BN258" s="192"/>
      <c r="BO258" s="193" t="e">
        <f t="shared" si="177"/>
        <v>#DIV/0!</v>
      </c>
      <c r="BP258" s="191"/>
      <c r="BQ258" s="192"/>
      <c r="BR258" s="193" t="e">
        <f t="shared" si="178"/>
        <v>#DIV/0!</v>
      </c>
      <c r="BS258" s="191"/>
      <c r="BT258" s="192"/>
      <c r="BU258" s="193" t="e">
        <f t="shared" si="179"/>
        <v>#DIV/0!</v>
      </c>
      <c r="BV258" s="224">
        <f t="shared" si="157"/>
        <v>0</v>
      </c>
      <c r="BW258" s="224">
        <f t="shared" si="158"/>
        <v>0</v>
      </c>
      <c r="BX258" s="223" t="e">
        <f t="shared" si="159"/>
        <v>#DIV/0!</v>
      </c>
      <c r="BY258" s="223">
        <f t="shared" si="160"/>
        <v>0</v>
      </c>
      <c r="BZ258" s="223">
        <f t="shared" si="161"/>
        <v>0</v>
      </c>
      <c r="CA258" s="196"/>
      <c r="CB258" s="175"/>
      <c r="CC258" s="191"/>
      <c r="CD258" s="192"/>
      <c r="CE258" s="193" t="e">
        <f t="shared" si="180"/>
        <v>#DIV/0!</v>
      </c>
      <c r="CF258" s="191"/>
      <c r="CG258" s="192"/>
      <c r="CH258" s="193" t="e">
        <f t="shared" si="181"/>
        <v>#DIV/0!</v>
      </c>
      <c r="CI258" s="197"/>
      <c r="CJ258" s="198"/>
      <c r="CK258" s="193" t="e">
        <f t="shared" si="182"/>
        <v>#DIV/0!</v>
      </c>
      <c r="CL258" s="195">
        <f t="shared" si="183"/>
        <v>0</v>
      </c>
      <c r="CM258" s="194">
        <f t="shared" si="184"/>
        <v>0</v>
      </c>
      <c r="CN258" s="193" t="e">
        <f t="shared" si="185"/>
        <v>#DIV/0!</v>
      </c>
      <c r="CO258" s="175"/>
      <c r="CP258" s="196">
        <f t="shared" si="186"/>
        <v>0</v>
      </c>
      <c r="CQ258" s="196">
        <f t="shared" si="187"/>
        <v>0</v>
      </c>
      <c r="CR258" s="199" t="e">
        <f t="shared" si="188"/>
        <v>#DIV/0!</v>
      </c>
      <c r="CS258" s="261">
        <f t="shared" si="162"/>
        <v>5</v>
      </c>
      <c r="CT258" s="175"/>
      <c r="CU258" s="196">
        <f t="shared" si="163"/>
        <v>1.5</v>
      </c>
      <c r="CV258" s="259"/>
      <c r="CW258" s="199">
        <f t="shared" si="164"/>
        <v>0</v>
      </c>
      <c r="CX258" s="196">
        <f t="shared" si="165"/>
        <v>1.5</v>
      </c>
      <c r="CY258" s="259"/>
      <c r="CZ258" s="199">
        <f t="shared" si="166"/>
        <v>0</v>
      </c>
      <c r="DA258" s="196">
        <f t="shared" si="167"/>
        <v>1.5</v>
      </c>
      <c r="DB258" s="259"/>
      <c r="DC258" s="199">
        <f t="shared" si="168"/>
        <v>0</v>
      </c>
      <c r="DD258" s="196">
        <f t="shared" si="169"/>
        <v>0.5</v>
      </c>
      <c r="DE258" s="259"/>
      <c r="DF258" s="199">
        <f t="shared" si="170"/>
        <v>0</v>
      </c>
      <c r="DG258" s="175"/>
      <c r="DH258" s="196">
        <f t="shared" si="171"/>
        <v>5</v>
      </c>
      <c r="DI258" s="196">
        <f t="shared" si="172"/>
        <v>0</v>
      </c>
      <c r="DJ258" s="199">
        <f t="shared" si="173"/>
        <v>0</v>
      </c>
      <c r="DK258" s="265">
        <f t="shared" si="174"/>
        <v>5</v>
      </c>
      <c r="DM258" s="220">
        <v>248</v>
      </c>
    </row>
    <row r="259" spans="1:117" x14ac:dyDescent="0.3">
      <c r="A259" s="81">
        <v>255</v>
      </c>
      <c r="B259" s="91" t="s">
        <v>728</v>
      </c>
      <c r="C259" s="91" t="s">
        <v>118</v>
      </c>
      <c r="D259" s="91" t="s">
        <v>119</v>
      </c>
      <c r="E259" s="91" t="s">
        <v>155</v>
      </c>
      <c r="F259" s="91" t="s">
        <v>807</v>
      </c>
      <c r="G259" s="87" t="s">
        <v>711</v>
      </c>
      <c r="H259" s="87" t="s">
        <v>656</v>
      </c>
      <c r="I259" s="87" t="s">
        <v>413</v>
      </c>
      <c r="J259" s="87" t="s">
        <v>413</v>
      </c>
      <c r="K259" s="85" t="s">
        <v>754</v>
      </c>
      <c r="L259" s="85" t="s">
        <v>676</v>
      </c>
      <c r="M259" s="87"/>
      <c r="N259" s="87" t="s">
        <v>809</v>
      </c>
      <c r="O259" s="87" t="s">
        <v>659</v>
      </c>
      <c r="P259" s="87" t="s">
        <v>813</v>
      </c>
      <c r="Q259" s="87" t="s">
        <v>803</v>
      </c>
      <c r="R259" s="130">
        <v>35</v>
      </c>
      <c r="S259" s="88" t="s">
        <v>111</v>
      </c>
      <c r="T259" s="81"/>
      <c r="U259" s="81"/>
      <c r="V259" s="25" t="e">
        <f t="shared" si="150"/>
        <v>#DIV/0!</v>
      </c>
      <c r="W259" s="81"/>
      <c r="X259" s="81"/>
      <c r="Y259" s="25" t="e">
        <f t="shared" si="1"/>
        <v>#DIV/0!</v>
      </c>
      <c r="Z259" s="81"/>
      <c r="AA259" s="81"/>
      <c r="AB259" s="25" t="e">
        <f t="shared" si="2"/>
        <v>#DIV/0!</v>
      </c>
      <c r="AC259" s="81">
        <v>5</v>
      </c>
      <c r="AD259" s="81"/>
      <c r="AE259" s="25">
        <f t="shared" si="3"/>
        <v>0</v>
      </c>
      <c r="AF259" s="137">
        <f t="shared" si="175"/>
        <v>35</v>
      </c>
      <c r="AG259" s="137">
        <f t="shared" si="176"/>
        <v>0</v>
      </c>
      <c r="AH259" s="128">
        <f t="shared" si="130"/>
        <v>0</v>
      </c>
      <c r="AI259" s="103">
        <v>46054</v>
      </c>
      <c r="AJ259" s="103">
        <v>46387</v>
      </c>
      <c r="AK259" s="91" t="s">
        <v>676</v>
      </c>
      <c r="AL259" s="91"/>
      <c r="AM259" s="92"/>
      <c r="AN259" s="93"/>
      <c r="AO259" s="93"/>
      <c r="AP259" s="93"/>
      <c r="AQ259" s="94"/>
      <c r="AR259" s="91" t="s">
        <v>812</v>
      </c>
      <c r="AS259" s="91" t="s">
        <v>750</v>
      </c>
      <c r="AT259" s="149" t="s">
        <v>652</v>
      </c>
      <c r="AU259" s="91" t="s">
        <v>2264</v>
      </c>
      <c r="AV259" s="126" t="s">
        <v>2235</v>
      </c>
      <c r="BA259" s="191"/>
      <c r="BB259" s="192"/>
      <c r="BC259" s="223" t="e">
        <f t="shared" si="151"/>
        <v>#DIV/0!</v>
      </c>
      <c r="BD259" s="191"/>
      <c r="BE259" s="192"/>
      <c r="BF259" s="223" t="e">
        <f t="shared" si="152"/>
        <v>#DIV/0!</v>
      </c>
      <c r="BG259" s="191"/>
      <c r="BH259" s="192"/>
      <c r="BI259" s="223" t="e">
        <f t="shared" si="153"/>
        <v>#DIV/0!</v>
      </c>
      <c r="BJ259" s="224">
        <f t="shared" si="154"/>
        <v>0</v>
      </c>
      <c r="BK259" s="225">
        <f t="shared" si="155"/>
        <v>0</v>
      </c>
      <c r="BL259" s="223" t="e">
        <f t="shared" si="156"/>
        <v>#DIV/0!</v>
      </c>
      <c r="BM259" s="191"/>
      <c r="BN259" s="192"/>
      <c r="BO259" s="193" t="e">
        <f t="shared" si="177"/>
        <v>#DIV/0!</v>
      </c>
      <c r="BP259" s="191"/>
      <c r="BQ259" s="192"/>
      <c r="BR259" s="193" t="e">
        <f t="shared" si="178"/>
        <v>#DIV/0!</v>
      </c>
      <c r="BS259" s="191"/>
      <c r="BT259" s="192"/>
      <c r="BU259" s="193" t="e">
        <f t="shared" si="179"/>
        <v>#DIV/0!</v>
      </c>
      <c r="BV259" s="224">
        <f t="shared" si="157"/>
        <v>0</v>
      </c>
      <c r="BW259" s="224">
        <f t="shared" si="158"/>
        <v>0</v>
      </c>
      <c r="BX259" s="223" t="e">
        <f t="shared" si="159"/>
        <v>#DIV/0!</v>
      </c>
      <c r="BY259" s="223">
        <f t="shared" si="160"/>
        <v>0</v>
      </c>
      <c r="BZ259" s="223">
        <f t="shared" si="161"/>
        <v>0</v>
      </c>
      <c r="CA259" s="196"/>
      <c r="CB259" s="175"/>
      <c r="CC259" s="191"/>
      <c r="CD259" s="192"/>
      <c r="CE259" s="193" t="e">
        <f t="shared" si="180"/>
        <v>#DIV/0!</v>
      </c>
      <c r="CF259" s="191"/>
      <c r="CG259" s="192"/>
      <c r="CH259" s="193" t="e">
        <f t="shared" si="181"/>
        <v>#DIV/0!</v>
      </c>
      <c r="CI259" s="197"/>
      <c r="CJ259" s="198"/>
      <c r="CK259" s="193" t="e">
        <f t="shared" si="182"/>
        <v>#DIV/0!</v>
      </c>
      <c r="CL259" s="195">
        <f t="shared" si="183"/>
        <v>0</v>
      </c>
      <c r="CM259" s="194">
        <f t="shared" si="184"/>
        <v>0</v>
      </c>
      <c r="CN259" s="193" t="e">
        <f t="shared" si="185"/>
        <v>#DIV/0!</v>
      </c>
      <c r="CO259" s="175"/>
      <c r="CP259" s="196">
        <f t="shared" si="186"/>
        <v>0</v>
      </c>
      <c r="CQ259" s="196">
        <f t="shared" si="187"/>
        <v>0</v>
      </c>
      <c r="CR259" s="199" t="e">
        <f t="shared" si="188"/>
        <v>#DIV/0!</v>
      </c>
      <c r="CS259" s="261">
        <f t="shared" si="162"/>
        <v>35</v>
      </c>
      <c r="CT259" s="175"/>
      <c r="CU259" s="196">
        <f t="shared" si="163"/>
        <v>10.5</v>
      </c>
      <c r="CV259" s="259"/>
      <c r="CW259" s="199">
        <f t="shared" si="164"/>
        <v>0</v>
      </c>
      <c r="CX259" s="196">
        <f t="shared" si="165"/>
        <v>10.5</v>
      </c>
      <c r="CY259" s="259"/>
      <c r="CZ259" s="199">
        <f t="shared" si="166"/>
        <v>0</v>
      </c>
      <c r="DA259" s="196">
        <f t="shared" si="167"/>
        <v>10.5</v>
      </c>
      <c r="DB259" s="259"/>
      <c r="DC259" s="199">
        <f t="shared" si="168"/>
        <v>0</v>
      </c>
      <c r="DD259" s="196">
        <f t="shared" si="169"/>
        <v>3.5</v>
      </c>
      <c r="DE259" s="259"/>
      <c r="DF259" s="199">
        <f t="shared" si="170"/>
        <v>0</v>
      </c>
      <c r="DG259" s="175"/>
      <c r="DH259" s="196">
        <f t="shared" si="171"/>
        <v>35</v>
      </c>
      <c r="DI259" s="196">
        <f t="shared" si="172"/>
        <v>0</v>
      </c>
      <c r="DJ259" s="199">
        <f t="shared" si="173"/>
        <v>0</v>
      </c>
      <c r="DK259" s="265">
        <f t="shared" si="174"/>
        <v>35</v>
      </c>
      <c r="DM259" s="220">
        <v>249</v>
      </c>
    </row>
    <row r="260" spans="1:117" x14ac:dyDescent="0.3">
      <c r="A260" s="81">
        <v>256</v>
      </c>
      <c r="B260" s="91" t="s">
        <v>728</v>
      </c>
      <c r="C260" s="91" t="s">
        <v>118</v>
      </c>
      <c r="D260" s="91" t="s">
        <v>119</v>
      </c>
      <c r="E260" s="91" t="s">
        <v>155</v>
      </c>
      <c r="F260" s="91" t="s">
        <v>807</v>
      </c>
      <c r="G260" s="87" t="s">
        <v>711</v>
      </c>
      <c r="H260" s="87" t="s">
        <v>656</v>
      </c>
      <c r="I260" s="87" t="s">
        <v>413</v>
      </c>
      <c r="J260" s="87" t="s">
        <v>413</v>
      </c>
      <c r="K260" s="85" t="s">
        <v>754</v>
      </c>
      <c r="L260" s="85" t="s">
        <v>676</v>
      </c>
      <c r="M260" s="87"/>
      <c r="N260" s="87" t="s">
        <v>809</v>
      </c>
      <c r="O260" s="87" t="s">
        <v>659</v>
      </c>
      <c r="P260" s="87" t="s">
        <v>814</v>
      </c>
      <c r="Q260" s="87" t="s">
        <v>803</v>
      </c>
      <c r="R260" s="130">
        <v>1</v>
      </c>
      <c r="S260" s="88" t="s">
        <v>111</v>
      </c>
      <c r="T260" s="81"/>
      <c r="U260" s="81"/>
      <c r="V260" s="25" t="e">
        <f t="shared" si="150"/>
        <v>#DIV/0!</v>
      </c>
      <c r="W260" s="81"/>
      <c r="X260" s="81"/>
      <c r="Y260" s="25" t="e">
        <f t="shared" ref="Y260:Y281" si="190">X260/W260*100</f>
        <v>#DIV/0!</v>
      </c>
      <c r="Z260" s="81"/>
      <c r="AA260" s="81"/>
      <c r="AB260" s="25" t="e">
        <f t="shared" ref="AB260:AB281" si="191">AA260/Z260*100</f>
        <v>#DIV/0!</v>
      </c>
      <c r="AC260" s="81">
        <v>5</v>
      </c>
      <c r="AD260" s="81"/>
      <c r="AE260" s="25">
        <f t="shared" ref="AE260:AE281" si="192">AD260/AC260*100</f>
        <v>0</v>
      </c>
      <c r="AF260" s="137">
        <f t="shared" si="175"/>
        <v>1</v>
      </c>
      <c r="AG260" s="137">
        <f t="shared" si="176"/>
        <v>0</v>
      </c>
      <c r="AH260" s="128">
        <f t="shared" si="130"/>
        <v>0</v>
      </c>
      <c r="AI260" s="103">
        <v>46054</v>
      </c>
      <c r="AJ260" s="103">
        <v>46387</v>
      </c>
      <c r="AK260" s="91" t="s">
        <v>676</v>
      </c>
      <c r="AL260" s="91"/>
      <c r="AM260" s="92"/>
      <c r="AN260" s="93"/>
      <c r="AO260" s="93"/>
      <c r="AP260" s="93"/>
      <c r="AQ260" s="94"/>
      <c r="AR260" s="91" t="s">
        <v>812</v>
      </c>
      <c r="AS260" s="91" t="s">
        <v>750</v>
      </c>
      <c r="AT260" s="149" t="s">
        <v>815</v>
      </c>
      <c r="AU260" s="91" t="s">
        <v>2264</v>
      </c>
      <c r="AV260" s="126" t="s">
        <v>2236</v>
      </c>
      <c r="BA260" s="191"/>
      <c r="BB260" s="192"/>
      <c r="BC260" s="223" t="e">
        <f t="shared" si="151"/>
        <v>#DIV/0!</v>
      </c>
      <c r="BD260" s="191"/>
      <c r="BE260" s="192"/>
      <c r="BF260" s="223" t="e">
        <f t="shared" si="152"/>
        <v>#DIV/0!</v>
      </c>
      <c r="BG260" s="191"/>
      <c r="BH260" s="192"/>
      <c r="BI260" s="223" t="e">
        <f t="shared" si="153"/>
        <v>#DIV/0!</v>
      </c>
      <c r="BJ260" s="224">
        <f t="shared" si="154"/>
        <v>0</v>
      </c>
      <c r="BK260" s="225">
        <f t="shared" si="155"/>
        <v>0</v>
      </c>
      <c r="BL260" s="223" t="e">
        <f t="shared" si="156"/>
        <v>#DIV/0!</v>
      </c>
      <c r="BM260" s="191"/>
      <c r="BN260" s="192"/>
      <c r="BO260" s="193" t="e">
        <f t="shared" si="177"/>
        <v>#DIV/0!</v>
      </c>
      <c r="BP260" s="191"/>
      <c r="BQ260" s="192"/>
      <c r="BR260" s="193" t="e">
        <f t="shared" si="178"/>
        <v>#DIV/0!</v>
      </c>
      <c r="BS260" s="191"/>
      <c r="BT260" s="192"/>
      <c r="BU260" s="193" t="e">
        <f t="shared" si="179"/>
        <v>#DIV/0!</v>
      </c>
      <c r="BV260" s="224">
        <f t="shared" si="157"/>
        <v>0</v>
      </c>
      <c r="BW260" s="224">
        <f t="shared" si="158"/>
        <v>0</v>
      </c>
      <c r="BX260" s="223" t="e">
        <f t="shared" si="159"/>
        <v>#DIV/0!</v>
      </c>
      <c r="BY260" s="223">
        <f t="shared" si="160"/>
        <v>0</v>
      </c>
      <c r="BZ260" s="223">
        <f t="shared" si="161"/>
        <v>0</v>
      </c>
      <c r="CA260" s="196"/>
      <c r="CB260" s="175"/>
      <c r="CC260" s="191"/>
      <c r="CD260" s="192"/>
      <c r="CE260" s="193" t="e">
        <f t="shared" si="180"/>
        <v>#DIV/0!</v>
      </c>
      <c r="CF260" s="191"/>
      <c r="CG260" s="192"/>
      <c r="CH260" s="193" t="e">
        <f t="shared" si="181"/>
        <v>#DIV/0!</v>
      </c>
      <c r="CI260" s="197"/>
      <c r="CJ260" s="198"/>
      <c r="CK260" s="193" t="e">
        <f t="shared" si="182"/>
        <v>#DIV/0!</v>
      </c>
      <c r="CL260" s="195">
        <f t="shared" si="183"/>
        <v>0</v>
      </c>
      <c r="CM260" s="194">
        <f t="shared" si="184"/>
        <v>0</v>
      </c>
      <c r="CN260" s="193" t="e">
        <f t="shared" si="185"/>
        <v>#DIV/0!</v>
      </c>
      <c r="CO260" s="175"/>
      <c r="CP260" s="196">
        <f t="shared" si="186"/>
        <v>0</v>
      </c>
      <c r="CQ260" s="196">
        <f t="shared" si="187"/>
        <v>0</v>
      </c>
      <c r="CR260" s="199" t="e">
        <f t="shared" si="188"/>
        <v>#DIV/0!</v>
      </c>
      <c r="CS260" s="261">
        <f t="shared" si="162"/>
        <v>1</v>
      </c>
      <c r="CT260" s="175"/>
      <c r="CU260" s="196">
        <f t="shared" si="163"/>
        <v>0.3</v>
      </c>
      <c r="CV260" s="259"/>
      <c r="CW260" s="199">
        <f t="shared" si="164"/>
        <v>0</v>
      </c>
      <c r="CX260" s="196">
        <f t="shared" si="165"/>
        <v>0.3</v>
      </c>
      <c r="CY260" s="259"/>
      <c r="CZ260" s="199">
        <f t="shared" si="166"/>
        <v>0</v>
      </c>
      <c r="DA260" s="196">
        <f t="shared" si="167"/>
        <v>0.3</v>
      </c>
      <c r="DB260" s="259"/>
      <c r="DC260" s="199">
        <f t="shared" si="168"/>
        <v>0</v>
      </c>
      <c r="DD260" s="196">
        <f t="shared" si="169"/>
        <v>0.1</v>
      </c>
      <c r="DE260" s="259"/>
      <c r="DF260" s="199">
        <f t="shared" si="170"/>
        <v>0</v>
      </c>
      <c r="DG260" s="175"/>
      <c r="DH260" s="196">
        <f t="shared" si="171"/>
        <v>1</v>
      </c>
      <c r="DI260" s="196">
        <f t="shared" si="172"/>
        <v>0</v>
      </c>
      <c r="DJ260" s="199">
        <f t="shared" si="173"/>
        <v>0</v>
      </c>
      <c r="DK260" s="265">
        <f t="shared" si="174"/>
        <v>1</v>
      </c>
    </row>
    <row r="261" spans="1:117" x14ac:dyDescent="0.3">
      <c r="A261" s="81">
        <v>258</v>
      </c>
      <c r="B261" s="91" t="s">
        <v>728</v>
      </c>
      <c r="C261" s="91" t="s">
        <v>118</v>
      </c>
      <c r="D261" s="91" t="s">
        <v>119</v>
      </c>
      <c r="E261" s="91" t="s">
        <v>155</v>
      </c>
      <c r="F261" s="91" t="s">
        <v>807</v>
      </c>
      <c r="G261" s="87" t="s">
        <v>711</v>
      </c>
      <c r="H261" s="87" t="s">
        <v>656</v>
      </c>
      <c r="I261" s="87" t="s">
        <v>413</v>
      </c>
      <c r="J261" s="87" t="s">
        <v>413</v>
      </c>
      <c r="K261" s="85" t="s">
        <v>754</v>
      </c>
      <c r="L261" s="85" t="s">
        <v>676</v>
      </c>
      <c r="M261" s="87"/>
      <c r="N261" s="87" t="s">
        <v>809</v>
      </c>
      <c r="O261" s="87" t="s">
        <v>659</v>
      </c>
      <c r="P261" s="87" t="s">
        <v>816</v>
      </c>
      <c r="Q261" s="87" t="s">
        <v>803</v>
      </c>
      <c r="R261" s="130">
        <v>1</v>
      </c>
      <c r="S261" s="88" t="s">
        <v>737</v>
      </c>
      <c r="T261" s="81"/>
      <c r="U261" s="81"/>
      <c r="V261" s="25" t="e">
        <f t="shared" si="150"/>
        <v>#DIV/0!</v>
      </c>
      <c r="W261" s="81"/>
      <c r="X261" s="81"/>
      <c r="Y261" s="25" t="e">
        <f t="shared" si="190"/>
        <v>#DIV/0!</v>
      </c>
      <c r="Z261" s="81"/>
      <c r="AA261" s="81"/>
      <c r="AB261" s="25" t="e">
        <f t="shared" si="191"/>
        <v>#DIV/0!</v>
      </c>
      <c r="AC261" s="81">
        <v>17</v>
      </c>
      <c r="AD261" s="81"/>
      <c r="AE261" s="25">
        <f t="shared" si="192"/>
        <v>0</v>
      </c>
      <c r="AF261" s="137">
        <f t="shared" si="175"/>
        <v>1</v>
      </c>
      <c r="AG261" s="137">
        <f t="shared" si="176"/>
        <v>0</v>
      </c>
      <c r="AH261" s="128">
        <f t="shared" si="130"/>
        <v>0</v>
      </c>
      <c r="AI261" s="103">
        <v>46054</v>
      </c>
      <c r="AJ261" s="103">
        <v>46387</v>
      </c>
      <c r="AK261" s="91" t="s">
        <v>676</v>
      </c>
      <c r="AL261" s="91"/>
      <c r="AM261" s="92"/>
      <c r="AN261" s="93"/>
      <c r="AO261" s="93"/>
      <c r="AP261" s="93"/>
      <c r="AQ261" s="94"/>
      <c r="AR261" s="91" t="s">
        <v>812</v>
      </c>
      <c r="AS261" s="91" t="s">
        <v>750</v>
      </c>
      <c r="AT261" s="149" t="s">
        <v>652</v>
      </c>
      <c r="AU261" s="91" t="s">
        <v>2264</v>
      </c>
      <c r="AV261" s="126" t="s">
        <v>2235</v>
      </c>
      <c r="BA261" s="191"/>
      <c r="BB261" s="192"/>
      <c r="BC261" s="223" t="e">
        <f t="shared" si="151"/>
        <v>#DIV/0!</v>
      </c>
      <c r="BD261" s="191"/>
      <c r="BE261" s="192"/>
      <c r="BF261" s="223" t="e">
        <f t="shared" si="152"/>
        <v>#DIV/0!</v>
      </c>
      <c r="BG261" s="191"/>
      <c r="BH261" s="192"/>
      <c r="BI261" s="223" t="e">
        <f t="shared" si="153"/>
        <v>#DIV/0!</v>
      </c>
      <c r="BJ261" s="224">
        <f t="shared" si="154"/>
        <v>0</v>
      </c>
      <c r="BK261" s="225">
        <f t="shared" si="155"/>
        <v>0</v>
      </c>
      <c r="BL261" s="223" t="e">
        <f t="shared" si="156"/>
        <v>#DIV/0!</v>
      </c>
      <c r="BM261" s="191"/>
      <c r="BN261" s="192"/>
      <c r="BO261" s="193" t="e">
        <f t="shared" si="177"/>
        <v>#DIV/0!</v>
      </c>
      <c r="BP261" s="191"/>
      <c r="BQ261" s="192"/>
      <c r="BR261" s="193" t="e">
        <f t="shared" si="178"/>
        <v>#DIV/0!</v>
      </c>
      <c r="BS261" s="191"/>
      <c r="BT261" s="192"/>
      <c r="BU261" s="193" t="e">
        <f t="shared" si="179"/>
        <v>#DIV/0!</v>
      </c>
      <c r="BV261" s="224">
        <f t="shared" si="157"/>
        <v>0</v>
      </c>
      <c r="BW261" s="224">
        <f t="shared" si="158"/>
        <v>0</v>
      </c>
      <c r="BX261" s="223" t="e">
        <f t="shared" si="159"/>
        <v>#DIV/0!</v>
      </c>
      <c r="BY261" s="223">
        <f t="shared" si="160"/>
        <v>0</v>
      </c>
      <c r="BZ261" s="223">
        <f t="shared" si="161"/>
        <v>0</v>
      </c>
      <c r="CA261" s="196"/>
      <c r="CB261" s="175"/>
      <c r="CC261" s="191"/>
      <c r="CD261" s="192"/>
      <c r="CE261" s="193" t="e">
        <f t="shared" si="180"/>
        <v>#DIV/0!</v>
      </c>
      <c r="CF261" s="191"/>
      <c r="CG261" s="192"/>
      <c r="CH261" s="193" t="e">
        <f t="shared" si="181"/>
        <v>#DIV/0!</v>
      </c>
      <c r="CI261" s="197"/>
      <c r="CJ261" s="198"/>
      <c r="CK261" s="193" t="e">
        <f t="shared" si="182"/>
        <v>#DIV/0!</v>
      </c>
      <c r="CL261" s="195">
        <f t="shared" si="183"/>
        <v>0</v>
      </c>
      <c r="CM261" s="194">
        <f t="shared" si="184"/>
        <v>0</v>
      </c>
      <c r="CN261" s="193" t="e">
        <f t="shared" si="185"/>
        <v>#DIV/0!</v>
      </c>
      <c r="CO261" s="175"/>
      <c r="CP261" s="196">
        <f t="shared" si="186"/>
        <v>0</v>
      </c>
      <c r="CQ261" s="196">
        <f t="shared" si="187"/>
        <v>0</v>
      </c>
      <c r="CR261" s="199" t="e">
        <f t="shared" si="188"/>
        <v>#DIV/0!</v>
      </c>
      <c r="CS261" s="261">
        <f t="shared" si="162"/>
        <v>1</v>
      </c>
      <c r="CT261" s="175"/>
      <c r="CU261" s="196">
        <f t="shared" si="163"/>
        <v>0.3</v>
      </c>
      <c r="CV261" s="259"/>
      <c r="CW261" s="199">
        <f t="shared" si="164"/>
        <v>0</v>
      </c>
      <c r="CX261" s="196">
        <f t="shared" si="165"/>
        <v>0.3</v>
      </c>
      <c r="CY261" s="259"/>
      <c r="CZ261" s="199">
        <f t="shared" si="166"/>
        <v>0</v>
      </c>
      <c r="DA261" s="196">
        <f t="shared" si="167"/>
        <v>0.3</v>
      </c>
      <c r="DB261" s="259"/>
      <c r="DC261" s="199">
        <f t="shared" si="168"/>
        <v>0</v>
      </c>
      <c r="DD261" s="196">
        <f t="shared" si="169"/>
        <v>0.1</v>
      </c>
      <c r="DE261" s="259"/>
      <c r="DF261" s="199">
        <f t="shared" si="170"/>
        <v>0</v>
      </c>
      <c r="DG261" s="175"/>
      <c r="DH261" s="196">
        <f t="shared" si="171"/>
        <v>1</v>
      </c>
      <c r="DI261" s="196">
        <f t="shared" si="172"/>
        <v>0</v>
      </c>
      <c r="DJ261" s="199">
        <f t="shared" si="173"/>
        <v>0</v>
      </c>
      <c r="DK261" s="265">
        <f t="shared" si="174"/>
        <v>1</v>
      </c>
    </row>
    <row r="262" spans="1:117" x14ac:dyDescent="0.3">
      <c r="A262" s="81">
        <v>259</v>
      </c>
      <c r="B262" s="91" t="s">
        <v>728</v>
      </c>
      <c r="C262" s="91" t="s">
        <v>118</v>
      </c>
      <c r="D262" s="91" t="s">
        <v>119</v>
      </c>
      <c r="E262" s="91" t="s">
        <v>155</v>
      </c>
      <c r="F262" s="91" t="s">
        <v>807</v>
      </c>
      <c r="G262" s="87" t="s">
        <v>711</v>
      </c>
      <c r="H262" s="87" t="s">
        <v>656</v>
      </c>
      <c r="I262" s="87" t="s">
        <v>413</v>
      </c>
      <c r="J262" s="87" t="s">
        <v>413</v>
      </c>
      <c r="K262" s="85" t="s">
        <v>754</v>
      </c>
      <c r="L262" s="85" t="s">
        <v>676</v>
      </c>
      <c r="M262" s="87"/>
      <c r="N262" s="87" t="s">
        <v>809</v>
      </c>
      <c r="O262" s="87" t="s">
        <v>659</v>
      </c>
      <c r="P262" s="87" t="s">
        <v>817</v>
      </c>
      <c r="Q262" s="87" t="s">
        <v>803</v>
      </c>
      <c r="R262" s="130">
        <v>100</v>
      </c>
      <c r="S262" s="88" t="s">
        <v>745</v>
      </c>
      <c r="T262" s="81"/>
      <c r="U262" s="81"/>
      <c r="V262" s="25" t="e">
        <f t="shared" si="150"/>
        <v>#DIV/0!</v>
      </c>
      <c r="W262" s="81"/>
      <c r="X262" s="81"/>
      <c r="Y262" s="25" t="e">
        <f t="shared" si="190"/>
        <v>#DIV/0!</v>
      </c>
      <c r="Z262" s="81"/>
      <c r="AA262" s="81"/>
      <c r="AB262" s="25" t="e">
        <f t="shared" si="191"/>
        <v>#DIV/0!</v>
      </c>
      <c r="AC262" s="81">
        <v>5</v>
      </c>
      <c r="AD262" s="81"/>
      <c r="AE262" s="25">
        <f t="shared" si="192"/>
        <v>0</v>
      </c>
      <c r="AF262" s="137">
        <f t="shared" si="175"/>
        <v>100</v>
      </c>
      <c r="AG262" s="137">
        <f t="shared" si="176"/>
        <v>0</v>
      </c>
      <c r="AH262" s="128">
        <f t="shared" si="130"/>
        <v>0</v>
      </c>
      <c r="AI262" s="103">
        <v>46054</v>
      </c>
      <c r="AJ262" s="103">
        <v>46387</v>
      </c>
      <c r="AK262" s="91" t="s">
        <v>676</v>
      </c>
      <c r="AL262" s="91"/>
      <c r="AM262" s="92"/>
      <c r="AN262" s="93"/>
      <c r="AO262" s="93"/>
      <c r="AP262" s="93"/>
      <c r="AQ262" s="94"/>
      <c r="AR262" s="91" t="s">
        <v>812</v>
      </c>
      <c r="AS262" s="91" t="s">
        <v>750</v>
      </c>
      <c r="AT262" s="149" t="s">
        <v>815</v>
      </c>
      <c r="AU262" s="91" t="s">
        <v>2264</v>
      </c>
      <c r="AV262" s="126" t="s">
        <v>2236</v>
      </c>
      <c r="BA262" s="191"/>
      <c r="BB262" s="192"/>
      <c r="BC262" s="223" t="e">
        <f t="shared" ref="BC262:BC281" si="193">+BB262/BA262</f>
        <v>#DIV/0!</v>
      </c>
      <c r="BD262" s="191"/>
      <c r="BE262" s="192"/>
      <c r="BF262" s="223" t="e">
        <f t="shared" ref="BF262:BF281" si="194">+BE262/BD262</f>
        <v>#DIV/0!</v>
      </c>
      <c r="BG262" s="191"/>
      <c r="BH262" s="192"/>
      <c r="BI262" s="223" t="e">
        <f t="shared" ref="BI262:BI281" si="195">+BH262/BG262</f>
        <v>#DIV/0!</v>
      </c>
      <c r="BJ262" s="224">
        <f t="shared" ref="BJ262:BJ281" si="196">+BA262+BD262+BG262</f>
        <v>0</v>
      </c>
      <c r="BK262" s="225">
        <f t="shared" ref="BK262:BK281" si="197">+BB262+BE262+BH262</f>
        <v>0</v>
      </c>
      <c r="BL262" s="223" t="e">
        <f t="shared" ref="BL262:BL281" si="198">+BK262/BJ262</f>
        <v>#DIV/0!</v>
      </c>
      <c r="BM262" s="191"/>
      <c r="BN262" s="192"/>
      <c r="BO262" s="193" t="e">
        <f t="shared" si="177"/>
        <v>#DIV/0!</v>
      </c>
      <c r="BP262" s="191"/>
      <c r="BQ262" s="192"/>
      <c r="BR262" s="193" t="e">
        <f t="shared" si="178"/>
        <v>#DIV/0!</v>
      </c>
      <c r="BS262" s="191"/>
      <c r="BT262" s="192"/>
      <c r="BU262" s="193" t="e">
        <f t="shared" si="179"/>
        <v>#DIV/0!</v>
      </c>
      <c r="BV262" s="224">
        <f t="shared" ref="BV262:BV281" si="199">+BM262+BP262+BS262</f>
        <v>0</v>
      </c>
      <c r="BW262" s="224">
        <f t="shared" ref="BW262:BW281" si="200">+BN262+BQ262+BT262</f>
        <v>0</v>
      </c>
      <c r="BX262" s="223" t="e">
        <f t="shared" ref="BX262:BX281" si="201">+BW262/BV262</f>
        <v>#DIV/0!</v>
      </c>
      <c r="BY262" s="223">
        <f t="shared" ref="BY262:BY281" si="202">+(BK262+BW262)/R262</f>
        <v>0</v>
      </c>
      <c r="BZ262" s="223">
        <f t="shared" ref="BZ262:BZ281" si="203">+$BZ$2-BY262</f>
        <v>0</v>
      </c>
      <c r="CA262" s="196"/>
      <c r="CB262" s="175"/>
      <c r="CC262" s="191"/>
      <c r="CD262" s="192"/>
      <c r="CE262" s="193" t="e">
        <f t="shared" si="180"/>
        <v>#DIV/0!</v>
      </c>
      <c r="CF262" s="191"/>
      <c r="CG262" s="192"/>
      <c r="CH262" s="193" t="e">
        <f t="shared" si="181"/>
        <v>#DIV/0!</v>
      </c>
      <c r="CI262" s="197"/>
      <c r="CJ262" s="198"/>
      <c r="CK262" s="193" t="e">
        <f t="shared" si="182"/>
        <v>#DIV/0!</v>
      </c>
      <c r="CL262" s="195">
        <f t="shared" si="183"/>
        <v>0</v>
      </c>
      <c r="CM262" s="194">
        <f t="shared" si="184"/>
        <v>0</v>
      </c>
      <c r="CN262" s="193" t="e">
        <f t="shared" si="185"/>
        <v>#DIV/0!</v>
      </c>
      <c r="CO262" s="175"/>
      <c r="CP262" s="196">
        <f t="shared" si="186"/>
        <v>0</v>
      </c>
      <c r="CQ262" s="196">
        <f t="shared" si="187"/>
        <v>0</v>
      </c>
      <c r="CR262" s="199" t="e">
        <f t="shared" si="188"/>
        <v>#DIV/0!</v>
      </c>
      <c r="CS262" s="261">
        <f t="shared" ref="CS262:CS281" si="204">+R262-CQ262</f>
        <v>100</v>
      </c>
      <c r="CT262" s="175"/>
      <c r="CU262" s="196">
        <f t="shared" ref="CU262:CU281" si="205">+CS262*$CU$3</f>
        <v>30</v>
      </c>
      <c r="CV262" s="259"/>
      <c r="CW262" s="199">
        <f t="shared" ref="CW262:CW281" si="206">+CV262/CU262</f>
        <v>0</v>
      </c>
      <c r="CX262" s="196">
        <f t="shared" ref="CX262:CX281" si="207">+CS262*$CX$3</f>
        <v>30</v>
      </c>
      <c r="CY262" s="259"/>
      <c r="CZ262" s="199">
        <f t="shared" ref="CZ262:CZ281" si="208">+CY262/CX262</f>
        <v>0</v>
      </c>
      <c r="DA262" s="196">
        <f t="shared" ref="DA262:DA281" si="209">+CS262*$DA$3</f>
        <v>30</v>
      </c>
      <c r="DB262" s="259"/>
      <c r="DC262" s="199">
        <f t="shared" ref="DC262:DC281" si="210">+DB262/DA262</f>
        <v>0</v>
      </c>
      <c r="DD262" s="196">
        <f t="shared" ref="DD262:DD281" si="211">+CS262*$DD$3</f>
        <v>10</v>
      </c>
      <c r="DE262" s="259"/>
      <c r="DF262" s="199">
        <f t="shared" ref="DF262:DF281" si="212">+DE262/DD262</f>
        <v>0</v>
      </c>
      <c r="DG262" s="175"/>
      <c r="DH262" s="196">
        <f t="shared" ref="DH262:DH281" si="213">R262</f>
        <v>100</v>
      </c>
      <c r="DI262" s="196">
        <f t="shared" ref="DI262:DI281" si="214">+CQ262+CV262+CY262+DB262+DE262</f>
        <v>0</v>
      </c>
      <c r="DJ262" s="199">
        <f t="shared" ref="DJ262:DJ281" si="215">+DI262/DH262</f>
        <v>0</v>
      </c>
      <c r="DK262" s="265">
        <f t="shared" ref="DK262:DK281" si="216">+DH262-DI262</f>
        <v>100</v>
      </c>
    </row>
    <row r="263" spans="1:117" x14ac:dyDescent="0.3">
      <c r="A263" s="81">
        <v>260</v>
      </c>
      <c r="B263" s="91" t="s">
        <v>728</v>
      </c>
      <c r="C263" s="91" t="s">
        <v>118</v>
      </c>
      <c r="D263" s="91" t="s">
        <v>119</v>
      </c>
      <c r="E263" s="91" t="s">
        <v>155</v>
      </c>
      <c r="F263" s="91" t="s">
        <v>807</v>
      </c>
      <c r="G263" s="87" t="s">
        <v>711</v>
      </c>
      <c r="H263" s="87" t="s">
        <v>656</v>
      </c>
      <c r="I263" s="87" t="s">
        <v>413</v>
      </c>
      <c r="J263" s="87" t="s">
        <v>413</v>
      </c>
      <c r="K263" s="85" t="s">
        <v>754</v>
      </c>
      <c r="L263" s="85" t="s">
        <v>676</v>
      </c>
      <c r="M263" s="87"/>
      <c r="N263" s="87" t="s">
        <v>809</v>
      </c>
      <c r="O263" s="87" t="s">
        <v>659</v>
      </c>
      <c r="P263" s="87" t="s">
        <v>818</v>
      </c>
      <c r="Q263" s="87" t="s">
        <v>803</v>
      </c>
      <c r="R263" s="130">
        <v>1</v>
      </c>
      <c r="S263" s="88" t="s">
        <v>111</v>
      </c>
      <c r="T263" s="81"/>
      <c r="U263" s="81"/>
      <c r="V263" s="25" t="e">
        <f t="shared" si="150"/>
        <v>#DIV/0!</v>
      </c>
      <c r="W263" s="81"/>
      <c r="X263" s="81"/>
      <c r="Y263" s="25" t="e">
        <f t="shared" si="190"/>
        <v>#DIV/0!</v>
      </c>
      <c r="Z263" s="81"/>
      <c r="AA263" s="81"/>
      <c r="AB263" s="25" t="e">
        <f t="shared" si="191"/>
        <v>#DIV/0!</v>
      </c>
      <c r="AC263" s="81">
        <v>35</v>
      </c>
      <c r="AD263" s="81"/>
      <c r="AE263" s="25">
        <f t="shared" si="192"/>
        <v>0</v>
      </c>
      <c r="AF263" s="137">
        <f t="shared" si="175"/>
        <v>1</v>
      </c>
      <c r="AG263" s="137">
        <f t="shared" si="176"/>
        <v>0</v>
      </c>
      <c r="AH263" s="128">
        <f t="shared" si="130"/>
        <v>0</v>
      </c>
      <c r="AI263" s="103">
        <v>46054</v>
      </c>
      <c r="AJ263" s="103">
        <v>46387</v>
      </c>
      <c r="AK263" s="91" t="s">
        <v>676</v>
      </c>
      <c r="AL263" s="91"/>
      <c r="AM263" s="92"/>
      <c r="AN263" s="93"/>
      <c r="AO263" s="93"/>
      <c r="AP263" s="93"/>
      <c r="AQ263" s="94"/>
      <c r="AR263" s="91" t="s">
        <v>812</v>
      </c>
      <c r="AS263" s="91" t="s">
        <v>750</v>
      </c>
      <c r="AT263" s="149" t="s">
        <v>815</v>
      </c>
      <c r="AU263" s="91" t="s">
        <v>2264</v>
      </c>
      <c r="AV263" s="126" t="s">
        <v>2236</v>
      </c>
      <c r="BA263" s="191"/>
      <c r="BB263" s="192"/>
      <c r="BC263" s="223" t="e">
        <f t="shared" si="193"/>
        <v>#DIV/0!</v>
      </c>
      <c r="BD263" s="191"/>
      <c r="BE263" s="192"/>
      <c r="BF263" s="223" t="e">
        <f t="shared" si="194"/>
        <v>#DIV/0!</v>
      </c>
      <c r="BG263" s="191"/>
      <c r="BH263" s="192"/>
      <c r="BI263" s="223" t="e">
        <f t="shared" si="195"/>
        <v>#DIV/0!</v>
      </c>
      <c r="BJ263" s="224">
        <f t="shared" si="196"/>
        <v>0</v>
      </c>
      <c r="BK263" s="225">
        <f t="shared" si="197"/>
        <v>0</v>
      </c>
      <c r="BL263" s="223" t="e">
        <f t="shared" si="198"/>
        <v>#DIV/0!</v>
      </c>
      <c r="BM263" s="191"/>
      <c r="BN263" s="192"/>
      <c r="BO263" s="193" t="e">
        <f t="shared" si="177"/>
        <v>#DIV/0!</v>
      </c>
      <c r="BP263" s="191"/>
      <c r="BQ263" s="192"/>
      <c r="BR263" s="193" t="e">
        <f t="shared" si="178"/>
        <v>#DIV/0!</v>
      </c>
      <c r="BS263" s="191"/>
      <c r="BT263" s="192"/>
      <c r="BU263" s="193" t="e">
        <f t="shared" si="179"/>
        <v>#DIV/0!</v>
      </c>
      <c r="BV263" s="224">
        <f t="shared" si="199"/>
        <v>0</v>
      </c>
      <c r="BW263" s="224">
        <f t="shared" si="200"/>
        <v>0</v>
      </c>
      <c r="BX263" s="223" t="e">
        <f t="shared" si="201"/>
        <v>#DIV/0!</v>
      </c>
      <c r="BY263" s="223">
        <f t="shared" si="202"/>
        <v>0</v>
      </c>
      <c r="BZ263" s="223">
        <f t="shared" si="203"/>
        <v>0</v>
      </c>
      <c r="CA263" s="196"/>
      <c r="CB263" s="175"/>
      <c r="CC263" s="191"/>
      <c r="CD263" s="192"/>
      <c r="CE263" s="193" t="e">
        <f t="shared" si="180"/>
        <v>#DIV/0!</v>
      </c>
      <c r="CF263" s="191"/>
      <c r="CG263" s="192"/>
      <c r="CH263" s="193" t="e">
        <f t="shared" si="181"/>
        <v>#DIV/0!</v>
      </c>
      <c r="CI263" s="197"/>
      <c r="CJ263" s="198"/>
      <c r="CK263" s="193" t="e">
        <f t="shared" si="182"/>
        <v>#DIV/0!</v>
      </c>
      <c r="CL263" s="195">
        <f t="shared" si="183"/>
        <v>0</v>
      </c>
      <c r="CM263" s="194">
        <f t="shared" si="184"/>
        <v>0</v>
      </c>
      <c r="CN263" s="193" t="e">
        <f t="shared" si="185"/>
        <v>#DIV/0!</v>
      </c>
      <c r="CO263" s="175"/>
      <c r="CP263" s="196">
        <f t="shared" si="186"/>
        <v>0</v>
      </c>
      <c r="CQ263" s="196">
        <f t="shared" si="187"/>
        <v>0</v>
      </c>
      <c r="CR263" s="199" t="e">
        <f t="shared" si="188"/>
        <v>#DIV/0!</v>
      </c>
      <c r="CS263" s="261">
        <f t="shared" si="204"/>
        <v>1</v>
      </c>
      <c r="CT263" s="175"/>
      <c r="CU263" s="196">
        <f t="shared" si="205"/>
        <v>0.3</v>
      </c>
      <c r="CV263" s="259"/>
      <c r="CW263" s="199">
        <f t="shared" si="206"/>
        <v>0</v>
      </c>
      <c r="CX263" s="196">
        <f t="shared" si="207"/>
        <v>0.3</v>
      </c>
      <c r="CY263" s="259"/>
      <c r="CZ263" s="199">
        <f t="shared" si="208"/>
        <v>0</v>
      </c>
      <c r="DA263" s="196">
        <f t="shared" si="209"/>
        <v>0.3</v>
      </c>
      <c r="DB263" s="259"/>
      <c r="DC263" s="199">
        <f t="shared" si="210"/>
        <v>0</v>
      </c>
      <c r="DD263" s="196">
        <f t="shared" si="211"/>
        <v>0.1</v>
      </c>
      <c r="DE263" s="259"/>
      <c r="DF263" s="199">
        <f t="shared" si="212"/>
        <v>0</v>
      </c>
      <c r="DG263" s="175"/>
      <c r="DH263" s="196">
        <f t="shared" si="213"/>
        <v>1</v>
      </c>
      <c r="DI263" s="196">
        <f t="shared" si="214"/>
        <v>0</v>
      </c>
      <c r="DJ263" s="199">
        <f t="shared" si="215"/>
        <v>0</v>
      </c>
      <c r="DK263" s="265">
        <f t="shared" si="216"/>
        <v>1</v>
      </c>
    </row>
    <row r="264" spans="1:117" x14ac:dyDescent="0.3">
      <c r="A264" s="81">
        <v>261</v>
      </c>
      <c r="B264" s="91" t="s">
        <v>728</v>
      </c>
      <c r="C264" s="91" t="s">
        <v>118</v>
      </c>
      <c r="D264" s="91" t="s">
        <v>119</v>
      </c>
      <c r="E264" s="91" t="s">
        <v>155</v>
      </c>
      <c r="F264" s="91" t="s">
        <v>807</v>
      </c>
      <c r="G264" s="87" t="s">
        <v>599</v>
      </c>
      <c r="H264" s="87" t="s">
        <v>656</v>
      </c>
      <c r="I264" s="87" t="s">
        <v>413</v>
      </c>
      <c r="J264" s="87" t="s">
        <v>413</v>
      </c>
      <c r="K264" s="85" t="s">
        <v>754</v>
      </c>
      <c r="L264" s="85" t="s">
        <v>676</v>
      </c>
      <c r="M264" s="87"/>
      <c r="N264" s="87" t="s">
        <v>809</v>
      </c>
      <c r="O264" s="87" t="s">
        <v>659</v>
      </c>
      <c r="P264" s="87" t="s">
        <v>819</v>
      </c>
      <c r="Q264" s="87" t="s">
        <v>803</v>
      </c>
      <c r="R264" s="130">
        <v>100</v>
      </c>
      <c r="S264" s="88" t="s">
        <v>745</v>
      </c>
      <c r="T264" s="81">
        <v>1</v>
      </c>
      <c r="U264" s="81"/>
      <c r="V264" s="25">
        <f t="shared" si="150"/>
        <v>0</v>
      </c>
      <c r="W264" s="81"/>
      <c r="X264" s="81"/>
      <c r="Y264" s="25" t="e">
        <f t="shared" si="190"/>
        <v>#DIV/0!</v>
      </c>
      <c r="Z264" s="81"/>
      <c r="AA264" s="81"/>
      <c r="AB264" s="25" t="e">
        <f t="shared" si="191"/>
        <v>#DIV/0!</v>
      </c>
      <c r="AC264" s="81"/>
      <c r="AD264" s="81"/>
      <c r="AE264" s="25" t="e">
        <f t="shared" si="192"/>
        <v>#DIV/0!</v>
      </c>
      <c r="AF264" s="137">
        <f t="shared" si="175"/>
        <v>100</v>
      </c>
      <c r="AG264" s="137">
        <f t="shared" si="176"/>
        <v>0</v>
      </c>
      <c r="AH264" s="128">
        <f t="shared" si="130"/>
        <v>0</v>
      </c>
      <c r="AI264" s="103">
        <v>46053</v>
      </c>
      <c r="AJ264" s="103">
        <v>46387</v>
      </c>
      <c r="AK264" s="91" t="s">
        <v>676</v>
      </c>
      <c r="AL264" s="91"/>
      <c r="AM264" s="92"/>
      <c r="AN264" s="93"/>
      <c r="AO264" s="93"/>
      <c r="AP264" s="93"/>
      <c r="AQ264" s="94"/>
      <c r="AR264" s="91" t="s">
        <v>812</v>
      </c>
      <c r="AS264" s="91" t="s">
        <v>750</v>
      </c>
      <c r="AT264" s="149" t="s">
        <v>815</v>
      </c>
      <c r="AU264" s="91" t="s">
        <v>2264</v>
      </c>
      <c r="AV264" s="126" t="s">
        <v>2236</v>
      </c>
      <c r="BA264" s="191"/>
      <c r="BB264" s="192"/>
      <c r="BC264" s="223" t="e">
        <f t="shared" si="193"/>
        <v>#DIV/0!</v>
      </c>
      <c r="BD264" s="191"/>
      <c r="BE264" s="192"/>
      <c r="BF264" s="223" t="e">
        <f t="shared" si="194"/>
        <v>#DIV/0!</v>
      </c>
      <c r="BG264" s="191"/>
      <c r="BH264" s="192"/>
      <c r="BI264" s="223" t="e">
        <f t="shared" si="195"/>
        <v>#DIV/0!</v>
      </c>
      <c r="BJ264" s="224">
        <f t="shared" si="196"/>
        <v>0</v>
      </c>
      <c r="BK264" s="225">
        <f t="shared" si="197"/>
        <v>0</v>
      </c>
      <c r="BL264" s="223" t="e">
        <f t="shared" si="198"/>
        <v>#DIV/0!</v>
      </c>
      <c r="BM264" s="191"/>
      <c r="BN264" s="192"/>
      <c r="BO264" s="193" t="e">
        <f t="shared" si="177"/>
        <v>#DIV/0!</v>
      </c>
      <c r="BP264" s="191"/>
      <c r="BQ264" s="192"/>
      <c r="BR264" s="193" t="e">
        <f t="shared" si="178"/>
        <v>#DIV/0!</v>
      </c>
      <c r="BS264" s="191"/>
      <c r="BT264" s="192"/>
      <c r="BU264" s="193" t="e">
        <f t="shared" si="179"/>
        <v>#DIV/0!</v>
      </c>
      <c r="BV264" s="224">
        <f t="shared" si="199"/>
        <v>0</v>
      </c>
      <c r="BW264" s="224">
        <f t="shared" si="200"/>
        <v>0</v>
      </c>
      <c r="BX264" s="223" t="e">
        <f t="shared" si="201"/>
        <v>#DIV/0!</v>
      </c>
      <c r="BY264" s="223">
        <f t="shared" si="202"/>
        <v>0</v>
      </c>
      <c r="BZ264" s="223">
        <f t="shared" si="203"/>
        <v>0</v>
      </c>
      <c r="CA264" s="196"/>
      <c r="CB264" s="175"/>
      <c r="CC264" s="191"/>
      <c r="CD264" s="192"/>
      <c r="CE264" s="193" t="e">
        <f t="shared" si="180"/>
        <v>#DIV/0!</v>
      </c>
      <c r="CF264" s="191"/>
      <c r="CG264" s="192"/>
      <c r="CH264" s="193" t="e">
        <f t="shared" si="181"/>
        <v>#DIV/0!</v>
      </c>
      <c r="CI264" s="197"/>
      <c r="CJ264" s="198"/>
      <c r="CK264" s="193" t="e">
        <f t="shared" si="182"/>
        <v>#DIV/0!</v>
      </c>
      <c r="CL264" s="195">
        <f t="shared" si="183"/>
        <v>0</v>
      </c>
      <c r="CM264" s="194">
        <f t="shared" si="184"/>
        <v>0</v>
      </c>
      <c r="CN264" s="193" t="e">
        <f t="shared" si="185"/>
        <v>#DIV/0!</v>
      </c>
      <c r="CO264" s="175"/>
      <c r="CP264" s="196">
        <f t="shared" si="186"/>
        <v>0</v>
      </c>
      <c r="CQ264" s="196">
        <f t="shared" si="187"/>
        <v>0</v>
      </c>
      <c r="CR264" s="199" t="e">
        <f t="shared" si="188"/>
        <v>#DIV/0!</v>
      </c>
      <c r="CS264" s="261">
        <f t="shared" si="204"/>
        <v>100</v>
      </c>
      <c r="CT264" s="175"/>
      <c r="CU264" s="196">
        <f t="shared" si="205"/>
        <v>30</v>
      </c>
      <c r="CV264" s="259"/>
      <c r="CW264" s="199">
        <f t="shared" si="206"/>
        <v>0</v>
      </c>
      <c r="CX264" s="196">
        <f t="shared" si="207"/>
        <v>30</v>
      </c>
      <c r="CY264" s="259"/>
      <c r="CZ264" s="199">
        <f t="shared" si="208"/>
        <v>0</v>
      </c>
      <c r="DA264" s="196">
        <f t="shared" si="209"/>
        <v>30</v>
      </c>
      <c r="DB264" s="259"/>
      <c r="DC264" s="199">
        <f t="shared" si="210"/>
        <v>0</v>
      </c>
      <c r="DD264" s="196">
        <f t="shared" si="211"/>
        <v>10</v>
      </c>
      <c r="DE264" s="259"/>
      <c r="DF264" s="199">
        <f t="shared" si="212"/>
        <v>0</v>
      </c>
      <c r="DG264" s="175"/>
      <c r="DH264" s="196">
        <f t="shared" si="213"/>
        <v>100</v>
      </c>
      <c r="DI264" s="196">
        <f t="shared" si="214"/>
        <v>0</v>
      </c>
      <c r="DJ264" s="199">
        <f t="shared" si="215"/>
        <v>0</v>
      </c>
      <c r="DK264" s="265">
        <f t="shared" si="216"/>
        <v>100</v>
      </c>
    </row>
    <row r="265" spans="1:117" x14ac:dyDescent="0.3">
      <c r="A265" s="81">
        <v>262</v>
      </c>
      <c r="B265" s="91" t="s">
        <v>728</v>
      </c>
      <c r="C265" s="91" t="s">
        <v>118</v>
      </c>
      <c r="D265" s="91" t="s">
        <v>119</v>
      </c>
      <c r="E265" s="91" t="s">
        <v>155</v>
      </c>
      <c r="F265" s="91" t="s">
        <v>807</v>
      </c>
      <c r="G265" s="87" t="s">
        <v>711</v>
      </c>
      <c r="H265" s="87" t="s">
        <v>656</v>
      </c>
      <c r="I265" s="87" t="s">
        <v>413</v>
      </c>
      <c r="J265" s="87" t="s">
        <v>413</v>
      </c>
      <c r="K265" s="85" t="s">
        <v>754</v>
      </c>
      <c r="L265" s="85" t="s">
        <v>676</v>
      </c>
      <c r="M265" s="87"/>
      <c r="N265" s="87" t="s">
        <v>809</v>
      </c>
      <c r="O265" s="87" t="s">
        <v>659</v>
      </c>
      <c r="P265" s="87" t="s">
        <v>820</v>
      </c>
      <c r="Q265" s="87" t="s">
        <v>803</v>
      </c>
      <c r="R265" s="130">
        <v>4</v>
      </c>
      <c r="S265" s="88" t="s">
        <v>111</v>
      </c>
      <c r="T265" s="81">
        <v>1</v>
      </c>
      <c r="U265" s="81"/>
      <c r="V265" s="25">
        <f t="shared" si="150"/>
        <v>0</v>
      </c>
      <c r="W265" s="81"/>
      <c r="X265" s="81"/>
      <c r="Y265" s="25" t="e">
        <f t="shared" si="190"/>
        <v>#DIV/0!</v>
      </c>
      <c r="Z265" s="81"/>
      <c r="AA265" s="81"/>
      <c r="AB265" s="25" t="e">
        <f t="shared" si="191"/>
        <v>#DIV/0!</v>
      </c>
      <c r="AC265" s="81"/>
      <c r="AD265" s="81"/>
      <c r="AE265" s="25" t="e">
        <f t="shared" si="192"/>
        <v>#DIV/0!</v>
      </c>
      <c r="AF265" s="137">
        <f t="shared" si="175"/>
        <v>4</v>
      </c>
      <c r="AG265" s="137">
        <f t="shared" si="176"/>
        <v>0</v>
      </c>
      <c r="AH265" s="128">
        <f t="shared" si="130"/>
        <v>0</v>
      </c>
      <c r="AI265" s="103">
        <v>46053</v>
      </c>
      <c r="AJ265" s="103">
        <v>46387</v>
      </c>
      <c r="AK265" s="91" t="s">
        <v>676</v>
      </c>
      <c r="AL265" s="91"/>
      <c r="AM265" s="92"/>
      <c r="AN265" s="93"/>
      <c r="AO265" s="93"/>
      <c r="AP265" s="93"/>
      <c r="AQ265" s="94"/>
      <c r="AR265" s="91" t="s">
        <v>812</v>
      </c>
      <c r="AS265" s="91" t="s">
        <v>750</v>
      </c>
      <c r="AT265" s="149" t="s">
        <v>815</v>
      </c>
      <c r="AU265" s="91" t="s">
        <v>2264</v>
      </c>
      <c r="AV265" s="126" t="s">
        <v>2236</v>
      </c>
      <c r="BA265" s="191"/>
      <c r="BB265" s="192"/>
      <c r="BC265" s="223" t="e">
        <f t="shared" si="193"/>
        <v>#DIV/0!</v>
      </c>
      <c r="BD265" s="191"/>
      <c r="BE265" s="192"/>
      <c r="BF265" s="223" t="e">
        <f t="shared" si="194"/>
        <v>#DIV/0!</v>
      </c>
      <c r="BG265" s="191"/>
      <c r="BH265" s="192"/>
      <c r="BI265" s="223" t="e">
        <f t="shared" si="195"/>
        <v>#DIV/0!</v>
      </c>
      <c r="BJ265" s="224">
        <f t="shared" si="196"/>
        <v>0</v>
      </c>
      <c r="BK265" s="225">
        <f t="shared" si="197"/>
        <v>0</v>
      </c>
      <c r="BL265" s="223" t="e">
        <f t="shared" si="198"/>
        <v>#DIV/0!</v>
      </c>
      <c r="BM265" s="191"/>
      <c r="BN265" s="192"/>
      <c r="BO265" s="193" t="e">
        <f t="shared" si="177"/>
        <v>#DIV/0!</v>
      </c>
      <c r="BP265" s="191"/>
      <c r="BQ265" s="192"/>
      <c r="BR265" s="193" t="e">
        <f t="shared" si="178"/>
        <v>#DIV/0!</v>
      </c>
      <c r="BS265" s="191"/>
      <c r="BT265" s="192"/>
      <c r="BU265" s="193" t="e">
        <f t="shared" si="179"/>
        <v>#DIV/0!</v>
      </c>
      <c r="BV265" s="224">
        <f t="shared" si="199"/>
        <v>0</v>
      </c>
      <c r="BW265" s="224">
        <f t="shared" si="200"/>
        <v>0</v>
      </c>
      <c r="BX265" s="223" t="e">
        <f t="shared" si="201"/>
        <v>#DIV/0!</v>
      </c>
      <c r="BY265" s="223">
        <f t="shared" si="202"/>
        <v>0</v>
      </c>
      <c r="BZ265" s="223">
        <f t="shared" si="203"/>
        <v>0</v>
      </c>
      <c r="CA265" s="196"/>
      <c r="CB265" s="175"/>
      <c r="CC265" s="191"/>
      <c r="CD265" s="192"/>
      <c r="CE265" s="193" t="e">
        <f t="shared" si="180"/>
        <v>#DIV/0!</v>
      </c>
      <c r="CF265" s="191"/>
      <c r="CG265" s="192"/>
      <c r="CH265" s="193" t="e">
        <f t="shared" si="181"/>
        <v>#DIV/0!</v>
      </c>
      <c r="CI265" s="197"/>
      <c r="CJ265" s="198"/>
      <c r="CK265" s="193" t="e">
        <f t="shared" si="182"/>
        <v>#DIV/0!</v>
      </c>
      <c r="CL265" s="195">
        <f t="shared" si="183"/>
        <v>0</v>
      </c>
      <c r="CM265" s="194">
        <f t="shared" si="184"/>
        <v>0</v>
      </c>
      <c r="CN265" s="193" t="e">
        <f t="shared" si="185"/>
        <v>#DIV/0!</v>
      </c>
      <c r="CO265" s="175"/>
      <c r="CP265" s="196">
        <f t="shared" si="186"/>
        <v>0</v>
      </c>
      <c r="CQ265" s="196">
        <f t="shared" si="187"/>
        <v>0</v>
      </c>
      <c r="CR265" s="199" t="e">
        <f t="shared" si="188"/>
        <v>#DIV/0!</v>
      </c>
      <c r="CS265" s="261">
        <f t="shared" si="204"/>
        <v>4</v>
      </c>
      <c r="CT265" s="175"/>
      <c r="CU265" s="196">
        <f t="shared" si="205"/>
        <v>1.2</v>
      </c>
      <c r="CV265" s="259"/>
      <c r="CW265" s="199">
        <f t="shared" si="206"/>
        <v>0</v>
      </c>
      <c r="CX265" s="196">
        <f t="shared" si="207"/>
        <v>1.2</v>
      </c>
      <c r="CY265" s="259"/>
      <c r="CZ265" s="199">
        <f t="shared" si="208"/>
        <v>0</v>
      </c>
      <c r="DA265" s="196">
        <f t="shared" si="209"/>
        <v>1.2</v>
      </c>
      <c r="DB265" s="259"/>
      <c r="DC265" s="199">
        <f t="shared" si="210"/>
        <v>0</v>
      </c>
      <c r="DD265" s="196">
        <f t="shared" si="211"/>
        <v>0.4</v>
      </c>
      <c r="DE265" s="259"/>
      <c r="DF265" s="199">
        <f t="shared" si="212"/>
        <v>0</v>
      </c>
      <c r="DG265" s="175"/>
      <c r="DH265" s="196">
        <f t="shared" si="213"/>
        <v>4</v>
      </c>
      <c r="DI265" s="196">
        <f t="shared" si="214"/>
        <v>0</v>
      </c>
      <c r="DJ265" s="199">
        <f t="shared" si="215"/>
        <v>0</v>
      </c>
      <c r="DK265" s="265">
        <f t="shared" si="216"/>
        <v>4</v>
      </c>
    </row>
    <row r="266" spans="1:117" x14ac:dyDescent="0.3">
      <c r="A266" s="81">
        <v>263</v>
      </c>
      <c r="B266" s="91" t="s">
        <v>728</v>
      </c>
      <c r="C266" s="91" t="s">
        <v>118</v>
      </c>
      <c r="D266" s="91" t="s">
        <v>119</v>
      </c>
      <c r="E266" s="91" t="s">
        <v>155</v>
      </c>
      <c r="F266" s="91" t="s">
        <v>807</v>
      </c>
      <c r="G266" s="87" t="s">
        <v>711</v>
      </c>
      <c r="H266" s="87" t="s">
        <v>656</v>
      </c>
      <c r="I266" s="87" t="s">
        <v>413</v>
      </c>
      <c r="J266" s="87" t="s">
        <v>413</v>
      </c>
      <c r="K266" s="85" t="s">
        <v>754</v>
      </c>
      <c r="L266" s="85" t="s">
        <v>676</v>
      </c>
      <c r="M266" s="87"/>
      <c r="N266" s="87" t="s">
        <v>809</v>
      </c>
      <c r="O266" s="87" t="s">
        <v>659</v>
      </c>
      <c r="P266" s="87" t="s">
        <v>821</v>
      </c>
      <c r="Q266" s="87" t="s">
        <v>803</v>
      </c>
      <c r="R266" s="130">
        <v>5</v>
      </c>
      <c r="S266" s="88" t="s">
        <v>111</v>
      </c>
      <c r="T266" s="81">
        <v>25</v>
      </c>
      <c r="U266" s="81"/>
      <c r="V266" s="25">
        <f t="shared" si="150"/>
        <v>0</v>
      </c>
      <c r="W266" s="81">
        <v>25</v>
      </c>
      <c r="X266" s="81"/>
      <c r="Y266" s="25">
        <f t="shared" si="190"/>
        <v>0</v>
      </c>
      <c r="Z266" s="81">
        <v>25</v>
      </c>
      <c r="AA266" s="81"/>
      <c r="AB266" s="25">
        <f t="shared" si="191"/>
        <v>0</v>
      </c>
      <c r="AC266" s="81">
        <v>25</v>
      </c>
      <c r="AD266" s="81"/>
      <c r="AE266" s="25">
        <f t="shared" si="192"/>
        <v>0</v>
      </c>
      <c r="AF266" s="137">
        <f t="shared" si="175"/>
        <v>5</v>
      </c>
      <c r="AG266" s="137">
        <f t="shared" si="176"/>
        <v>0</v>
      </c>
      <c r="AH266" s="128">
        <f t="shared" si="130"/>
        <v>0</v>
      </c>
      <c r="AI266" s="103">
        <v>46054</v>
      </c>
      <c r="AJ266" s="103">
        <v>46387</v>
      </c>
      <c r="AK266" s="91" t="s">
        <v>676</v>
      </c>
      <c r="AL266" s="91"/>
      <c r="AM266" s="92"/>
      <c r="AN266" s="93"/>
      <c r="AO266" s="93"/>
      <c r="AP266" s="93"/>
      <c r="AQ266" s="94"/>
      <c r="AR266" s="91" t="s">
        <v>812</v>
      </c>
      <c r="AS266" s="91" t="s">
        <v>750</v>
      </c>
      <c r="AT266" s="149" t="s">
        <v>815</v>
      </c>
      <c r="AU266" s="91" t="s">
        <v>2264</v>
      </c>
      <c r="AV266" s="126" t="s">
        <v>2236</v>
      </c>
      <c r="BA266" s="191"/>
      <c r="BB266" s="192"/>
      <c r="BC266" s="223" t="e">
        <f t="shared" si="193"/>
        <v>#DIV/0!</v>
      </c>
      <c r="BD266" s="191"/>
      <c r="BE266" s="192"/>
      <c r="BF266" s="223" t="e">
        <f t="shared" si="194"/>
        <v>#DIV/0!</v>
      </c>
      <c r="BG266" s="191"/>
      <c r="BH266" s="192"/>
      <c r="BI266" s="223" t="e">
        <f t="shared" si="195"/>
        <v>#DIV/0!</v>
      </c>
      <c r="BJ266" s="224">
        <f t="shared" si="196"/>
        <v>0</v>
      </c>
      <c r="BK266" s="225">
        <f t="shared" si="197"/>
        <v>0</v>
      </c>
      <c r="BL266" s="223" t="e">
        <f t="shared" si="198"/>
        <v>#DIV/0!</v>
      </c>
      <c r="BM266" s="191"/>
      <c r="BN266" s="192"/>
      <c r="BO266" s="193" t="e">
        <f t="shared" si="177"/>
        <v>#DIV/0!</v>
      </c>
      <c r="BP266" s="191"/>
      <c r="BQ266" s="192"/>
      <c r="BR266" s="193" t="e">
        <f t="shared" si="178"/>
        <v>#DIV/0!</v>
      </c>
      <c r="BS266" s="191"/>
      <c r="BT266" s="192"/>
      <c r="BU266" s="193" t="e">
        <f t="shared" si="179"/>
        <v>#DIV/0!</v>
      </c>
      <c r="BV266" s="224">
        <f t="shared" si="199"/>
        <v>0</v>
      </c>
      <c r="BW266" s="224">
        <f t="shared" si="200"/>
        <v>0</v>
      </c>
      <c r="BX266" s="223" t="e">
        <f t="shared" si="201"/>
        <v>#DIV/0!</v>
      </c>
      <c r="BY266" s="223">
        <f t="shared" si="202"/>
        <v>0</v>
      </c>
      <c r="BZ266" s="223">
        <f t="shared" si="203"/>
        <v>0</v>
      </c>
      <c r="CA266" s="196"/>
      <c r="CB266" s="175"/>
      <c r="CC266" s="191"/>
      <c r="CD266" s="192"/>
      <c r="CE266" s="193" t="e">
        <f t="shared" si="180"/>
        <v>#DIV/0!</v>
      </c>
      <c r="CF266" s="191"/>
      <c r="CG266" s="192"/>
      <c r="CH266" s="193" t="e">
        <f t="shared" si="181"/>
        <v>#DIV/0!</v>
      </c>
      <c r="CI266" s="197"/>
      <c r="CJ266" s="198"/>
      <c r="CK266" s="193" t="e">
        <f t="shared" si="182"/>
        <v>#DIV/0!</v>
      </c>
      <c r="CL266" s="195">
        <f t="shared" si="183"/>
        <v>0</v>
      </c>
      <c r="CM266" s="194">
        <f t="shared" si="184"/>
        <v>0</v>
      </c>
      <c r="CN266" s="193" t="e">
        <f t="shared" si="185"/>
        <v>#DIV/0!</v>
      </c>
      <c r="CO266" s="175"/>
      <c r="CP266" s="196">
        <f t="shared" si="186"/>
        <v>0</v>
      </c>
      <c r="CQ266" s="196">
        <f t="shared" si="187"/>
        <v>0</v>
      </c>
      <c r="CR266" s="199" t="e">
        <f t="shared" si="188"/>
        <v>#DIV/0!</v>
      </c>
      <c r="CS266" s="261">
        <f t="shared" si="204"/>
        <v>5</v>
      </c>
      <c r="CT266" s="175"/>
      <c r="CU266" s="196">
        <f t="shared" si="205"/>
        <v>1.5</v>
      </c>
      <c r="CV266" s="259"/>
      <c r="CW266" s="199">
        <f t="shared" si="206"/>
        <v>0</v>
      </c>
      <c r="CX266" s="196">
        <f t="shared" si="207"/>
        <v>1.5</v>
      </c>
      <c r="CY266" s="259"/>
      <c r="CZ266" s="199">
        <f t="shared" si="208"/>
        <v>0</v>
      </c>
      <c r="DA266" s="196">
        <f t="shared" si="209"/>
        <v>1.5</v>
      </c>
      <c r="DB266" s="259"/>
      <c r="DC266" s="199">
        <f t="shared" si="210"/>
        <v>0</v>
      </c>
      <c r="DD266" s="196">
        <f t="shared" si="211"/>
        <v>0.5</v>
      </c>
      <c r="DE266" s="259"/>
      <c r="DF266" s="199">
        <f t="shared" si="212"/>
        <v>0</v>
      </c>
      <c r="DG266" s="175"/>
      <c r="DH266" s="196">
        <f t="shared" si="213"/>
        <v>5</v>
      </c>
      <c r="DI266" s="196">
        <f t="shared" si="214"/>
        <v>0</v>
      </c>
      <c r="DJ266" s="199">
        <f t="shared" si="215"/>
        <v>0</v>
      </c>
      <c r="DK266" s="265">
        <f t="shared" si="216"/>
        <v>5</v>
      </c>
    </row>
    <row r="267" spans="1:117" x14ac:dyDescent="0.3">
      <c r="A267" s="81">
        <v>264</v>
      </c>
      <c r="B267" s="91" t="s">
        <v>728</v>
      </c>
      <c r="C267" s="91" t="s">
        <v>118</v>
      </c>
      <c r="D267" s="91" t="s">
        <v>119</v>
      </c>
      <c r="E267" s="91" t="s">
        <v>155</v>
      </c>
      <c r="F267" s="91" t="s">
        <v>807</v>
      </c>
      <c r="G267" s="87" t="s">
        <v>711</v>
      </c>
      <c r="H267" s="87" t="s">
        <v>656</v>
      </c>
      <c r="I267" s="87" t="s">
        <v>413</v>
      </c>
      <c r="J267" s="87" t="s">
        <v>413</v>
      </c>
      <c r="K267" s="85" t="s">
        <v>754</v>
      </c>
      <c r="L267" s="85" t="s">
        <v>676</v>
      </c>
      <c r="M267" s="87"/>
      <c r="N267" s="87" t="s">
        <v>809</v>
      </c>
      <c r="O267" s="87" t="s">
        <v>659</v>
      </c>
      <c r="P267" s="87" t="s">
        <v>822</v>
      </c>
      <c r="Q267" s="87" t="s">
        <v>803</v>
      </c>
      <c r="R267" s="130">
        <v>100</v>
      </c>
      <c r="S267" s="88" t="s">
        <v>745</v>
      </c>
      <c r="T267" s="81"/>
      <c r="U267" s="81"/>
      <c r="V267" s="25" t="e">
        <f t="shared" si="150"/>
        <v>#DIV/0!</v>
      </c>
      <c r="W267" s="81"/>
      <c r="X267" s="81"/>
      <c r="Y267" s="25" t="e">
        <f t="shared" si="190"/>
        <v>#DIV/0!</v>
      </c>
      <c r="Z267" s="81"/>
      <c r="AA267" s="81"/>
      <c r="AB267" s="25" t="e">
        <f t="shared" si="191"/>
        <v>#DIV/0!</v>
      </c>
      <c r="AC267" s="81">
        <v>1</v>
      </c>
      <c r="AD267" s="81"/>
      <c r="AE267" s="25">
        <f t="shared" si="192"/>
        <v>0</v>
      </c>
      <c r="AF267" s="137">
        <f t="shared" si="175"/>
        <v>100</v>
      </c>
      <c r="AG267" s="137">
        <f t="shared" si="176"/>
        <v>0</v>
      </c>
      <c r="AH267" s="128">
        <f t="shared" si="130"/>
        <v>0</v>
      </c>
      <c r="AI267" s="103">
        <v>46054</v>
      </c>
      <c r="AJ267" s="103">
        <v>46387</v>
      </c>
      <c r="AK267" s="91" t="s">
        <v>676</v>
      </c>
      <c r="AL267" s="91"/>
      <c r="AM267" s="92"/>
      <c r="AN267" s="93"/>
      <c r="AO267" s="93"/>
      <c r="AP267" s="93"/>
      <c r="AQ267" s="94"/>
      <c r="AR267" s="91" t="s">
        <v>812</v>
      </c>
      <c r="AS267" s="91" t="s">
        <v>750</v>
      </c>
      <c r="AT267" s="149" t="s">
        <v>823</v>
      </c>
      <c r="AU267" s="91" t="s">
        <v>2264</v>
      </c>
      <c r="AV267" s="126" t="s">
        <v>2235</v>
      </c>
      <c r="AW267" s="126" t="s">
        <v>823</v>
      </c>
      <c r="BA267" s="191"/>
      <c r="BB267" s="192"/>
      <c r="BC267" s="223" t="e">
        <f t="shared" si="193"/>
        <v>#DIV/0!</v>
      </c>
      <c r="BD267" s="191"/>
      <c r="BE267" s="192"/>
      <c r="BF267" s="223" t="e">
        <f t="shared" si="194"/>
        <v>#DIV/0!</v>
      </c>
      <c r="BG267" s="191"/>
      <c r="BH267" s="192"/>
      <c r="BI267" s="223" t="e">
        <f t="shared" si="195"/>
        <v>#DIV/0!</v>
      </c>
      <c r="BJ267" s="224">
        <f t="shared" si="196"/>
        <v>0</v>
      </c>
      <c r="BK267" s="225">
        <f t="shared" si="197"/>
        <v>0</v>
      </c>
      <c r="BL267" s="223" t="e">
        <f t="shared" si="198"/>
        <v>#DIV/0!</v>
      </c>
      <c r="BM267" s="191"/>
      <c r="BN267" s="192"/>
      <c r="BO267" s="193" t="e">
        <f t="shared" si="177"/>
        <v>#DIV/0!</v>
      </c>
      <c r="BP267" s="191"/>
      <c r="BQ267" s="192"/>
      <c r="BR267" s="193" t="e">
        <f t="shared" si="178"/>
        <v>#DIV/0!</v>
      </c>
      <c r="BS267" s="191"/>
      <c r="BT267" s="192"/>
      <c r="BU267" s="193" t="e">
        <f t="shared" si="179"/>
        <v>#DIV/0!</v>
      </c>
      <c r="BV267" s="224">
        <f t="shared" si="199"/>
        <v>0</v>
      </c>
      <c r="BW267" s="224">
        <f t="shared" si="200"/>
        <v>0</v>
      </c>
      <c r="BX267" s="223" t="e">
        <f t="shared" si="201"/>
        <v>#DIV/0!</v>
      </c>
      <c r="BY267" s="223">
        <f t="shared" si="202"/>
        <v>0</v>
      </c>
      <c r="BZ267" s="223">
        <f t="shared" si="203"/>
        <v>0</v>
      </c>
      <c r="CA267" s="196"/>
      <c r="CB267" s="175"/>
      <c r="CC267" s="191"/>
      <c r="CD267" s="192"/>
      <c r="CE267" s="193" t="e">
        <f t="shared" si="180"/>
        <v>#DIV/0!</v>
      </c>
      <c r="CF267" s="191"/>
      <c r="CG267" s="192"/>
      <c r="CH267" s="193" t="e">
        <f t="shared" si="181"/>
        <v>#DIV/0!</v>
      </c>
      <c r="CI267" s="197"/>
      <c r="CJ267" s="198"/>
      <c r="CK267" s="193" t="e">
        <f t="shared" si="182"/>
        <v>#DIV/0!</v>
      </c>
      <c r="CL267" s="195">
        <f t="shared" si="183"/>
        <v>0</v>
      </c>
      <c r="CM267" s="194">
        <f t="shared" si="184"/>
        <v>0</v>
      </c>
      <c r="CN267" s="193" t="e">
        <f t="shared" si="185"/>
        <v>#DIV/0!</v>
      </c>
      <c r="CO267" s="175"/>
      <c r="CP267" s="196">
        <f t="shared" si="186"/>
        <v>0</v>
      </c>
      <c r="CQ267" s="196">
        <f t="shared" si="187"/>
        <v>0</v>
      </c>
      <c r="CR267" s="199" t="e">
        <f t="shared" si="188"/>
        <v>#DIV/0!</v>
      </c>
      <c r="CS267" s="261">
        <f t="shared" si="204"/>
        <v>100</v>
      </c>
      <c r="CT267" s="175"/>
      <c r="CU267" s="196">
        <f t="shared" si="205"/>
        <v>30</v>
      </c>
      <c r="CV267" s="259"/>
      <c r="CW267" s="199">
        <f t="shared" si="206"/>
        <v>0</v>
      </c>
      <c r="CX267" s="196">
        <f t="shared" si="207"/>
        <v>30</v>
      </c>
      <c r="CY267" s="259"/>
      <c r="CZ267" s="199">
        <f t="shared" si="208"/>
        <v>0</v>
      </c>
      <c r="DA267" s="196">
        <f t="shared" si="209"/>
        <v>30</v>
      </c>
      <c r="DB267" s="259"/>
      <c r="DC267" s="199">
        <f t="shared" si="210"/>
        <v>0</v>
      </c>
      <c r="DD267" s="196">
        <f t="shared" si="211"/>
        <v>10</v>
      </c>
      <c r="DE267" s="259"/>
      <c r="DF267" s="199">
        <f t="shared" si="212"/>
        <v>0</v>
      </c>
      <c r="DG267" s="175"/>
      <c r="DH267" s="196">
        <f t="shared" si="213"/>
        <v>100</v>
      </c>
      <c r="DI267" s="196">
        <f t="shared" si="214"/>
        <v>0</v>
      </c>
      <c r="DJ267" s="199">
        <f t="shared" si="215"/>
        <v>0</v>
      </c>
      <c r="DK267" s="265">
        <f t="shared" si="216"/>
        <v>100</v>
      </c>
    </row>
    <row r="268" spans="1:117" x14ac:dyDescent="0.3">
      <c r="A268" s="81">
        <v>265</v>
      </c>
      <c r="B268" s="91" t="s">
        <v>728</v>
      </c>
      <c r="C268" s="91" t="s">
        <v>118</v>
      </c>
      <c r="D268" s="91" t="s">
        <v>119</v>
      </c>
      <c r="E268" s="91" t="s">
        <v>155</v>
      </c>
      <c r="F268" s="91" t="s">
        <v>807</v>
      </c>
      <c r="G268" s="87" t="s">
        <v>711</v>
      </c>
      <c r="H268" s="87" t="s">
        <v>656</v>
      </c>
      <c r="I268" s="87" t="s">
        <v>413</v>
      </c>
      <c r="J268" s="87" t="s">
        <v>413</v>
      </c>
      <c r="K268" s="85" t="s">
        <v>754</v>
      </c>
      <c r="L268" s="85" t="s">
        <v>676</v>
      </c>
      <c r="M268" s="87"/>
      <c r="N268" s="87" t="s">
        <v>809</v>
      </c>
      <c r="O268" s="87" t="s">
        <v>659</v>
      </c>
      <c r="P268" s="87" t="s">
        <v>824</v>
      </c>
      <c r="Q268" s="87" t="s">
        <v>803</v>
      </c>
      <c r="R268" s="130">
        <v>100</v>
      </c>
      <c r="S268" s="88" t="s">
        <v>745</v>
      </c>
      <c r="T268" s="81">
        <v>25</v>
      </c>
      <c r="U268" s="81"/>
      <c r="V268" s="25">
        <f t="shared" si="150"/>
        <v>0</v>
      </c>
      <c r="W268" s="81">
        <v>25</v>
      </c>
      <c r="X268" s="81"/>
      <c r="Y268" s="25">
        <f t="shared" si="190"/>
        <v>0</v>
      </c>
      <c r="Z268" s="81">
        <v>25</v>
      </c>
      <c r="AA268" s="81"/>
      <c r="AB268" s="25">
        <f t="shared" si="191"/>
        <v>0</v>
      </c>
      <c r="AC268" s="81">
        <v>25</v>
      </c>
      <c r="AD268" s="81"/>
      <c r="AE268" s="25">
        <f t="shared" si="192"/>
        <v>0</v>
      </c>
      <c r="AF268" s="137">
        <f t="shared" si="175"/>
        <v>100</v>
      </c>
      <c r="AG268" s="137">
        <f t="shared" si="176"/>
        <v>0</v>
      </c>
      <c r="AH268" s="128">
        <f t="shared" si="130"/>
        <v>0</v>
      </c>
      <c r="AI268" s="103">
        <v>46054</v>
      </c>
      <c r="AJ268" s="103">
        <v>46387</v>
      </c>
      <c r="AK268" s="91" t="s">
        <v>676</v>
      </c>
      <c r="AL268" s="91"/>
      <c r="AM268" s="92"/>
      <c r="AN268" s="93"/>
      <c r="AO268" s="93"/>
      <c r="AP268" s="93"/>
      <c r="AQ268" s="94"/>
      <c r="AR268" s="91" t="s">
        <v>812</v>
      </c>
      <c r="AS268" s="91" t="s">
        <v>750</v>
      </c>
      <c r="AT268" s="149" t="s">
        <v>825</v>
      </c>
      <c r="AU268" s="91" t="s">
        <v>2264</v>
      </c>
      <c r="AV268" s="126" t="s">
        <v>2236</v>
      </c>
      <c r="BA268" s="191"/>
      <c r="BB268" s="192"/>
      <c r="BC268" s="223" t="e">
        <f t="shared" si="193"/>
        <v>#DIV/0!</v>
      </c>
      <c r="BD268" s="191"/>
      <c r="BE268" s="192"/>
      <c r="BF268" s="223" t="e">
        <f t="shared" si="194"/>
        <v>#DIV/0!</v>
      </c>
      <c r="BG268" s="191"/>
      <c r="BH268" s="192"/>
      <c r="BI268" s="223" t="e">
        <f t="shared" si="195"/>
        <v>#DIV/0!</v>
      </c>
      <c r="BJ268" s="224">
        <f t="shared" si="196"/>
        <v>0</v>
      </c>
      <c r="BK268" s="225">
        <f t="shared" si="197"/>
        <v>0</v>
      </c>
      <c r="BL268" s="223" t="e">
        <f t="shared" si="198"/>
        <v>#DIV/0!</v>
      </c>
      <c r="BM268" s="191"/>
      <c r="BN268" s="192"/>
      <c r="BO268" s="193" t="e">
        <f t="shared" si="177"/>
        <v>#DIV/0!</v>
      </c>
      <c r="BP268" s="191"/>
      <c r="BQ268" s="192"/>
      <c r="BR268" s="193" t="e">
        <f t="shared" si="178"/>
        <v>#DIV/0!</v>
      </c>
      <c r="BS268" s="191"/>
      <c r="BT268" s="192"/>
      <c r="BU268" s="193" t="e">
        <f t="shared" si="179"/>
        <v>#DIV/0!</v>
      </c>
      <c r="BV268" s="224">
        <f t="shared" si="199"/>
        <v>0</v>
      </c>
      <c r="BW268" s="224">
        <f t="shared" si="200"/>
        <v>0</v>
      </c>
      <c r="BX268" s="223" t="e">
        <f t="shared" si="201"/>
        <v>#DIV/0!</v>
      </c>
      <c r="BY268" s="223">
        <f t="shared" si="202"/>
        <v>0</v>
      </c>
      <c r="BZ268" s="223">
        <f t="shared" si="203"/>
        <v>0</v>
      </c>
      <c r="CA268" s="196"/>
      <c r="CB268" s="175"/>
      <c r="CC268" s="191"/>
      <c r="CD268" s="192"/>
      <c r="CE268" s="193" t="e">
        <f t="shared" si="180"/>
        <v>#DIV/0!</v>
      </c>
      <c r="CF268" s="191"/>
      <c r="CG268" s="192"/>
      <c r="CH268" s="193" t="e">
        <f t="shared" si="181"/>
        <v>#DIV/0!</v>
      </c>
      <c r="CI268" s="197"/>
      <c r="CJ268" s="198"/>
      <c r="CK268" s="193" t="e">
        <f t="shared" si="182"/>
        <v>#DIV/0!</v>
      </c>
      <c r="CL268" s="195">
        <f t="shared" si="183"/>
        <v>0</v>
      </c>
      <c r="CM268" s="194">
        <f t="shared" si="184"/>
        <v>0</v>
      </c>
      <c r="CN268" s="193" t="e">
        <f t="shared" si="185"/>
        <v>#DIV/0!</v>
      </c>
      <c r="CO268" s="175"/>
      <c r="CP268" s="196">
        <f t="shared" si="186"/>
        <v>0</v>
      </c>
      <c r="CQ268" s="196">
        <f t="shared" si="187"/>
        <v>0</v>
      </c>
      <c r="CR268" s="199" t="e">
        <f t="shared" si="188"/>
        <v>#DIV/0!</v>
      </c>
      <c r="CS268" s="261">
        <f t="shared" si="204"/>
        <v>100</v>
      </c>
      <c r="CT268" s="175"/>
      <c r="CU268" s="196">
        <f t="shared" si="205"/>
        <v>30</v>
      </c>
      <c r="CV268" s="259"/>
      <c r="CW268" s="199">
        <f t="shared" si="206"/>
        <v>0</v>
      </c>
      <c r="CX268" s="196">
        <f t="shared" si="207"/>
        <v>30</v>
      </c>
      <c r="CY268" s="259"/>
      <c r="CZ268" s="199">
        <f t="shared" si="208"/>
        <v>0</v>
      </c>
      <c r="DA268" s="196">
        <f t="shared" si="209"/>
        <v>30</v>
      </c>
      <c r="DB268" s="259"/>
      <c r="DC268" s="199">
        <f t="shared" si="210"/>
        <v>0</v>
      </c>
      <c r="DD268" s="196">
        <f t="shared" si="211"/>
        <v>10</v>
      </c>
      <c r="DE268" s="259"/>
      <c r="DF268" s="199">
        <f t="shared" si="212"/>
        <v>0</v>
      </c>
      <c r="DG268" s="175"/>
      <c r="DH268" s="196">
        <f t="shared" si="213"/>
        <v>100</v>
      </c>
      <c r="DI268" s="196">
        <f t="shared" si="214"/>
        <v>0</v>
      </c>
      <c r="DJ268" s="199">
        <f t="shared" si="215"/>
        <v>0</v>
      </c>
      <c r="DK268" s="265">
        <f t="shared" si="216"/>
        <v>100</v>
      </c>
    </row>
    <row r="269" spans="1:117" x14ac:dyDescent="0.3">
      <c r="A269" s="81">
        <v>266</v>
      </c>
      <c r="B269" s="91" t="s">
        <v>728</v>
      </c>
      <c r="C269" s="91" t="s">
        <v>118</v>
      </c>
      <c r="D269" s="91" t="s">
        <v>119</v>
      </c>
      <c r="E269" s="91" t="s">
        <v>155</v>
      </c>
      <c r="F269" s="91" t="s">
        <v>807</v>
      </c>
      <c r="G269" s="87" t="s">
        <v>711</v>
      </c>
      <c r="H269" s="87" t="s">
        <v>656</v>
      </c>
      <c r="I269" s="87" t="s">
        <v>413</v>
      </c>
      <c r="J269" s="87" t="s">
        <v>413</v>
      </c>
      <c r="K269" s="85" t="s">
        <v>754</v>
      </c>
      <c r="L269" s="85" t="s">
        <v>676</v>
      </c>
      <c r="M269" s="87"/>
      <c r="N269" s="87" t="s">
        <v>809</v>
      </c>
      <c r="O269" s="87" t="s">
        <v>659</v>
      </c>
      <c r="P269" s="87" t="s">
        <v>826</v>
      </c>
      <c r="Q269" s="87" t="s">
        <v>803</v>
      </c>
      <c r="R269" s="130">
        <v>100</v>
      </c>
      <c r="S269" s="88" t="s">
        <v>745</v>
      </c>
      <c r="T269" s="81">
        <v>1</v>
      </c>
      <c r="U269" s="81"/>
      <c r="V269" s="25">
        <f t="shared" si="150"/>
        <v>0</v>
      </c>
      <c r="W269" s="81">
        <v>1</v>
      </c>
      <c r="X269" s="81"/>
      <c r="Y269" s="25">
        <f t="shared" si="190"/>
        <v>0</v>
      </c>
      <c r="Z269" s="81">
        <v>1</v>
      </c>
      <c r="AA269" s="81"/>
      <c r="AB269" s="25">
        <f t="shared" si="191"/>
        <v>0</v>
      </c>
      <c r="AC269" s="81">
        <v>1</v>
      </c>
      <c r="AD269" s="81"/>
      <c r="AE269" s="25">
        <f t="shared" si="192"/>
        <v>0</v>
      </c>
      <c r="AF269" s="137">
        <f t="shared" si="175"/>
        <v>100</v>
      </c>
      <c r="AG269" s="137">
        <f t="shared" si="176"/>
        <v>0</v>
      </c>
      <c r="AH269" s="128">
        <f t="shared" si="130"/>
        <v>0</v>
      </c>
      <c r="AI269" s="103">
        <v>46054</v>
      </c>
      <c r="AJ269" s="103">
        <v>46387</v>
      </c>
      <c r="AK269" s="91" t="s">
        <v>676</v>
      </c>
      <c r="AL269" s="91"/>
      <c r="AM269" s="92"/>
      <c r="AN269" s="93">
        <v>0</v>
      </c>
      <c r="AO269" s="93">
        <v>0</v>
      </c>
      <c r="AP269" s="93">
        <v>0</v>
      </c>
      <c r="AQ269" s="94"/>
      <c r="AR269" s="91" t="s">
        <v>812</v>
      </c>
      <c r="AS269" s="91" t="s">
        <v>750</v>
      </c>
      <c r="AT269" s="149" t="s">
        <v>825</v>
      </c>
      <c r="AU269" s="91" t="s">
        <v>2264</v>
      </c>
      <c r="AV269" s="126" t="s">
        <v>2236</v>
      </c>
      <c r="BA269" s="191"/>
      <c r="BB269" s="192"/>
      <c r="BC269" s="223" t="e">
        <f t="shared" si="193"/>
        <v>#DIV/0!</v>
      </c>
      <c r="BD269" s="191"/>
      <c r="BE269" s="192"/>
      <c r="BF269" s="223" t="e">
        <f t="shared" si="194"/>
        <v>#DIV/0!</v>
      </c>
      <c r="BG269" s="191"/>
      <c r="BH269" s="192"/>
      <c r="BI269" s="223" t="e">
        <f t="shared" si="195"/>
        <v>#DIV/0!</v>
      </c>
      <c r="BJ269" s="224">
        <f t="shared" si="196"/>
        <v>0</v>
      </c>
      <c r="BK269" s="225">
        <f t="shared" si="197"/>
        <v>0</v>
      </c>
      <c r="BL269" s="223" t="e">
        <f t="shared" si="198"/>
        <v>#DIV/0!</v>
      </c>
      <c r="BM269" s="191"/>
      <c r="BN269" s="192"/>
      <c r="BO269" s="193" t="e">
        <f t="shared" si="177"/>
        <v>#DIV/0!</v>
      </c>
      <c r="BP269" s="191"/>
      <c r="BQ269" s="192"/>
      <c r="BR269" s="193" t="e">
        <f t="shared" si="178"/>
        <v>#DIV/0!</v>
      </c>
      <c r="BS269" s="191"/>
      <c r="BT269" s="192"/>
      <c r="BU269" s="193" t="e">
        <f t="shared" si="179"/>
        <v>#DIV/0!</v>
      </c>
      <c r="BV269" s="224">
        <f t="shared" si="199"/>
        <v>0</v>
      </c>
      <c r="BW269" s="224">
        <f t="shared" si="200"/>
        <v>0</v>
      </c>
      <c r="BX269" s="223" t="e">
        <f t="shared" si="201"/>
        <v>#DIV/0!</v>
      </c>
      <c r="BY269" s="223">
        <f t="shared" si="202"/>
        <v>0</v>
      </c>
      <c r="BZ269" s="223">
        <f t="shared" si="203"/>
        <v>0</v>
      </c>
      <c r="CA269" s="196"/>
      <c r="CB269" s="175"/>
      <c r="CC269" s="191"/>
      <c r="CD269" s="192"/>
      <c r="CE269" s="193" t="e">
        <f t="shared" si="180"/>
        <v>#DIV/0!</v>
      </c>
      <c r="CF269" s="191"/>
      <c r="CG269" s="192"/>
      <c r="CH269" s="193" t="e">
        <f t="shared" si="181"/>
        <v>#DIV/0!</v>
      </c>
      <c r="CI269" s="197"/>
      <c r="CJ269" s="198"/>
      <c r="CK269" s="193" t="e">
        <f t="shared" si="182"/>
        <v>#DIV/0!</v>
      </c>
      <c r="CL269" s="195">
        <f t="shared" si="183"/>
        <v>0</v>
      </c>
      <c r="CM269" s="194">
        <f t="shared" si="184"/>
        <v>0</v>
      </c>
      <c r="CN269" s="193" t="e">
        <f t="shared" si="185"/>
        <v>#DIV/0!</v>
      </c>
      <c r="CO269" s="175"/>
      <c r="CP269" s="196">
        <f t="shared" si="186"/>
        <v>0</v>
      </c>
      <c r="CQ269" s="196">
        <f t="shared" si="187"/>
        <v>0</v>
      </c>
      <c r="CR269" s="199" t="e">
        <f t="shared" si="188"/>
        <v>#DIV/0!</v>
      </c>
      <c r="CS269" s="261">
        <f t="shared" si="204"/>
        <v>100</v>
      </c>
      <c r="CT269" s="175"/>
      <c r="CU269" s="196">
        <f t="shared" si="205"/>
        <v>30</v>
      </c>
      <c r="CV269" s="259"/>
      <c r="CW269" s="199">
        <f t="shared" si="206"/>
        <v>0</v>
      </c>
      <c r="CX269" s="196">
        <f t="shared" si="207"/>
        <v>30</v>
      </c>
      <c r="CY269" s="259"/>
      <c r="CZ269" s="199">
        <f t="shared" si="208"/>
        <v>0</v>
      </c>
      <c r="DA269" s="196">
        <f t="shared" si="209"/>
        <v>30</v>
      </c>
      <c r="DB269" s="259"/>
      <c r="DC269" s="199">
        <f t="shared" si="210"/>
        <v>0</v>
      </c>
      <c r="DD269" s="196">
        <f t="shared" si="211"/>
        <v>10</v>
      </c>
      <c r="DE269" s="259"/>
      <c r="DF269" s="199">
        <f t="shared" si="212"/>
        <v>0</v>
      </c>
      <c r="DG269" s="175"/>
      <c r="DH269" s="196">
        <f t="shared" si="213"/>
        <v>100</v>
      </c>
      <c r="DI269" s="196">
        <f t="shared" si="214"/>
        <v>0</v>
      </c>
      <c r="DJ269" s="199">
        <f t="shared" si="215"/>
        <v>0</v>
      </c>
      <c r="DK269" s="265">
        <f t="shared" si="216"/>
        <v>100</v>
      </c>
    </row>
    <row r="270" spans="1:117" x14ac:dyDescent="0.3">
      <c r="A270" s="81">
        <v>267</v>
      </c>
      <c r="B270" s="91" t="s">
        <v>728</v>
      </c>
      <c r="C270" s="91" t="s">
        <v>118</v>
      </c>
      <c r="D270" s="91" t="s">
        <v>119</v>
      </c>
      <c r="E270" s="91" t="s">
        <v>155</v>
      </c>
      <c r="F270" s="91" t="s">
        <v>807</v>
      </c>
      <c r="G270" s="87" t="s">
        <v>711</v>
      </c>
      <c r="H270" s="87" t="s">
        <v>656</v>
      </c>
      <c r="I270" s="87" t="s">
        <v>413</v>
      </c>
      <c r="J270" s="87" t="s">
        <v>413</v>
      </c>
      <c r="K270" s="85" t="s">
        <v>754</v>
      </c>
      <c r="L270" s="85" t="s">
        <v>676</v>
      </c>
      <c r="M270" s="87"/>
      <c r="N270" s="87" t="s">
        <v>809</v>
      </c>
      <c r="O270" s="87" t="s">
        <v>659</v>
      </c>
      <c r="P270" s="87" t="s">
        <v>827</v>
      </c>
      <c r="Q270" s="87" t="s">
        <v>803</v>
      </c>
      <c r="R270" s="130">
        <v>100</v>
      </c>
      <c r="S270" s="88" t="s">
        <v>745</v>
      </c>
      <c r="T270" s="81"/>
      <c r="U270" s="81"/>
      <c r="V270" s="25" t="e">
        <f t="shared" si="150"/>
        <v>#DIV/0!</v>
      </c>
      <c r="W270" s="81"/>
      <c r="X270" s="81"/>
      <c r="Y270" s="25" t="e">
        <f t="shared" si="190"/>
        <v>#DIV/0!</v>
      </c>
      <c r="Z270" s="81">
        <v>5</v>
      </c>
      <c r="AA270" s="81"/>
      <c r="AB270" s="25">
        <f t="shared" si="191"/>
        <v>0</v>
      </c>
      <c r="AC270" s="81"/>
      <c r="AD270" s="81"/>
      <c r="AE270" s="25" t="e">
        <f t="shared" si="192"/>
        <v>#DIV/0!</v>
      </c>
      <c r="AF270" s="137">
        <f t="shared" si="175"/>
        <v>100</v>
      </c>
      <c r="AG270" s="137">
        <f t="shared" si="176"/>
        <v>0</v>
      </c>
      <c r="AH270" s="128">
        <f t="shared" si="130"/>
        <v>0</v>
      </c>
      <c r="AI270" s="103">
        <v>46054</v>
      </c>
      <c r="AJ270" s="103">
        <v>46387</v>
      </c>
      <c r="AK270" s="91" t="s">
        <v>676</v>
      </c>
      <c r="AL270" s="91"/>
      <c r="AM270" s="92"/>
      <c r="AN270" s="93">
        <v>0</v>
      </c>
      <c r="AO270" s="93">
        <v>0</v>
      </c>
      <c r="AP270" s="93">
        <v>0</v>
      </c>
      <c r="AQ270" s="94"/>
      <c r="AR270" s="91" t="s">
        <v>812</v>
      </c>
      <c r="AS270" s="91" t="s">
        <v>750</v>
      </c>
      <c r="AT270" s="149" t="s">
        <v>825</v>
      </c>
      <c r="AU270" s="91" t="s">
        <v>2264</v>
      </c>
      <c r="AV270" s="126" t="s">
        <v>2236</v>
      </c>
      <c r="BA270" s="191"/>
      <c r="BB270" s="192"/>
      <c r="BC270" s="223" t="e">
        <f t="shared" si="193"/>
        <v>#DIV/0!</v>
      </c>
      <c r="BD270" s="191"/>
      <c r="BE270" s="192"/>
      <c r="BF270" s="223" t="e">
        <f t="shared" si="194"/>
        <v>#DIV/0!</v>
      </c>
      <c r="BG270" s="191"/>
      <c r="BH270" s="192"/>
      <c r="BI270" s="223" t="e">
        <f t="shared" si="195"/>
        <v>#DIV/0!</v>
      </c>
      <c r="BJ270" s="224">
        <f t="shared" si="196"/>
        <v>0</v>
      </c>
      <c r="BK270" s="225">
        <f t="shared" si="197"/>
        <v>0</v>
      </c>
      <c r="BL270" s="223" t="e">
        <f t="shared" si="198"/>
        <v>#DIV/0!</v>
      </c>
      <c r="BM270" s="191"/>
      <c r="BN270" s="192"/>
      <c r="BO270" s="193" t="e">
        <f t="shared" si="177"/>
        <v>#DIV/0!</v>
      </c>
      <c r="BP270" s="191"/>
      <c r="BQ270" s="192"/>
      <c r="BR270" s="193" t="e">
        <f t="shared" si="178"/>
        <v>#DIV/0!</v>
      </c>
      <c r="BS270" s="191"/>
      <c r="BT270" s="192"/>
      <c r="BU270" s="193" t="e">
        <f t="shared" si="179"/>
        <v>#DIV/0!</v>
      </c>
      <c r="BV270" s="224">
        <f t="shared" si="199"/>
        <v>0</v>
      </c>
      <c r="BW270" s="224">
        <f t="shared" si="200"/>
        <v>0</v>
      </c>
      <c r="BX270" s="223" t="e">
        <f t="shared" si="201"/>
        <v>#DIV/0!</v>
      </c>
      <c r="BY270" s="223">
        <f t="shared" si="202"/>
        <v>0</v>
      </c>
      <c r="BZ270" s="223">
        <f t="shared" si="203"/>
        <v>0</v>
      </c>
      <c r="CA270" s="196"/>
      <c r="CB270" s="175"/>
      <c r="CC270" s="191"/>
      <c r="CD270" s="192"/>
      <c r="CE270" s="193" t="e">
        <f t="shared" si="180"/>
        <v>#DIV/0!</v>
      </c>
      <c r="CF270" s="191"/>
      <c r="CG270" s="192"/>
      <c r="CH270" s="193" t="e">
        <f t="shared" si="181"/>
        <v>#DIV/0!</v>
      </c>
      <c r="CI270" s="197"/>
      <c r="CJ270" s="198"/>
      <c r="CK270" s="193" t="e">
        <f t="shared" si="182"/>
        <v>#DIV/0!</v>
      </c>
      <c r="CL270" s="195">
        <f t="shared" si="183"/>
        <v>0</v>
      </c>
      <c r="CM270" s="194">
        <f t="shared" si="184"/>
        <v>0</v>
      </c>
      <c r="CN270" s="193" t="e">
        <f t="shared" si="185"/>
        <v>#DIV/0!</v>
      </c>
      <c r="CO270" s="175"/>
      <c r="CP270" s="196">
        <f t="shared" si="186"/>
        <v>0</v>
      </c>
      <c r="CQ270" s="196">
        <f t="shared" si="187"/>
        <v>0</v>
      </c>
      <c r="CR270" s="199" t="e">
        <f t="shared" si="188"/>
        <v>#DIV/0!</v>
      </c>
      <c r="CS270" s="261">
        <f t="shared" si="204"/>
        <v>100</v>
      </c>
      <c r="CT270" s="175"/>
      <c r="CU270" s="196">
        <f t="shared" si="205"/>
        <v>30</v>
      </c>
      <c r="CV270" s="259"/>
      <c r="CW270" s="199">
        <f t="shared" si="206"/>
        <v>0</v>
      </c>
      <c r="CX270" s="196">
        <f t="shared" si="207"/>
        <v>30</v>
      </c>
      <c r="CY270" s="259"/>
      <c r="CZ270" s="199">
        <f t="shared" si="208"/>
        <v>0</v>
      </c>
      <c r="DA270" s="196">
        <f t="shared" si="209"/>
        <v>30</v>
      </c>
      <c r="DB270" s="259"/>
      <c r="DC270" s="199">
        <f t="shared" si="210"/>
        <v>0</v>
      </c>
      <c r="DD270" s="196">
        <f t="shared" si="211"/>
        <v>10</v>
      </c>
      <c r="DE270" s="259"/>
      <c r="DF270" s="199">
        <f t="shared" si="212"/>
        <v>0</v>
      </c>
      <c r="DG270" s="175"/>
      <c r="DH270" s="196">
        <f t="shared" si="213"/>
        <v>100</v>
      </c>
      <c r="DI270" s="196">
        <f t="shared" si="214"/>
        <v>0</v>
      </c>
      <c r="DJ270" s="199">
        <f t="shared" si="215"/>
        <v>0</v>
      </c>
      <c r="DK270" s="265">
        <f t="shared" si="216"/>
        <v>100</v>
      </c>
    </row>
    <row r="271" spans="1:117" x14ac:dyDescent="0.3">
      <c r="A271" s="81">
        <v>268</v>
      </c>
      <c r="B271" s="91" t="s">
        <v>728</v>
      </c>
      <c r="C271" s="91" t="s">
        <v>118</v>
      </c>
      <c r="D271" s="91" t="s">
        <v>119</v>
      </c>
      <c r="E271" s="91" t="s">
        <v>155</v>
      </c>
      <c r="F271" s="91" t="s">
        <v>807</v>
      </c>
      <c r="G271" s="87" t="s">
        <v>711</v>
      </c>
      <c r="H271" s="87" t="s">
        <v>656</v>
      </c>
      <c r="I271" s="87" t="s">
        <v>413</v>
      </c>
      <c r="J271" s="87" t="s">
        <v>413</v>
      </c>
      <c r="K271" s="85" t="s">
        <v>754</v>
      </c>
      <c r="L271" s="85" t="s">
        <v>676</v>
      </c>
      <c r="M271" s="87"/>
      <c r="N271" s="87" t="s">
        <v>809</v>
      </c>
      <c r="O271" s="87" t="s">
        <v>659</v>
      </c>
      <c r="P271" s="87" t="s">
        <v>828</v>
      </c>
      <c r="Q271" s="87" t="s">
        <v>803</v>
      </c>
      <c r="R271" s="130">
        <v>58</v>
      </c>
      <c r="S271" s="88" t="s">
        <v>829</v>
      </c>
      <c r="T271" s="81">
        <v>25</v>
      </c>
      <c r="U271" s="81"/>
      <c r="V271" s="25">
        <f t="shared" si="150"/>
        <v>0</v>
      </c>
      <c r="W271" s="81">
        <v>25</v>
      </c>
      <c r="X271" s="81"/>
      <c r="Y271" s="25">
        <f t="shared" si="190"/>
        <v>0</v>
      </c>
      <c r="Z271" s="81">
        <v>25</v>
      </c>
      <c r="AA271" s="81"/>
      <c r="AB271" s="25">
        <f t="shared" si="191"/>
        <v>0</v>
      </c>
      <c r="AC271" s="81">
        <v>25</v>
      </c>
      <c r="AD271" s="81"/>
      <c r="AE271" s="25">
        <f t="shared" si="192"/>
        <v>0</v>
      </c>
      <c r="AF271" s="137">
        <f t="shared" si="175"/>
        <v>58</v>
      </c>
      <c r="AG271" s="137">
        <f t="shared" si="176"/>
        <v>0</v>
      </c>
      <c r="AH271" s="128">
        <f t="shared" si="130"/>
        <v>0</v>
      </c>
      <c r="AI271" s="103">
        <v>46054</v>
      </c>
      <c r="AJ271" s="103">
        <v>46387</v>
      </c>
      <c r="AK271" s="91" t="s">
        <v>676</v>
      </c>
      <c r="AL271" s="91"/>
      <c r="AM271" s="92"/>
      <c r="AN271" s="93">
        <v>0</v>
      </c>
      <c r="AO271" s="93">
        <v>0</v>
      </c>
      <c r="AP271" s="93">
        <v>0</v>
      </c>
      <c r="AQ271" s="94"/>
      <c r="AR271" s="91" t="s">
        <v>812</v>
      </c>
      <c r="AS271" s="91" t="s">
        <v>750</v>
      </c>
      <c r="AT271" s="149" t="s">
        <v>825</v>
      </c>
      <c r="AU271" s="91" t="s">
        <v>2264</v>
      </c>
      <c r="AV271" s="126" t="s">
        <v>2236</v>
      </c>
      <c r="BA271" s="191"/>
      <c r="BB271" s="192"/>
      <c r="BC271" s="223" t="e">
        <f t="shared" si="193"/>
        <v>#DIV/0!</v>
      </c>
      <c r="BD271" s="191"/>
      <c r="BE271" s="192"/>
      <c r="BF271" s="223" t="e">
        <f t="shared" si="194"/>
        <v>#DIV/0!</v>
      </c>
      <c r="BG271" s="191"/>
      <c r="BH271" s="192"/>
      <c r="BI271" s="223" t="e">
        <f t="shared" si="195"/>
        <v>#DIV/0!</v>
      </c>
      <c r="BJ271" s="224">
        <f t="shared" si="196"/>
        <v>0</v>
      </c>
      <c r="BK271" s="225">
        <f t="shared" si="197"/>
        <v>0</v>
      </c>
      <c r="BL271" s="223" t="e">
        <f t="shared" si="198"/>
        <v>#DIV/0!</v>
      </c>
      <c r="BM271" s="191"/>
      <c r="BN271" s="192"/>
      <c r="BO271" s="193" t="e">
        <f t="shared" si="177"/>
        <v>#DIV/0!</v>
      </c>
      <c r="BP271" s="191"/>
      <c r="BQ271" s="192"/>
      <c r="BR271" s="193" t="e">
        <f t="shared" si="178"/>
        <v>#DIV/0!</v>
      </c>
      <c r="BS271" s="191"/>
      <c r="BT271" s="192"/>
      <c r="BU271" s="193" t="e">
        <f t="shared" si="179"/>
        <v>#DIV/0!</v>
      </c>
      <c r="BV271" s="224">
        <f t="shared" si="199"/>
        <v>0</v>
      </c>
      <c r="BW271" s="224">
        <f t="shared" si="200"/>
        <v>0</v>
      </c>
      <c r="BX271" s="223" t="e">
        <f t="shared" si="201"/>
        <v>#DIV/0!</v>
      </c>
      <c r="BY271" s="223">
        <f t="shared" si="202"/>
        <v>0</v>
      </c>
      <c r="BZ271" s="223">
        <f t="shared" si="203"/>
        <v>0</v>
      </c>
      <c r="CA271" s="196"/>
      <c r="CB271" s="175"/>
      <c r="CC271" s="191"/>
      <c r="CD271" s="192"/>
      <c r="CE271" s="193" t="e">
        <f t="shared" si="180"/>
        <v>#DIV/0!</v>
      </c>
      <c r="CF271" s="191"/>
      <c r="CG271" s="192"/>
      <c r="CH271" s="193" t="e">
        <f t="shared" si="181"/>
        <v>#DIV/0!</v>
      </c>
      <c r="CI271" s="197"/>
      <c r="CJ271" s="198"/>
      <c r="CK271" s="193" t="e">
        <f t="shared" si="182"/>
        <v>#DIV/0!</v>
      </c>
      <c r="CL271" s="195">
        <f t="shared" si="183"/>
        <v>0</v>
      </c>
      <c r="CM271" s="194">
        <f t="shared" si="184"/>
        <v>0</v>
      </c>
      <c r="CN271" s="193" t="e">
        <f t="shared" si="185"/>
        <v>#DIV/0!</v>
      </c>
      <c r="CO271" s="175"/>
      <c r="CP271" s="196">
        <f t="shared" si="186"/>
        <v>0</v>
      </c>
      <c r="CQ271" s="196">
        <f t="shared" si="187"/>
        <v>0</v>
      </c>
      <c r="CR271" s="199" t="e">
        <f t="shared" si="188"/>
        <v>#DIV/0!</v>
      </c>
      <c r="CS271" s="261">
        <f t="shared" si="204"/>
        <v>58</v>
      </c>
      <c r="CT271" s="175"/>
      <c r="CU271" s="196">
        <f t="shared" si="205"/>
        <v>17.399999999999999</v>
      </c>
      <c r="CV271" s="259"/>
      <c r="CW271" s="199">
        <f t="shared" si="206"/>
        <v>0</v>
      </c>
      <c r="CX271" s="196">
        <f t="shared" si="207"/>
        <v>17.399999999999999</v>
      </c>
      <c r="CY271" s="259"/>
      <c r="CZ271" s="199">
        <f t="shared" si="208"/>
        <v>0</v>
      </c>
      <c r="DA271" s="196">
        <f t="shared" si="209"/>
        <v>17.399999999999999</v>
      </c>
      <c r="DB271" s="259"/>
      <c r="DC271" s="199">
        <f t="shared" si="210"/>
        <v>0</v>
      </c>
      <c r="DD271" s="196">
        <f t="shared" si="211"/>
        <v>5.8000000000000007</v>
      </c>
      <c r="DE271" s="259"/>
      <c r="DF271" s="199">
        <f t="shared" si="212"/>
        <v>0</v>
      </c>
      <c r="DG271" s="175"/>
      <c r="DH271" s="196">
        <f t="shared" si="213"/>
        <v>58</v>
      </c>
      <c r="DI271" s="196">
        <f t="shared" si="214"/>
        <v>0</v>
      </c>
      <c r="DJ271" s="199">
        <f t="shared" si="215"/>
        <v>0</v>
      </c>
      <c r="DK271" s="265">
        <f t="shared" si="216"/>
        <v>58</v>
      </c>
    </row>
    <row r="272" spans="1:117" x14ac:dyDescent="0.3">
      <c r="A272" s="81">
        <v>269</v>
      </c>
      <c r="B272" s="91" t="s">
        <v>728</v>
      </c>
      <c r="C272" s="91" t="s">
        <v>118</v>
      </c>
      <c r="D272" s="91" t="s">
        <v>119</v>
      </c>
      <c r="E272" s="91" t="s">
        <v>155</v>
      </c>
      <c r="F272" s="91" t="s">
        <v>807</v>
      </c>
      <c r="G272" s="87" t="s">
        <v>711</v>
      </c>
      <c r="H272" s="87" t="s">
        <v>656</v>
      </c>
      <c r="I272" s="87" t="s">
        <v>413</v>
      </c>
      <c r="J272" s="87" t="s">
        <v>413</v>
      </c>
      <c r="K272" s="85" t="s">
        <v>754</v>
      </c>
      <c r="L272" s="85" t="s">
        <v>676</v>
      </c>
      <c r="M272" s="87"/>
      <c r="N272" s="87" t="s">
        <v>809</v>
      </c>
      <c r="O272" s="87" t="s">
        <v>659</v>
      </c>
      <c r="P272" s="87" t="s">
        <v>830</v>
      </c>
      <c r="Q272" s="87" t="s">
        <v>803</v>
      </c>
      <c r="R272" s="130">
        <v>58</v>
      </c>
      <c r="S272" s="88" t="s">
        <v>831</v>
      </c>
      <c r="T272" s="81">
        <v>25</v>
      </c>
      <c r="U272" s="81"/>
      <c r="V272" s="25">
        <f t="shared" si="150"/>
        <v>0</v>
      </c>
      <c r="W272" s="81">
        <v>25</v>
      </c>
      <c r="X272" s="81"/>
      <c r="Y272" s="25">
        <f t="shared" si="190"/>
        <v>0</v>
      </c>
      <c r="Z272" s="81">
        <v>25</v>
      </c>
      <c r="AA272" s="81"/>
      <c r="AB272" s="25">
        <f t="shared" si="191"/>
        <v>0</v>
      </c>
      <c r="AC272" s="81">
        <v>25</v>
      </c>
      <c r="AD272" s="81"/>
      <c r="AE272" s="25">
        <f t="shared" si="192"/>
        <v>0</v>
      </c>
      <c r="AF272" s="137">
        <f t="shared" si="175"/>
        <v>58</v>
      </c>
      <c r="AG272" s="137">
        <f t="shared" si="176"/>
        <v>0</v>
      </c>
      <c r="AH272" s="128">
        <f t="shared" si="130"/>
        <v>0</v>
      </c>
      <c r="AI272" s="103">
        <v>46054</v>
      </c>
      <c r="AJ272" s="103">
        <v>46387</v>
      </c>
      <c r="AK272" s="91" t="s">
        <v>676</v>
      </c>
      <c r="AL272" s="91"/>
      <c r="AM272" s="92"/>
      <c r="AN272" s="93">
        <v>0</v>
      </c>
      <c r="AO272" s="93">
        <v>0</v>
      </c>
      <c r="AP272" s="93">
        <v>0</v>
      </c>
      <c r="AQ272" s="94"/>
      <c r="AR272" s="91" t="s">
        <v>812</v>
      </c>
      <c r="AS272" s="91" t="s">
        <v>750</v>
      </c>
      <c r="AT272" s="149" t="s">
        <v>832</v>
      </c>
      <c r="AU272" s="91" t="s">
        <v>2264</v>
      </c>
      <c r="AV272" s="126" t="s">
        <v>2236</v>
      </c>
      <c r="BA272" s="191"/>
      <c r="BB272" s="192"/>
      <c r="BC272" s="223" t="e">
        <f t="shared" si="193"/>
        <v>#DIV/0!</v>
      </c>
      <c r="BD272" s="191"/>
      <c r="BE272" s="192"/>
      <c r="BF272" s="223" t="e">
        <f t="shared" si="194"/>
        <v>#DIV/0!</v>
      </c>
      <c r="BG272" s="191"/>
      <c r="BH272" s="192"/>
      <c r="BI272" s="223" t="e">
        <f t="shared" si="195"/>
        <v>#DIV/0!</v>
      </c>
      <c r="BJ272" s="224">
        <f t="shared" si="196"/>
        <v>0</v>
      </c>
      <c r="BK272" s="225">
        <f t="shared" si="197"/>
        <v>0</v>
      </c>
      <c r="BL272" s="223" t="e">
        <f t="shared" si="198"/>
        <v>#DIV/0!</v>
      </c>
      <c r="BM272" s="191"/>
      <c r="BN272" s="192"/>
      <c r="BO272" s="193" t="e">
        <f t="shared" si="177"/>
        <v>#DIV/0!</v>
      </c>
      <c r="BP272" s="191"/>
      <c r="BQ272" s="192"/>
      <c r="BR272" s="193" t="e">
        <f t="shared" si="178"/>
        <v>#DIV/0!</v>
      </c>
      <c r="BS272" s="191"/>
      <c r="BT272" s="192"/>
      <c r="BU272" s="193" t="e">
        <f t="shared" si="179"/>
        <v>#DIV/0!</v>
      </c>
      <c r="BV272" s="224">
        <f t="shared" si="199"/>
        <v>0</v>
      </c>
      <c r="BW272" s="224">
        <f t="shared" si="200"/>
        <v>0</v>
      </c>
      <c r="BX272" s="223" t="e">
        <f t="shared" si="201"/>
        <v>#DIV/0!</v>
      </c>
      <c r="BY272" s="223">
        <f t="shared" si="202"/>
        <v>0</v>
      </c>
      <c r="BZ272" s="223">
        <f t="shared" si="203"/>
        <v>0</v>
      </c>
      <c r="CA272" s="196"/>
      <c r="CB272" s="175"/>
      <c r="CC272" s="191"/>
      <c r="CD272" s="192"/>
      <c r="CE272" s="193" t="e">
        <f t="shared" si="180"/>
        <v>#DIV/0!</v>
      </c>
      <c r="CF272" s="191"/>
      <c r="CG272" s="192"/>
      <c r="CH272" s="193" t="e">
        <f t="shared" si="181"/>
        <v>#DIV/0!</v>
      </c>
      <c r="CI272" s="197"/>
      <c r="CJ272" s="198"/>
      <c r="CK272" s="193" t="e">
        <f t="shared" si="182"/>
        <v>#DIV/0!</v>
      </c>
      <c r="CL272" s="195">
        <f t="shared" si="183"/>
        <v>0</v>
      </c>
      <c r="CM272" s="194">
        <f t="shared" si="184"/>
        <v>0</v>
      </c>
      <c r="CN272" s="193" t="e">
        <f t="shared" si="185"/>
        <v>#DIV/0!</v>
      </c>
      <c r="CO272" s="175"/>
      <c r="CP272" s="196">
        <f t="shared" si="186"/>
        <v>0</v>
      </c>
      <c r="CQ272" s="196">
        <f t="shared" si="187"/>
        <v>0</v>
      </c>
      <c r="CR272" s="199" t="e">
        <f t="shared" si="188"/>
        <v>#DIV/0!</v>
      </c>
      <c r="CS272" s="261">
        <f t="shared" si="204"/>
        <v>58</v>
      </c>
      <c r="CT272" s="175"/>
      <c r="CU272" s="196">
        <f t="shared" si="205"/>
        <v>17.399999999999999</v>
      </c>
      <c r="CV272" s="259"/>
      <c r="CW272" s="199">
        <f t="shared" si="206"/>
        <v>0</v>
      </c>
      <c r="CX272" s="196">
        <f t="shared" si="207"/>
        <v>17.399999999999999</v>
      </c>
      <c r="CY272" s="259"/>
      <c r="CZ272" s="199">
        <f t="shared" si="208"/>
        <v>0</v>
      </c>
      <c r="DA272" s="196">
        <f t="shared" si="209"/>
        <v>17.399999999999999</v>
      </c>
      <c r="DB272" s="259"/>
      <c r="DC272" s="199">
        <f t="shared" si="210"/>
        <v>0</v>
      </c>
      <c r="DD272" s="196">
        <f t="shared" si="211"/>
        <v>5.8000000000000007</v>
      </c>
      <c r="DE272" s="259"/>
      <c r="DF272" s="199">
        <f t="shared" si="212"/>
        <v>0</v>
      </c>
      <c r="DG272" s="175"/>
      <c r="DH272" s="196">
        <f t="shared" si="213"/>
        <v>58</v>
      </c>
      <c r="DI272" s="196">
        <f t="shared" si="214"/>
        <v>0</v>
      </c>
      <c r="DJ272" s="199">
        <f t="shared" si="215"/>
        <v>0</v>
      </c>
      <c r="DK272" s="265">
        <f t="shared" si="216"/>
        <v>58</v>
      </c>
    </row>
    <row r="273" spans="1:115" x14ac:dyDescent="0.3">
      <c r="A273" s="81">
        <v>270</v>
      </c>
      <c r="B273" s="91" t="s">
        <v>728</v>
      </c>
      <c r="C273" s="91" t="s">
        <v>118</v>
      </c>
      <c r="D273" s="91" t="s">
        <v>119</v>
      </c>
      <c r="E273" s="91" t="s">
        <v>155</v>
      </c>
      <c r="F273" s="91" t="s">
        <v>807</v>
      </c>
      <c r="G273" s="87" t="s">
        <v>711</v>
      </c>
      <c r="H273" s="87" t="s">
        <v>656</v>
      </c>
      <c r="I273" s="87" t="s">
        <v>413</v>
      </c>
      <c r="J273" s="87" t="s">
        <v>413</v>
      </c>
      <c r="K273" s="85" t="s">
        <v>754</v>
      </c>
      <c r="L273" s="85" t="s">
        <v>676</v>
      </c>
      <c r="M273" s="87"/>
      <c r="N273" s="87" t="s">
        <v>809</v>
      </c>
      <c r="O273" s="87" t="s">
        <v>659</v>
      </c>
      <c r="P273" s="87" t="s">
        <v>833</v>
      </c>
      <c r="Q273" s="87" t="s">
        <v>803</v>
      </c>
      <c r="R273" s="130">
        <v>100</v>
      </c>
      <c r="S273" s="88" t="s">
        <v>745</v>
      </c>
      <c r="T273" s="81">
        <v>25</v>
      </c>
      <c r="U273" s="81"/>
      <c r="V273" s="25">
        <f t="shared" si="150"/>
        <v>0</v>
      </c>
      <c r="W273" s="81">
        <v>25</v>
      </c>
      <c r="X273" s="81"/>
      <c r="Y273" s="25">
        <f t="shared" si="190"/>
        <v>0</v>
      </c>
      <c r="Z273" s="81">
        <v>25</v>
      </c>
      <c r="AA273" s="81"/>
      <c r="AB273" s="25">
        <f t="shared" si="191"/>
        <v>0</v>
      </c>
      <c r="AC273" s="81">
        <v>25</v>
      </c>
      <c r="AD273" s="81"/>
      <c r="AE273" s="25">
        <f t="shared" si="192"/>
        <v>0</v>
      </c>
      <c r="AF273" s="137">
        <f t="shared" si="175"/>
        <v>100</v>
      </c>
      <c r="AG273" s="137">
        <f t="shared" si="176"/>
        <v>0</v>
      </c>
      <c r="AH273" s="128">
        <f t="shared" si="130"/>
        <v>0</v>
      </c>
      <c r="AI273" s="103">
        <v>46054</v>
      </c>
      <c r="AJ273" s="103">
        <v>46387</v>
      </c>
      <c r="AK273" s="91" t="s">
        <v>676</v>
      </c>
      <c r="AL273" s="91"/>
      <c r="AM273" s="92"/>
      <c r="AN273" s="93">
        <v>0</v>
      </c>
      <c r="AO273" s="93">
        <v>0</v>
      </c>
      <c r="AP273" s="93">
        <v>0</v>
      </c>
      <c r="AQ273" s="94"/>
      <c r="AR273" s="91" t="s">
        <v>812</v>
      </c>
      <c r="AS273" s="91" t="s">
        <v>750</v>
      </c>
      <c r="AT273" s="149" t="s">
        <v>832</v>
      </c>
      <c r="AU273" s="91" t="s">
        <v>2264</v>
      </c>
      <c r="AV273" s="126" t="s">
        <v>2236</v>
      </c>
      <c r="BA273" s="191"/>
      <c r="BB273" s="192"/>
      <c r="BC273" s="223" t="e">
        <f t="shared" si="193"/>
        <v>#DIV/0!</v>
      </c>
      <c r="BD273" s="191"/>
      <c r="BE273" s="192"/>
      <c r="BF273" s="223" t="e">
        <f t="shared" si="194"/>
        <v>#DIV/0!</v>
      </c>
      <c r="BG273" s="191"/>
      <c r="BH273" s="192"/>
      <c r="BI273" s="223" t="e">
        <f t="shared" si="195"/>
        <v>#DIV/0!</v>
      </c>
      <c r="BJ273" s="224">
        <f t="shared" si="196"/>
        <v>0</v>
      </c>
      <c r="BK273" s="225">
        <f t="shared" si="197"/>
        <v>0</v>
      </c>
      <c r="BL273" s="223" t="e">
        <f t="shared" si="198"/>
        <v>#DIV/0!</v>
      </c>
      <c r="BM273" s="191"/>
      <c r="BN273" s="192"/>
      <c r="BO273" s="193" t="e">
        <f t="shared" si="177"/>
        <v>#DIV/0!</v>
      </c>
      <c r="BP273" s="191"/>
      <c r="BQ273" s="192"/>
      <c r="BR273" s="193" t="e">
        <f t="shared" si="178"/>
        <v>#DIV/0!</v>
      </c>
      <c r="BS273" s="191"/>
      <c r="BT273" s="192"/>
      <c r="BU273" s="193" t="e">
        <f t="shared" si="179"/>
        <v>#DIV/0!</v>
      </c>
      <c r="BV273" s="224">
        <f t="shared" si="199"/>
        <v>0</v>
      </c>
      <c r="BW273" s="224">
        <f t="shared" si="200"/>
        <v>0</v>
      </c>
      <c r="BX273" s="223" t="e">
        <f t="shared" si="201"/>
        <v>#DIV/0!</v>
      </c>
      <c r="BY273" s="223">
        <f t="shared" si="202"/>
        <v>0</v>
      </c>
      <c r="BZ273" s="223">
        <f t="shared" si="203"/>
        <v>0</v>
      </c>
      <c r="CA273" s="196"/>
      <c r="CB273" s="175"/>
      <c r="CC273" s="191"/>
      <c r="CD273" s="192"/>
      <c r="CE273" s="193" t="e">
        <f t="shared" si="180"/>
        <v>#DIV/0!</v>
      </c>
      <c r="CF273" s="191"/>
      <c r="CG273" s="192"/>
      <c r="CH273" s="193" t="e">
        <f t="shared" si="181"/>
        <v>#DIV/0!</v>
      </c>
      <c r="CI273" s="197"/>
      <c r="CJ273" s="198"/>
      <c r="CK273" s="193" t="e">
        <f t="shared" si="182"/>
        <v>#DIV/0!</v>
      </c>
      <c r="CL273" s="195">
        <f t="shared" si="183"/>
        <v>0</v>
      </c>
      <c r="CM273" s="194">
        <f t="shared" si="184"/>
        <v>0</v>
      </c>
      <c r="CN273" s="193" t="e">
        <f t="shared" si="185"/>
        <v>#DIV/0!</v>
      </c>
      <c r="CO273" s="175"/>
      <c r="CP273" s="196">
        <f t="shared" si="186"/>
        <v>0</v>
      </c>
      <c r="CQ273" s="196">
        <f t="shared" si="187"/>
        <v>0</v>
      </c>
      <c r="CR273" s="199" t="e">
        <f t="shared" si="188"/>
        <v>#DIV/0!</v>
      </c>
      <c r="CS273" s="261">
        <f t="shared" si="204"/>
        <v>100</v>
      </c>
      <c r="CT273" s="175"/>
      <c r="CU273" s="196">
        <f t="shared" si="205"/>
        <v>30</v>
      </c>
      <c r="CV273" s="259"/>
      <c r="CW273" s="199">
        <f t="shared" si="206"/>
        <v>0</v>
      </c>
      <c r="CX273" s="196">
        <f t="shared" si="207"/>
        <v>30</v>
      </c>
      <c r="CY273" s="259"/>
      <c r="CZ273" s="199">
        <f t="shared" si="208"/>
        <v>0</v>
      </c>
      <c r="DA273" s="196">
        <f t="shared" si="209"/>
        <v>30</v>
      </c>
      <c r="DB273" s="259"/>
      <c r="DC273" s="199">
        <f t="shared" si="210"/>
        <v>0</v>
      </c>
      <c r="DD273" s="196">
        <f t="shared" si="211"/>
        <v>10</v>
      </c>
      <c r="DE273" s="259"/>
      <c r="DF273" s="199">
        <f t="shared" si="212"/>
        <v>0</v>
      </c>
      <c r="DG273" s="175"/>
      <c r="DH273" s="196">
        <f t="shared" si="213"/>
        <v>100</v>
      </c>
      <c r="DI273" s="196">
        <f t="shared" si="214"/>
        <v>0</v>
      </c>
      <c r="DJ273" s="199">
        <f t="shared" si="215"/>
        <v>0</v>
      </c>
      <c r="DK273" s="265">
        <f t="shared" si="216"/>
        <v>100</v>
      </c>
    </row>
    <row r="274" spans="1:115" x14ac:dyDescent="0.3">
      <c r="A274" s="81">
        <v>271</v>
      </c>
      <c r="B274" s="91" t="s">
        <v>728</v>
      </c>
      <c r="C274" s="91" t="s">
        <v>118</v>
      </c>
      <c r="D274" s="91" t="s">
        <v>119</v>
      </c>
      <c r="E274" s="91" t="s">
        <v>155</v>
      </c>
      <c r="F274" s="91" t="s">
        <v>807</v>
      </c>
      <c r="G274" s="87" t="s">
        <v>711</v>
      </c>
      <c r="H274" s="87" t="s">
        <v>656</v>
      </c>
      <c r="I274" s="87" t="s">
        <v>413</v>
      </c>
      <c r="J274" s="87" t="s">
        <v>413</v>
      </c>
      <c r="K274" s="85" t="s">
        <v>754</v>
      </c>
      <c r="L274" s="85" t="s">
        <v>676</v>
      </c>
      <c r="M274" s="87"/>
      <c r="N274" s="87" t="s">
        <v>809</v>
      </c>
      <c r="O274" s="87" t="s">
        <v>659</v>
      </c>
      <c r="P274" s="87" t="s">
        <v>834</v>
      </c>
      <c r="Q274" s="87" t="s">
        <v>803</v>
      </c>
      <c r="R274" s="130">
        <v>22</v>
      </c>
      <c r="S274" s="88" t="s">
        <v>829</v>
      </c>
      <c r="T274" s="81">
        <v>25</v>
      </c>
      <c r="U274" s="81"/>
      <c r="V274" s="25">
        <f t="shared" si="150"/>
        <v>0</v>
      </c>
      <c r="W274" s="81">
        <v>25</v>
      </c>
      <c r="X274" s="81"/>
      <c r="Y274" s="25">
        <f t="shared" si="190"/>
        <v>0</v>
      </c>
      <c r="Z274" s="81">
        <v>25</v>
      </c>
      <c r="AA274" s="81"/>
      <c r="AB274" s="25">
        <f t="shared" si="191"/>
        <v>0</v>
      </c>
      <c r="AC274" s="81">
        <v>25</v>
      </c>
      <c r="AD274" s="81"/>
      <c r="AE274" s="25">
        <f t="shared" si="192"/>
        <v>0</v>
      </c>
      <c r="AF274" s="137">
        <f t="shared" si="175"/>
        <v>22</v>
      </c>
      <c r="AG274" s="137">
        <f t="shared" si="176"/>
        <v>0</v>
      </c>
      <c r="AH274" s="128">
        <f t="shared" si="130"/>
        <v>0</v>
      </c>
      <c r="AI274" s="103">
        <v>46054</v>
      </c>
      <c r="AJ274" s="103">
        <v>46387</v>
      </c>
      <c r="AK274" s="91" t="s">
        <v>676</v>
      </c>
      <c r="AL274" s="91"/>
      <c r="AM274" s="92"/>
      <c r="AN274" s="93">
        <v>0</v>
      </c>
      <c r="AO274" s="93">
        <v>0</v>
      </c>
      <c r="AP274" s="93">
        <v>0</v>
      </c>
      <c r="AQ274" s="94"/>
      <c r="AR274" s="91" t="s">
        <v>812</v>
      </c>
      <c r="AS274" s="91" t="s">
        <v>750</v>
      </c>
      <c r="AT274" s="149" t="s">
        <v>652</v>
      </c>
      <c r="AU274" s="91" t="s">
        <v>2264</v>
      </c>
      <c r="AV274" s="126" t="s">
        <v>2235</v>
      </c>
      <c r="BA274" s="191"/>
      <c r="BB274" s="192"/>
      <c r="BC274" s="223" t="e">
        <f t="shared" si="193"/>
        <v>#DIV/0!</v>
      </c>
      <c r="BD274" s="191"/>
      <c r="BE274" s="192"/>
      <c r="BF274" s="223" t="e">
        <f t="shared" si="194"/>
        <v>#DIV/0!</v>
      </c>
      <c r="BG274" s="191"/>
      <c r="BH274" s="192"/>
      <c r="BI274" s="223" t="e">
        <f t="shared" si="195"/>
        <v>#DIV/0!</v>
      </c>
      <c r="BJ274" s="224">
        <f t="shared" si="196"/>
        <v>0</v>
      </c>
      <c r="BK274" s="225">
        <f t="shared" si="197"/>
        <v>0</v>
      </c>
      <c r="BL274" s="223" t="e">
        <f t="shared" si="198"/>
        <v>#DIV/0!</v>
      </c>
      <c r="BM274" s="191"/>
      <c r="BN274" s="192"/>
      <c r="BO274" s="193" t="e">
        <f t="shared" si="177"/>
        <v>#DIV/0!</v>
      </c>
      <c r="BP274" s="191"/>
      <c r="BQ274" s="192"/>
      <c r="BR274" s="193" t="e">
        <f t="shared" si="178"/>
        <v>#DIV/0!</v>
      </c>
      <c r="BS274" s="191"/>
      <c r="BT274" s="192"/>
      <c r="BU274" s="193" t="e">
        <f t="shared" si="179"/>
        <v>#DIV/0!</v>
      </c>
      <c r="BV274" s="224">
        <f t="shared" si="199"/>
        <v>0</v>
      </c>
      <c r="BW274" s="224">
        <f t="shared" si="200"/>
        <v>0</v>
      </c>
      <c r="BX274" s="223" t="e">
        <f t="shared" si="201"/>
        <v>#DIV/0!</v>
      </c>
      <c r="BY274" s="223">
        <f t="shared" si="202"/>
        <v>0</v>
      </c>
      <c r="BZ274" s="223">
        <f t="shared" si="203"/>
        <v>0</v>
      </c>
      <c r="CA274" s="196"/>
      <c r="CB274" s="175"/>
      <c r="CC274" s="191"/>
      <c r="CD274" s="192"/>
      <c r="CE274" s="193" t="e">
        <f t="shared" si="180"/>
        <v>#DIV/0!</v>
      </c>
      <c r="CF274" s="191"/>
      <c r="CG274" s="192"/>
      <c r="CH274" s="193" t="e">
        <f t="shared" si="181"/>
        <v>#DIV/0!</v>
      </c>
      <c r="CI274" s="197"/>
      <c r="CJ274" s="198"/>
      <c r="CK274" s="193" t="e">
        <f t="shared" si="182"/>
        <v>#DIV/0!</v>
      </c>
      <c r="CL274" s="195">
        <f t="shared" si="183"/>
        <v>0</v>
      </c>
      <c r="CM274" s="194">
        <f t="shared" si="184"/>
        <v>0</v>
      </c>
      <c r="CN274" s="193" t="e">
        <f t="shared" si="185"/>
        <v>#DIV/0!</v>
      </c>
      <c r="CO274" s="175"/>
      <c r="CP274" s="196">
        <f t="shared" si="186"/>
        <v>0</v>
      </c>
      <c r="CQ274" s="196">
        <f t="shared" si="187"/>
        <v>0</v>
      </c>
      <c r="CR274" s="199" t="e">
        <f t="shared" si="188"/>
        <v>#DIV/0!</v>
      </c>
      <c r="CS274" s="261">
        <f t="shared" si="204"/>
        <v>22</v>
      </c>
      <c r="CT274" s="175"/>
      <c r="CU274" s="196">
        <f t="shared" si="205"/>
        <v>6.6</v>
      </c>
      <c r="CV274" s="259"/>
      <c r="CW274" s="199">
        <f t="shared" si="206"/>
        <v>0</v>
      </c>
      <c r="CX274" s="196">
        <f t="shared" si="207"/>
        <v>6.6</v>
      </c>
      <c r="CY274" s="259"/>
      <c r="CZ274" s="199">
        <f t="shared" si="208"/>
        <v>0</v>
      </c>
      <c r="DA274" s="196">
        <f t="shared" si="209"/>
        <v>6.6</v>
      </c>
      <c r="DB274" s="259"/>
      <c r="DC274" s="199">
        <f t="shared" si="210"/>
        <v>0</v>
      </c>
      <c r="DD274" s="196">
        <f t="shared" si="211"/>
        <v>2.2000000000000002</v>
      </c>
      <c r="DE274" s="259"/>
      <c r="DF274" s="199">
        <f t="shared" si="212"/>
        <v>0</v>
      </c>
      <c r="DG274" s="175"/>
      <c r="DH274" s="196">
        <f t="shared" si="213"/>
        <v>22</v>
      </c>
      <c r="DI274" s="196">
        <f t="shared" si="214"/>
        <v>0</v>
      </c>
      <c r="DJ274" s="199">
        <f t="shared" si="215"/>
        <v>0</v>
      </c>
      <c r="DK274" s="265">
        <f t="shared" si="216"/>
        <v>22</v>
      </c>
    </row>
    <row r="275" spans="1:115" x14ac:dyDescent="0.3">
      <c r="A275" s="252">
        <v>272</v>
      </c>
      <c r="B275" s="26" t="s">
        <v>117</v>
      </c>
      <c r="C275" s="26" t="s">
        <v>118</v>
      </c>
      <c r="D275" s="26" t="s">
        <v>119</v>
      </c>
      <c r="E275" s="26" t="s">
        <v>120</v>
      </c>
      <c r="F275" s="26" t="s">
        <v>160</v>
      </c>
      <c r="G275" s="26" t="s">
        <v>122</v>
      </c>
      <c r="H275" s="26" t="s">
        <v>123</v>
      </c>
      <c r="I275" s="26" t="s">
        <v>153</v>
      </c>
      <c r="J275" s="26" t="s">
        <v>835</v>
      </c>
      <c r="K275" s="122" t="s">
        <v>104</v>
      </c>
      <c r="L275" s="122" t="s">
        <v>105</v>
      </c>
      <c r="M275" s="26" t="s">
        <v>106</v>
      </c>
      <c r="N275" s="26" t="s">
        <v>126</v>
      </c>
      <c r="O275" s="26" t="s">
        <v>127</v>
      </c>
      <c r="P275" s="26" t="s">
        <v>836</v>
      </c>
      <c r="Q275" s="26" t="s">
        <v>129</v>
      </c>
      <c r="R275" s="133">
        <v>100</v>
      </c>
      <c r="S275" s="26" t="s">
        <v>158</v>
      </c>
      <c r="T275" s="81">
        <v>0</v>
      </c>
      <c r="U275" s="81">
        <v>25</v>
      </c>
      <c r="V275" s="25" t="e">
        <f t="shared" si="150"/>
        <v>#DIV/0!</v>
      </c>
      <c r="W275" s="81">
        <v>30</v>
      </c>
      <c r="X275" s="81">
        <v>30</v>
      </c>
      <c r="Y275" s="25">
        <f t="shared" si="190"/>
        <v>100</v>
      </c>
      <c r="Z275" s="81">
        <v>40</v>
      </c>
      <c r="AA275" s="81"/>
      <c r="AB275" s="25">
        <f t="shared" si="191"/>
        <v>0</v>
      </c>
      <c r="AC275" s="81">
        <v>30</v>
      </c>
      <c r="AD275" s="81"/>
      <c r="AE275" s="25">
        <f t="shared" si="192"/>
        <v>0</v>
      </c>
      <c r="AF275" s="137">
        <f t="shared" si="175"/>
        <v>100</v>
      </c>
      <c r="AG275" s="137">
        <f t="shared" si="176"/>
        <v>55</v>
      </c>
      <c r="AH275" s="128">
        <f t="shared" si="130"/>
        <v>183.33333333333331</v>
      </c>
      <c r="AI275" s="103">
        <v>46054</v>
      </c>
      <c r="AJ275" s="103">
        <v>46387</v>
      </c>
      <c r="AK275" s="91" t="s">
        <v>676</v>
      </c>
      <c r="AL275" s="91"/>
      <c r="AM275" s="92"/>
      <c r="AN275" s="105">
        <v>162000364</v>
      </c>
      <c r="AO275" s="105">
        <v>162000364</v>
      </c>
      <c r="AP275" s="105">
        <v>162000364</v>
      </c>
      <c r="AQ275" s="94">
        <v>0</v>
      </c>
      <c r="AR275" s="91" t="s">
        <v>812</v>
      </c>
      <c r="AS275" s="91" t="s">
        <v>750</v>
      </c>
      <c r="AT275" s="150" t="s">
        <v>131</v>
      </c>
      <c r="AU275" s="165" t="s">
        <v>2264</v>
      </c>
      <c r="AV275" s="232" t="s">
        <v>2234</v>
      </c>
      <c r="AW275" s="126" t="s">
        <v>2258</v>
      </c>
      <c r="BA275" s="255"/>
      <c r="BB275" s="256"/>
      <c r="BC275" s="223" t="e">
        <f t="shared" si="193"/>
        <v>#DIV/0!</v>
      </c>
      <c r="BD275" s="255"/>
      <c r="BE275" s="256"/>
      <c r="BF275" s="223" t="e">
        <f t="shared" si="194"/>
        <v>#DIV/0!</v>
      </c>
      <c r="BG275" s="255"/>
      <c r="BH275" s="256"/>
      <c r="BI275" s="223" t="e">
        <f t="shared" si="195"/>
        <v>#DIV/0!</v>
      </c>
      <c r="BJ275" s="224">
        <f t="shared" si="196"/>
        <v>0</v>
      </c>
      <c r="BK275" s="225">
        <f t="shared" si="197"/>
        <v>0</v>
      </c>
      <c r="BL275" s="223" t="e">
        <f t="shared" si="198"/>
        <v>#DIV/0!</v>
      </c>
      <c r="BM275" s="255"/>
      <c r="BN275" s="256"/>
      <c r="BO275" s="223" t="e">
        <f t="shared" si="177"/>
        <v>#DIV/0!</v>
      </c>
      <c r="BP275" s="255"/>
      <c r="BQ275" s="256"/>
      <c r="BR275" s="223" t="e">
        <f t="shared" si="178"/>
        <v>#DIV/0!</v>
      </c>
      <c r="BS275" s="255"/>
      <c r="BT275" s="255"/>
      <c r="BU275" s="223" t="e">
        <f t="shared" si="179"/>
        <v>#DIV/0!</v>
      </c>
      <c r="BV275" s="224">
        <f t="shared" si="199"/>
        <v>0</v>
      </c>
      <c r="BW275" s="224">
        <f t="shared" si="200"/>
        <v>0</v>
      </c>
      <c r="BX275" s="223" t="e">
        <f t="shared" si="201"/>
        <v>#DIV/0!</v>
      </c>
      <c r="BY275" s="223">
        <f t="shared" si="202"/>
        <v>0</v>
      </c>
      <c r="BZ275" s="223">
        <f t="shared" si="203"/>
        <v>0</v>
      </c>
      <c r="CA275" s="226"/>
      <c r="CB275" s="175"/>
      <c r="CC275" s="191"/>
      <c r="CD275" s="192"/>
      <c r="CE275" s="193" t="e">
        <f t="shared" si="180"/>
        <v>#DIV/0!</v>
      </c>
      <c r="CF275" s="191"/>
      <c r="CG275" s="192"/>
      <c r="CH275" s="193" t="e">
        <f t="shared" si="181"/>
        <v>#DIV/0!</v>
      </c>
      <c r="CI275" s="197"/>
      <c r="CJ275" s="198"/>
      <c r="CK275" s="193" t="e">
        <f t="shared" si="182"/>
        <v>#DIV/0!</v>
      </c>
      <c r="CL275" s="195">
        <f t="shared" si="183"/>
        <v>0</v>
      </c>
      <c r="CM275" s="194">
        <f t="shared" si="184"/>
        <v>0</v>
      </c>
      <c r="CN275" s="193" t="e">
        <f t="shared" si="185"/>
        <v>#DIV/0!</v>
      </c>
      <c r="CO275" s="175"/>
      <c r="CP275" s="196">
        <f t="shared" si="186"/>
        <v>0</v>
      </c>
      <c r="CQ275" s="196">
        <f t="shared" si="187"/>
        <v>0</v>
      </c>
      <c r="CR275" s="199" t="e">
        <f t="shared" si="188"/>
        <v>#DIV/0!</v>
      </c>
      <c r="CS275" s="261">
        <f t="shared" si="204"/>
        <v>100</v>
      </c>
      <c r="CT275" s="175"/>
      <c r="CU275" s="196">
        <f t="shared" si="205"/>
        <v>30</v>
      </c>
      <c r="CV275" s="259"/>
      <c r="CW275" s="199">
        <f t="shared" si="206"/>
        <v>0</v>
      </c>
      <c r="CX275" s="196">
        <f t="shared" si="207"/>
        <v>30</v>
      </c>
      <c r="CY275" s="259"/>
      <c r="CZ275" s="199">
        <f t="shared" si="208"/>
        <v>0</v>
      </c>
      <c r="DA275" s="196">
        <f t="shared" si="209"/>
        <v>30</v>
      </c>
      <c r="DB275" s="259"/>
      <c r="DC275" s="199">
        <f t="shared" si="210"/>
        <v>0</v>
      </c>
      <c r="DD275" s="196">
        <f t="shared" si="211"/>
        <v>10</v>
      </c>
      <c r="DE275" s="259"/>
      <c r="DF275" s="199">
        <f t="shared" si="212"/>
        <v>0</v>
      </c>
      <c r="DG275" s="175"/>
      <c r="DH275" s="196">
        <f t="shared" si="213"/>
        <v>100</v>
      </c>
      <c r="DI275" s="196">
        <f t="shared" si="214"/>
        <v>0</v>
      </c>
      <c r="DJ275" s="199">
        <f t="shared" si="215"/>
        <v>0</v>
      </c>
      <c r="DK275" s="265">
        <f t="shared" si="216"/>
        <v>100</v>
      </c>
    </row>
    <row r="276" spans="1:115" x14ac:dyDescent="0.3">
      <c r="A276" s="252">
        <v>273</v>
      </c>
      <c r="B276" s="106" t="s">
        <v>270</v>
      </c>
      <c r="C276" s="106" t="s">
        <v>118</v>
      </c>
      <c r="D276" s="106" t="s">
        <v>119</v>
      </c>
      <c r="E276" s="106" t="s">
        <v>155</v>
      </c>
      <c r="F276" s="106" t="s">
        <v>412</v>
      </c>
      <c r="G276" s="106" t="s">
        <v>405</v>
      </c>
      <c r="H276" s="106" t="s">
        <v>406</v>
      </c>
      <c r="I276" s="106" t="s">
        <v>413</v>
      </c>
      <c r="J276" s="106" t="s">
        <v>837</v>
      </c>
      <c r="K276" s="123" t="s">
        <v>104</v>
      </c>
      <c r="L276" s="123" t="s">
        <v>105</v>
      </c>
      <c r="M276" s="106" t="s">
        <v>106</v>
      </c>
      <c r="N276" s="106" t="s">
        <v>380</v>
      </c>
      <c r="O276" s="106" t="s">
        <v>127</v>
      </c>
      <c r="P276" s="106" t="s">
        <v>838</v>
      </c>
      <c r="Q276" s="106" t="s">
        <v>129</v>
      </c>
      <c r="R276" s="134">
        <v>1</v>
      </c>
      <c r="S276" s="106" t="s">
        <v>111</v>
      </c>
      <c r="T276" s="81">
        <v>1</v>
      </c>
      <c r="U276" s="81">
        <v>1</v>
      </c>
      <c r="V276" s="25">
        <f t="shared" si="150"/>
        <v>100</v>
      </c>
      <c r="W276" s="81">
        <v>1</v>
      </c>
      <c r="X276" s="81">
        <v>0</v>
      </c>
      <c r="Y276" s="25">
        <f t="shared" si="190"/>
        <v>0</v>
      </c>
      <c r="Z276" s="81">
        <v>29</v>
      </c>
      <c r="AA276" s="81"/>
      <c r="AB276" s="25">
        <f t="shared" si="191"/>
        <v>0</v>
      </c>
      <c r="AC276" s="81"/>
      <c r="AD276" s="81"/>
      <c r="AE276" s="25" t="e">
        <f t="shared" si="192"/>
        <v>#DIV/0!</v>
      </c>
      <c r="AF276" s="137">
        <f t="shared" si="175"/>
        <v>1</v>
      </c>
      <c r="AG276" s="137">
        <f t="shared" si="176"/>
        <v>1</v>
      </c>
      <c r="AH276" s="128">
        <f t="shared" si="130"/>
        <v>50</v>
      </c>
      <c r="AI276" s="103">
        <v>46054</v>
      </c>
      <c r="AJ276" s="103">
        <v>46387</v>
      </c>
      <c r="AK276" s="91" t="s">
        <v>676</v>
      </c>
      <c r="AL276" s="91"/>
      <c r="AM276" s="92"/>
      <c r="AN276" s="105">
        <v>25000000</v>
      </c>
      <c r="AO276" s="105">
        <v>25000000</v>
      </c>
      <c r="AP276" s="105">
        <v>25000000</v>
      </c>
      <c r="AQ276" s="94">
        <f>AO276</f>
        <v>25000000</v>
      </c>
      <c r="AR276" s="91" t="s">
        <v>812</v>
      </c>
      <c r="AS276" s="91" t="s">
        <v>750</v>
      </c>
      <c r="AT276" s="149" t="s">
        <v>661</v>
      </c>
      <c r="AU276" s="165" t="s">
        <v>2264</v>
      </c>
      <c r="AV276" s="258" t="s">
        <v>2234</v>
      </c>
      <c r="AW276" s="164" t="s">
        <v>2241</v>
      </c>
      <c r="AX276" s="164"/>
      <c r="AY276" s="164"/>
      <c r="BA276" s="255"/>
      <c r="BB276" s="256"/>
      <c r="BC276" s="223" t="e">
        <f t="shared" si="193"/>
        <v>#DIV/0!</v>
      </c>
      <c r="BD276" s="255"/>
      <c r="BE276" s="256"/>
      <c r="BF276" s="223" t="e">
        <f t="shared" si="194"/>
        <v>#DIV/0!</v>
      </c>
      <c r="BG276" s="255"/>
      <c r="BH276" s="256"/>
      <c r="BI276" s="223" t="e">
        <f t="shared" si="195"/>
        <v>#DIV/0!</v>
      </c>
      <c r="BJ276" s="224">
        <f t="shared" si="196"/>
        <v>0</v>
      </c>
      <c r="BK276" s="225">
        <f t="shared" si="197"/>
        <v>0</v>
      </c>
      <c r="BL276" s="223" t="e">
        <f t="shared" si="198"/>
        <v>#DIV/0!</v>
      </c>
      <c r="BM276" s="255"/>
      <c r="BN276" s="256"/>
      <c r="BO276" s="223" t="e">
        <f t="shared" si="177"/>
        <v>#DIV/0!</v>
      </c>
      <c r="BP276" s="255"/>
      <c r="BQ276" s="256"/>
      <c r="BR276" s="223" t="e">
        <f t="shared" si="178"/>
        <v>#DIV/0!</v>
      </c>
      <c r="BS276" s="255"/>
      <c r="BT276" s="255"/>
      <c r="BU276" s="223" t="e">
        <f t="shared" si="179"/>
        <v>#DIV/0!</v>
      </c>
      <c r="BV276" s="224">
        <f t="shared" si="199"/>
        <v>0</v>
      </c>
      <c r="BW276" s="224">
        <f t="shared" si="200"/>
        <v>0</v>
      </c>
      <c r="BX276" s="223" t="e">
        <f t="shared" si="201"/>
        <v>#DIV/0!</v>
      </c>
      <c r="BY276" s="223">
        <f t="shared" si="202"/>
        <v>0</v>
      </c>
      <c r="BZ276" s="223">
        <f t="shared" si="203"/>
        <v>0</v>
      </c>
      <c r="CA276" s="226"/>
      <c r="CB276" s="175"/>
      <c r="CC276" s="191"/>
      <c r="CD276" s="192"/>
      <c r="CE276" s="193" t="e">
        <f t="shared" si="180"/>
        <v>#DIV/0!</v>
      </c>
      <c r="CF276" s="191"/>
      <c r="CG276" s="192"/>
      <c r="CH276" s="193" t="e">
        <f t="shared" si="181"/>
        <v>#DIV/0!</v>
      </c>
      <c r="CI276" s="197"/>
      <c r="CJ276" s="198"/>
      <c r="CK276" s="193" t="e">
        <f t="shared" si="182"/>
        <v>#DIV/0!</v>
      </c>
      <c r="CL276" s="195">
        <f t="shared" si="183"/>
        <v>0</v>
      </c>
      <c r="CM276" s="194">
        <f t="shared" si="184"/>
        <v>0</v>
      </c>
      <c r="CN276" s="193" t="e">
        <f t="shared" si="185"/>
        <v>#DIV/0!</v>
      </c>
      <c r="CO276" s="175"/>
      <c r="CP276" s="196">
        <f t="shared" si="186"/>
        <v>0</v>
      </c>
      <c r="CQ276" s="196">
        <f t="shared" si="187"/>
        <v>0</v>
      </c>
      <c r="CR276" s="199" t="e">
        <f t="shared" si="188"/>
        <v>#DIV/0!</v>
      </c>
      <c r="CS276" s="261">
        <f t="shared" si="204"/>
        <v>1</v>
      </c>
      <c r="CT276" s="175"/>
      <c r="CU276" s="196">
        <f t="shared" si="205"/>
        <v>0.3</v>
      </c>
      <c r="CV276" s="259"/>
      <c r="CW276" s="199">
        <f t="shared" si="206"/>
        <v>0</v>
      </c>
      <c r="CX276" s="196">
        <f t="shared" si="207"/>
        <v>0.3</v>
      </c>
      <c r="CY276" s="259"/>
      <c r="CZ276" s="199">
        <f t="shared" si="208"/>
        <v>0</v>
      </c>
      <c r="DA276" s="196">
        <f t="shared" si="209"/>
        <v>0.3</v>
      </c>
      <c r="DB276" s="259"/>
      <c r="DC276" s="199">
        <f t="shared" si="210"/>
        <v>0</v>
      </c>
      <c r="DD276" s="196">
        <f t="shared" si="211"/>
        <v>0.1</v>
      </c>
      <c r="DE276" s="259"/>
      <c r="DF276" s="199">
        <f t="shared" si="212"/>
        <v>0</v>
      </c>
      <c r="DG276" s="175"/>
      <c r="DH276" s="196">
        <f t="shared" si="213"/>
        <v>1</v>
      </c>
      <c r="DI276" s="196">
        <f t="shared" si="214"/>
        <v>0</v>
      </c>
      <c r="DJ276" s="199">
        <f t="shared" si="215"/>
        <v>0</v>
      </c>
      <c r="DK276" s="265">
        <f t="shared" si="216"/>
        <v>1</v>
      </c>
    </row>
    <row r="277" spans="1:115" x14ac:dyDescent="0.3">
      <c r="A277" s="252">
        <v>274</v>
      </c>
      <c r="B277" s="106" t="s">
        <v>270</v>
      </c>
      <c r="C277" s="106" t="s">
        <v>118</v>
      </c>
      <c r="D277" s="106" t="s">
        <v>119</v>
      </c>
      <c r="E277" s="106" t="s">
        <v>155</v>
      </c>
      <c r="F277" s="106" t="s">
        <v>412</v>
      </c>
      <c r="G277" s="106" t="s">
        <v>405</v>
      </c>
      <c r="H277" s="106" t="s">
        <v>406</v>
      </c>
      <c r="I277" s="106" t="s">
        <v>413</v>
      </c>
      <c r="J277" s="106" t="s">
        <v>837</v>
      </c>
      <c r="K277" s="123" t="s">
        <v>104</v>
      </c>
      <c r="L277" s="123" t="s">
        <v>105</v>
      </c>
      <c r="M277" s="106" t="s">
        <v>106</v>
      </c>
      <c r="N277" s="106" t="s">
        <v>380</v>
      </c>
      <c r="O277" s="106" t="s">
        <v>127</v>
      </c>
      <c r="P277" s="106" t="s">
        <v>839</v>
      </c>
      <c r="Q277" s="106" t="s">
        <v>129</v>
      </c>
      <c r="R277" s="134">
        <v>4</v>
      </c>
      <c r="S277" s="106" t="s">
        <v>111</v>
      </c>
      <c r="T277" s="81">
        <v>1</v>
      </c>
      <c r="U277" s="81">
        <v>1</v>
      </c>
      <c r="V277" s="25">
        <f t="shared" si="150"/>
        <v>100</v>
      </c>
      <c r="W277" s="81">
        <v>1</v>
      </c>
      <c r="X277" s="81">
        <v>0</v>
      </c>
      <c r="Y277" s="25">
        <f t="shared" si="190"/>
        <v>0</v>
      </c>
      <c r="Z277" s="81">
        <v>1</v>
      </c>
      <c r="AA277" s="81"/>
      <c r="AB277" s="25">
        <f t="shared" si="191"/>
        <v>0</v>
      </c>
      <c r="AC277" s="81">
        <v>1</v>
      </c>
      <c r="AD277" s="81"/>
      <c r="AE277" s="25">
        <f t="shared" si="192"/>
        <v>0</v>
      </c>
      <c r="AF277" s="137">
        <f t="shared" si="175"/>
        <v>4</v>
      </c>
      <c r="AG277" s="137">
        <f t="shared" si="176"/>
        <v>1</v>
      </c>
      <c r="AH277" s="128">
        <f t="shared" si="130"/>
        <v>50</v>
      </c>
      <c r="AI277" s="103">
        <v>46054</v>
      </c>
      <c r="AJ277" s="103">
        <v>46387</v>
      </c>
      <c r="AK277" s="91" t="s">
        <v>676</v>
      </c>
      <c r="AL277" s="91"/>
      <c r="AM277" s="92"/>
      <c r="AN277" s="105">
        <v>50000000</v>
      </c>
      <c r="AO277" s="105">
        <v>50000000</v>
      </c>
      <c r="AP277" s="105">
        <v>50000000</v>
      </c>
      <c r="AQ277" s="94">
        <f>AO277</f>
        <v>50000000</v>
      </c>
      <c r="AR277" s="91" t="s">
        <v>812</v>
      </c>
      <c r="AS277" s="91" t="s">
        <v>750</v>
      </c>
      <c r="AT277" s="149" t="s">
        <v>661</v>
      </c>
      <c r="AU277" s="165" t="s">
        <v>2264</v>
      </c>
      <c r="AV277" s="258" t="s">
        <v>2234</v>
      </c>
      <c r="AW277" s="164" t="s">
        <v>2241</v>
      </c>
      <c r="AX277" s="164"/>
      <c r="AY277" s="164"/>
      <c r="BA277" s="255"/>
      <c r="BB277" s="256"/>
      <c r="BC277" s="223" t="e">
        <f t="shared" si="193"/>
        <v>#DIV/0!</v>
      </c>
      <c r="BD277" s="255"/>
      <c r="BE277" s="256"/>
      <c r="BF277" s="223" t="e">
        <f t="shared" si="194"/>
        <v>#DIV/0!</v>
      </c>
      <c r="BG277" s="255"/>
      <c r="BH277" s="256"/>
      <c r="BI277" s="223" t="e">
        <f t="shared" si="195"/>
        <v>#DIV/0!</v>
      </c>
      <c r="BJ277" s="224">
        <f t="shared" si="196"/>
        <v>0</v>
      </c>
      <c r="BK277" s="225">
        <f t="shared" si="197"/>
        <v>0</v>
      </c>
      <c r="BL277" s="223" t="e">
        <f t="shared" si="198"/>
        <v>#DIV/0!</v>
      </c>
      <c r="BM277" s="255"/>
      <c r="BN277" s="256"/>
      <c r="BO277" s="223" t="e">
        <f t="shared" si="177"/>
        <v>#DIV/0!</v>
      </c>
      <c r="BP277" s="255"/>
      <c r="BQ277" s="256"/>
      <c r="BR277" s="223" t="e">
        <f t="shared" si="178"/>
        <v>#DIV/0!</v>
      </c>
      <c r="BS277" s="255"/>
      <c r="BT277" s="255"/>
      <c r="BU277" s="223" t="e">
        <f t="shared" si="179"/>
        <v>#DIV/0!</v>
      </c>
      <c r="BV277" s="224">
        <f t="shared" si="199"/>
        <v>0</v>
      </c>
      <c r="BW277" s="224">
        <f t="shared" si="200"/>
        <v>0</v>
      </c>
      <c r="BX277" s="223" t="e">
        <f t="shared" si="201"/>
        <v>#DIV/0!</v>
      </c>
      <c r="BY277" s="223">
        <f t="shared" si="202"/>
        <v>0</v>
      </c>
      <c r="BZ277" s="223">
        <f t="shared" si="203"/>
        <v>0</v>
      </c>
      <c r="CA277" s="226"/>
      <c r="CB277" s="175"/>
      <c r="CC277" s="191"/>
      <c r="CD277" s="192"/>
      <c r="CE277" s="193" t="e">
        <f t="shared" si="180"/>
        <v>#DIV/0!</v>
      </c>
      <c r="CF277" s="191"/>
      <c r="CG277" s="192"/>
      <c r="CH277" s="193" t="e">
        <f t="shared" si="181"/>
        <v>#DIV/0!</v>
      </c>
      <c r="CI277" s="197"/>
      <c r="CJ277" s="198"/>
      <c r="CK277" s="193" t="e">
        <f t="shared" si="182"/>
        <v>#DIV/0!</v>
      </c>
      <c r="CL277" s="195">
        <f t="shared" si="183"/>
        <v>0</v>
      </c>
      <c r="CM277" s="194">
        <f t="shared" si="184"/>
        <v>0</v>
      </c>
      <c r="CN277" s="193" t="e">
        <f t="shared" si="185"/>
        <v>#DIV/0!</v>
      </c>
      <c r="CO277" s="175"/>
      <c r="CP277" s="196">
        <f t="shared" si="186"/>
        <v>0</v>
      </c>
      <c r="CQ277" s="196">
        <f t="shared" si="187"/>
        <v>0</v>
      </c>
      <c r="CR277" s="199" t="e">
        <f t="shared" si="188"/>
        <v>#DIV/0!</v>
      </c>
      <c r="CS277" s="261">
        <f t="shared" si="204"/>
        <v>4</v>
      </c>
      <c r="CT277" s="175"/>
      <c r="CU277" s="196">
        <f t="shared" si="205"/>
        <v>1.2</v>
      </c>
      <c r="CV277" s="259"/>
      <c r="CW277" s="199">
        <f t="shared" si="206"/>
        <v>0</v>
      </c>
      <c r="CX277" s="196">
        <f t="shared" si="207"/>
        <v>1.2</v>
      </c>
      <c r="CY277" s="259"/>
      <c r="CZ277" s="199">
        <f t="shared" si="208"/>
        <v>0</v>
      </c>
      <c r="DA277" s="196">
        <f t="shared" si="209"/>
        <v>1.2</v>
      </c>
      <c r="DB277" s="259"/>
      <c r="DC277" s="199">
        <f t="shared" si="210"/>
        <v>0</v>
      </c>
      <c r="DD277" s="196">
        <f t="shared" si="211"/>
        <v>0.4</v>
      </c>
      <c r="DE277" s="259"/>
      <c r="DF277" s="199">
        <f t="shared" si="212"/>
        <v>0</v>
      </c>
      <c r="DG277" s="175"/>
      <c r="DH277" s="196">
        <f t="shared" si="213"/>
        <v>4</v>
      </c>
      <c r="DI277" s="196">
        <f t="shared" si="214"/>
        <v>0</v>
      </c>
      <c r="DJ277" s="199">
        <f t="shared" si="215"/>
        <v>0</v>
      </c>
      <c r="DK277" s="265">
        <f t="shared" si="216"/>
        <v>4</v>
      </c>
    </row>
    <row r="278" spans="1:115" x14ac:dyDescent="0.3">
      <c r="A278" s="252">
        <v>275</v>
      </c>
      <c r="B278" s="26" t="s">
        <v>840</v>
      </c>
      <c r="C278" s="26" t="s">
        <v>118</v>
      </c>
      <c r="D278" s="26" t="s">
        <v>119</v>
      </c>
      <c r="E278" s="26" t="s">
        <v>155</v>
      </c>
      <c r="F278" s="26" t="s">
        <v>160</v>
      </c>
      <c r="G278" s="26" t="s">
        <v>122</v>
      </c>
      <c r="H278" s="26" t="s">
        <v>123</v>
      </c>
      <c r="I278" s="26" t="s">
        <v>124</v>
      </c>
      <c r="J278" s="86" t="s">
        <v>835</v>
      </c>
      <c r="K278" s="122" t="s">
        <v>104</v>
      </c>
      <c r="L278" s="122" t="s">
        <v>105</v>
      </c>
      <c r="M278" s="26" t="s">
        <v>106</v>
      </c>
      <c r="N278" s="26" t="s">
        <v>126</v>
      </c>
      <c r="O278" s="26" t="s">
        <v>127</v>
      </c>
      <c r="P278" s="26" t="s">
        <v>841</v>
      </c>
      <c r="Q278" s="26" t="s">
        <v>129</v>
      </c>
      <c r="R278" s="133">
        <v>1</v>
      </c>
      <c r="S278" s="26" t="s">
        <v>842</v>
      </c>
      <c r="T278" s="81">
        <v>0</v>
      </c>
      <c r="U278" s="81"/>
      <c r="V278" s="25" t="e">
        <f t="shared" si="150"/>
        <v>#DIV/0!</v>
      </c>
      <c r="W278" s="81">
        <v>1</v>
      </c>
      <c r="X278" s="81"/>
      <c r="Y278" s="25">
        <f t="shared" si="190"/>
        <v>0</v>
      </c>
      <c r="Z278" s="81"/>
      <c r="AA278" s="81"/>
      <c r="AB278" s="25" t="e">
        <f t="shared" si="191"/>
        <v>#DIV/0!</v>
      </c>
      <c r="AC278" s="81">
        <v>22</v>
      </c>
      <c r="AD278" s="81"/>
      <c r="AE278" s="25">
        <f t="shared" si="192"/>
        <v>0</v>
      </c>
      <c r="AF278" s="137">
        <f t="shared" si="175"/>
        <v>1</v>
      </c>
      <c r="AG278" s="137">
        <f t="shared" si="176"/>
        <v>0</v>
      </c>
      <c r="AH278" s="128">
        <f t="shared" si="130"/>
        <v>0</v>
      </c>
      <c r="AI278" s="103">
        <v>46054</v>
      </c>
      <c r="AJ278" s="103">
        <v>46387</v>
      </c>
      <c r="AK278" s="91" t="s">
        <v>676</v>
      </c>
      <c r="AL278" s="91"/>
      <c r="AM278" s="92"/>
      <c r="AN278" s="93">
        <v>40000000</v>
      </c>
      <c r="AO278" s="93">
        <v>40000000</v>
      </c>
      <c r="AP278" s="93">
        <v>40000000</v>
      </c>
      <c r="AQ278" s="94">
        <v>0</v>
      </c>
      <c r="AR278" s="91" t="s">
        <v>812</v>
      </c>
      <c r="AS278" s="91" t="s">
        <v>750</v>
      </c>
      <c r="AT278" s="149" t="s">
        <v>628</v>
      </c>
      <c r="AU278" s="165" t="s">
        <v>2264</v>
      </c>
      <c r="AV278" s="232" t="s">
        <v>2234</v>
      </c>
      <c r="AW278" s="126" t="s">
        <v>2266</v>
      </c>
      <c r="BA278" s="255"/>
      <c r="BB278" s="256"/>
      <c r="BC278" s="223" t="e">
        <f t="shared" si="193"/>
        <v>#DIV/0!</v>
      </c>
      <c r="BD278" s="255"/>
      <c r="BE278" s="256"/>
      <c r="BF278" s="223" t="e">
        <f t="shared" si="194"/>
        <v>#DIV/0!</v>
      </c>
      <c r="BG278" s="255"/>
      <c r="BH278" s="256"/>
      <c r="BI278" s="223" t="e">
        <f t="shared" si="195"/>
        <v>#DIV/0!</v>
      </c>
      <c r="BJ278" s="224">
        <f t="shared" si="196"/>
        <v>0</v>
      </c>
      <c r="BK278" s="225">
        <f t="shared" si="197"/>
        <v>0</v>
      </c>
      <c r="BL278" s="223" t="e">
        <f t="shared" si="198"/>
        <v>#DIV/0!</v>
      </c>
      <c r="BM278" s="255"/>
      <c r="BN278" s="256"/>
      <c r="BO278" s="223" t="e">
        <f t="shared" si="177"/>
        <v>#DIV/0!</v>
      </c>
      <c r="BP278" s="255"/>
      <c r="BQ278" s="256"/>
      <c r="BR278" s="223" t="e">
        <f t="shared" si="178"/>
        <v>#DIV/0!</v>
      </c>
      <c r="BS278" s="255"/>
      <c r="BT278" s="255"/>
      <c r="BU278" s="223" t="e">
        <f t="shared" si="179"/>
        <v>#DIV/0!</v>
      </c>
      <c r="BV278" s="224">
        <f t="shared" si="199"/>
        <v>0</v>
      </c>
      <c r="BW278" s="224">
        <f t="shared" si="200"/>
        <v>0</v>
      </c>
      <c r="BX278" s="223" t="e">
        <f t="shared" si="201"/>
        <v>#DIV/0!</v>
      </c>
      <c r="BY278" s="223">
        <f t="shared" si="202"/>
        <v>0</v>
      </c>
      <c r="BZ278" s="223">
        <f t="shared" si="203"/>
        <v>0</v>
      </c>
      <c r="CA278" s="226"/>
      <c r="CB278" s="175"/>
      <c r="CC278" s="191"/>
      <c r="CD278" s="192"/>
      <c r="CE278" s="193" t="e">
        <f t="shared" si="180"/>
        <v>#DIV/0!</v>
      </c>
      <c r="CF278" s="191"/>
      <c r="CG278" s="192"/>
      <c r="CH278" s="193" t="e">
        <f t="shared" si="181"/>
        <v>#DIV/0!</v>
      </c>
      <c r="CI278" s="197"/>
      <c r="CJ278" s="198"/>
      <c r="CK278" s="193" t="e">
        <f t="shared" si="182"/>
        <v>#DIV/0!</v>
      </c>
      <c r="CL278" s="195">
        <f t="shared" si="183"/>
        <v>0</v>
      </c>
      <c r="CM278" s="194">
        <f t="shared" si="184"/>
        <v>0</v>
      </c>
      <c r="CN278" s="193" t="e">
        <f t="shared" si="185"/>
        <v>#DIV/0!</v>
      </c>
      <c r="CO278" s="175"/>
      <c r="CP278" s="196">
        <f t="shared" si="186"/>
        <v>0</v>
      </c>
      <c r="CQ278" s="196">
        <f t="shared" si="187"/>
        <v>0</v>
      </c>
      <c r="CR278" s="199" t="e">
        <f t="shared" si="188"/>
        <v>#DIV/0!</v>
      </c>
      <c r="CS278" s="261">
        <f t="shared" si="204"/>
        <v>1</v>
      </c>
      <c r="CT278" s="175"/>
      <c r="CU278" s="196">
        <f t="shared" si="205"/>
        <v>0.3</v>
      </c>
      <c r="CV278" s="259"/>
      <c r="CW278" s="199">
        <f t="shared" si="206"/>
        <v>0</v>
      </c>
      <c r="CX278" s="196">
        <f t="shared" si="207"/>
        <v>0.3</v>
      </c>
      <c r="CY278" s="259"/>
      <c r="CZ278" s="199">
        <f t="shared" si="208"/>
        <v>0</v>
      </c>
      <c r="DA278" s="196">
        <f t="shared" si="209"/>
        <v>0.3</v>
      </c>
      <c r="DB278" s="259"/>
      <c r="DC278" s="199">
        <f t="shared" si="210"/>
        <v>0</v>
      </c>
      <c r="DD278" s="196">
        <f t="shared" si="211"/>
        <v>0.1</v>
      </c>
      <c r="DE278" s="259"/>
      <c r="DF278" s="199">
        <f t="shared" si="212"/>
        <v>0</v>
      </c>
      <c r="DG278" s="175"/>
      <c r="DH278" s="196">
        <f t="shared" si="213"/>
        <v>1</v>
      </c>
      <c r="DI278" s="196">
        <f t="shared" si="214"/>
        <v>0</v>
      </c>
      <c r="DJ278" s="199">
        <f t="shared" si="215"/>
        <v>0</v>
      </c>
      <c r="DK278" s="265">
        <f t="shared" si="216"/>
        <v>1</v>
      </c>
    </row>
    <row r="279" spans="1:115" x14ac:dyDescent="0.3">
      <c r="A279" s="104">
        <v>276</v>
      </c>
      <c r="B279" s="107" t="s">
        <v>270</v>
      </c>
      <c r="C279" s="26" t="s">
        <v>118</v>
      </c>
      <c r="D279" s="26" t="s">
        <v>155</v>
      </c>
      <c r="E279" s="108" t="s">
        <v>569</v>
      </c>
      <c r="F279" s="109" t="s">
        <v>268</v>
      </c>
      <c r="G279" s="26" t="s">
        <v>122</v>
      </c>
      <c r="H279" s="26" t="s">
        <v>123</v>
      </c>
      <c r="I279" s="107" t="s">
        <v>103</v>
      </c>
      <c r="J279" s="107" t="s">
        <v>103</v>
      </c>
      <c r="K279" s="124" t="s">
        <v>104</v>
      </c>
      <c r="L279" s="125" t="s">
        <v>105</v>
      </c>
      <c r="M279" s="26" t="s">
        <v>106</v>
      </c>
      <c r="N279" s="110" t="s">
        <v>573</v>
      </c>
      <c r="O279" s="111" t="s">
        <v>659</v>
      </c>
      <c r="P279" s="189" t="s">
        <v>843</v>
      </c>
      <c r="Q279" s="26" t="s">
        <v>129</v>
      </c>
      <c r="R279" s="135">
        <v>29</v>
      </c>
      <c r="S279" s="112" t="s">
        <v>111</v>
      </c>
      <c r="T279" s="81">
        <v>3</v>
      </c>
      <c r="U279" s="81">
        <v>3</v>
      </c>
      <c r="V279" s="25">
        <f t="shared" si="150"/>
        <v>100</v>
      </c>
      <c r="W279" s="81">
        <v>4</v>
      </c>
      <c r="X279" s="81">
        <v>18</v>
      </c>
      <c r="Y279" s="25">
        <f t="shared" si="190"/>
        <v>450</v>
      </c>
      <c r="Z279" s="81">
        <v>11</v>
      </c>
      <c r="AA279" s="81"/>
      <c r="AB279" s="25">
        <f t="shared" si="191"/>
        <v>0</v>
      </c>
      <c r="AC279" s="81">
        <v>11</v>
      </c>
      <c r="AD279" s="81"/>
      <c r="AE279" s="25">
        <f t="shared" si="192"/>
        <v>0</v>
      </c>
      <c r="AF279" s="137">
        <f t="shared" si="175"/>
        <v>29</v>
      </c>
      <c r="AG279" s="137">
        <f t="shared" si="176"/>
        <v>21</v>
      </c>
      <c r="AH279" s="128">
        <f t="shared" si="130"/>
        <v>300</v>
      </c>
      <c r="AI279" s="103">
        <v>46054</v>
      </c>
      <c r="AJ279" s="103">
        <v>46387</v>
      </c>
      <c r="AK279" s="91"/>
      <c r="AL279" s="91"/>
      <c r="AM279" s="92"/>
      <c r="AN279" s="93"/>
      <c r="AO279" s="93"/>
      <c r="AP279" s="93"/>
      <c r="AQ279" s="94"/>
      <c r="AR279" s="91" t="s">
        <v>2219</v>
      </c>
      <c r="AS279" s="91" t="s">
        <v>112</v>
      </c>
      <c r="AT279" s="180" t="s">
        <v>509</v>
      </c>
      <c r="AU279" s="165" t="s">
        <v>2264</v>
      </c>
      <c r="AV279" s="231" t="s">
        <v>2304</v>
      </c>
      <c r="AX279" s="179" t="s">
        <v>2305</v>
      </c>
      <c r="AZ279" s="253" t="s">
        <v>2358</v>
      </c>
      <c r="BA279" s="191">
        <v>0</v>
      </c>
      <c r="BB279" s="192">
        <v>0</v>
      </c>
      <c r="BC279" s="223" t="e">
        <f t="shared" si="193"/>
        <v>#DIV/0!</v>
      </c>
      <c r="BD279" s="191">
        <v>0</v>
      </c>
      <c r="BE279" s="192">
        <v>0</v>
      </c>
      <c r="BF279" s="223" t="e">
        <f t="shared" si="194"/>
        <v>#DIV/0!</v>
      </c>
      <c r="BG279" s="191">
        <v>3</v>
      </c>
      <c r="BH279" s="192">
        <v>3</v>
      </c>
      <c r="BI279" s="223">
        <f t="shared" si="195"/>
        <v>1</v>
      </c>
      <c r="BJ279" s="224">
        <f t="shared" si="196"/>
        <v>3</v>
      </c>
      <c r="BK279" s="225">
        <f t="shared" si="197"/>
        <v>3</v>
      </c>
      <c r="BL279" s="223">
        <f t="shared" si="198"/>
        <v>1</v>
      </c>
      <c r="BM279" s="191">
        <v>5</v>
      </c>
      <c r="BN279" s="192">
        <v>5</v>
      </c>
      <c r="BO279" s="193">
        <f t="shared" si="177"/>
        <v>1</v>
      </c>
      <c r="BP279" s="191">
        <v>3</v>
      </c>
      <c r="BQ279" s="192">
        <v>3</v>
      </c>
      <c r="BR279" s="193">
        <f t="shared" si="178"/>
        <v>1</v>
      </c>
      <c r="BS279" s="191">
        <v>3</v>
      </c>
      <c r="BT279" s="192">
        <v>3</v>
      </c>
      <c r="BU279" s="193">
        <f t="shared" si="179"/>
        <v>1</v>
      </c>
      <c r="BV279" s="224">
        <f t="shared" si="199"/>
        <v>11</v>
      </c>
      <c r="BW279" s="224">
        <f t="shared" si="200"/>
        <v>11</v>
      </c>
      <c r="BX279" s="223">
        <f t="shared" si="201"/>
        <v>1</v>
      </c>
      <c r="BY279" s="223">
        <f t="shared" si="202"/>
        <v>0.48275862068965519</v>
      </c>
      <c r="BZ279" s="223">
        <f t="shared" si="203"/>
        <v>-0.48275862068965519</v>
      </c>
      <c r="CA279" s="196"/>
      <c r="CB279" s="175"/>
      <c r="CC279" s="191">
        <v>0</v>
      </c>
      <c r="CD279" s="192">
        <v>0</v>
      </c>
      <c r="CE279" s="193" t="e">
        <f t="shared" si="180"/>
        <v>#DIV/0!</v>
      </c>
      <c r="CF279" s="191">
        <v>0</v>
      </c>
      <c r="CG279" s="192">
        <v>0</v>
      </c>
      <c r="CH279" s="193" t="e">
        <f t="shared" si="181"/>
        <v>#DIV/0!</v>
      </c>
      <c r="CI279" s="197"/>
      <c r="CJ279" s="198"/>
      <c r="CK279" s="193" t="e">
        <f t="shared" si="182"/>
        <v>#DIV/0!</v>
      </c>
      <c r="CL279" s="195">
        <f t="shared" si="183"/>
        <v>0</v>
      </c>
      <c r="CM279" s="194">
        <f t="shared" si="184"/>
        <v>0</v>
      </c>
      <c r="CN279" s="193" t="e">
        <f t="shared" si="185"/>
        <v>#DIV/0!</v>
      </c>
      <c r="CO279" s="175"/>
      <c r="CP279" s="196">
        <f t="shared" si="186"/>
        <v>14</v>
      </c>
      <c r="CQ279" s="196">
        <f t="shared" si="187"/>
        <v>14</v>
      </c>
      <c r="CR279" s="199">
        <f t="shared" si="188"/>
        <v>1</v>
      </c>
      <c r="CS279" s="261">
        <f t="shared" si="204"/>
        <v>15</v>
      </c>
      <c r="CT279" s="175"/>
      <c r="CU279" s="196">
        <f t="shared" si="205"/>
        <v>4.5</v>
      </c>
      <c r="CV279" s="259"/>
      <c r="CW279" s="199">
        <f t="shared" si="206"/>
        <v>0</v>
      </c>
      <c r="CX279" s="196">
        <f t="shared" si="207"/>
        <v>4.5</v>
      </c>
      <c r="CY279" s="259"/>
      <c r="CZ279" s="199">
        <f t="shared" si="208"/>
        <v>0</v>
      </c>
      <c r="DA279" s="196">
        <f t="shared" si="209"/>
        <v>4.5</v>
      </c>
      <c r="DB279" s="259"/>
      <c r="DC279" s="199">
        <f t="shared" si="210"/>
        <v>0</v>
      </c>
      <c r="DD279" s="196">
        <f t="shared" si="211"/>
        <v>1.5</v>
      </c>
      <c r="DE279" s="259"/>
      <c r="DF279" s="199">
        <f t="shared" si="212"/>
        <v>0</v>
      </c>
      <c r="DG279" s="175"/>
      <c r="DH279" s="196">
        <f t="shared" si="213"/>
        <v>29</v>
      </c>
      <c r="DI279" s="196">
        <f t="shared" si="214"/>
        <v>14</v>
      </c>
      <c r="DJ279" s="199">
        <f t="shared" si="215"/>
        <v>0.48275862068965519</v>
      </c>
      <c r="DK279" s="265">
        <f t="shared" si="216"/>
        <v>15</v>
      </c>
    </row>
    <row r="280" spans="1:115" x14ac:dyDescent="0.3">
      <c r="A280" s="104">
        <v>277</v>
      </c>
      <c r="B280" s="107" t="s">
        <v>270</v>
      </c>
      <c r="C280" s="26" t="s">
        <v>118</v>
      </c>
      <c r="D280" s="26" t="s">
        <v>155</v>
      </c>
      <c r="E280" s="108" t="s">
        <v>569</v>
      </c>
      <c r="F280" s="113" t="s">
        <v>268</v>
      </c>
      <c r="G280" s="26" t="s">
        <v>122</v>
      </c>
      <c r="H280" s="26" t="s">
        <v>123</v>
      </c>
      <c r="I280" s="107" t="s">
        <v>103</v>
      </c>
      <c r="J280" s="107" t="s">
        <v>103</v>
      </c>
      <c r="K280" s="124" t="s">
        <v>104</v>
      </c>
      <c r="L280" s="125" t="s">
        <v>105</v>
      </c>
      <c r="M280" s="26" t="s">
        <v>106</v>
      </c>
      <c r="N280" s="114" t="s">
        <v>573</v>
      </c>
      <c r="O280" s="115" t="s">
        <v>659</v>
      </c>
      <c r="P280" s="190" t="s">
        <v>844</v>
      </c>
      <c r="Q280" s="116" t="s">
        <v>129</v>
      </c>
      <c r="R280" s="136">
        <v>29</v>
      </c>
      <c r="S280" s="112" t="s">
        <v>111</v>
      </c>
      <c r="T280" s="81">
        <v>3</v>
      </c>
      <c r="U280" s="81">
        <v>3</v>
      </c>
      <c r="V280" s="25">
        <f t="shared" si="150"/>
        <v>100</v>
      </c>
      <c r="W280" s="81">
        <v>4</v>
      </c>
      <c r="X280" s="81">
        <v>18</v>
      </c>
      <c r="Y280" s="25">
        <f t="shared" si="190"/>
        <v>450</v>
      </c>
      <c r="Z280" s="81">
        <v>11</v>
      </c>
      <c r="AA280" s="81"/>
      <c r="AB280" s="25">
        <f t="shared" si="191"/>
        <v>0</v>
      </c>
      <c r="AC280" s="81">
        <v>11</v>
      </c>
      <c r="AD280" s="81"/>
      <c r="AE280" s="25">
        <f t="shared" si="192"/>
        <v>0</v>
      </c>
      <c r="AF280" s="137">
        <f t="shared" ref="AF280" si="217">R280</f>
        <v>29</v>
      </c>
      <c r="AG280" s="137">
        <f t="shared" ref="AG280" si="218">U280+X280+AA280+AD280</f>
        <v>21</v>
      </c>
      <c r="AH280" s="128">
        <f t="shared" si="130"/>
        <v>300</v>
      </c>
      <c r="AI280" s="103">
        <v>46054</v>
      </c>
      <c r="AJ280" s="103">
        <v>46387</v>
      </c>
      <c r="AK280" s="91"/>
      <c r="AL280" s="91"/>
      <c r="AM280" s="92"/>
      <c r="AN280" s="93"/>
      <c r="AO280" s="93"/>
      <c r="AP280" s="93"/>
      <c r="AQ280" s="94"/>
      <c r="AR280" s="91" t="s">
        <v>2219</v>
      </c>
      <c r="AS280" s="91" t="s">
        <v>112</v>
      </c>
      <c r="AT280" s="180" t="s">
        <v>509</v>
      </c>
      <c r="AU280" s="165" t="s">
        <v>2264</v>
      </c>
      <c r="AV280" s="231" t="s">
        <v>2304</v>
      </c>
      <c r="AX280" s="179" t="s">
        <v>2305</v>
      </c>
      <c r="AZ280" s="253" t="s">
        <v>2358</v>
      </c>
      <c r="BA280" s="191">
        <v>0</v>
      </c>
      <c r="BB280" s="192">
        <v>0</v>
      </c>
      <c r="BC280" s="223" t="e">
        <f t="shared" si="193"/>
        <v>#DIV/0!</v>
      </c>
      <c r="BD280" s="191">
        <v>0</v>
      </c>
      <c r="BE280" s="192">
        <v>0</v>
      </c>
      <c r="BF280" s="223" t="e">
        <f t="shared" si="194"/>
        <v>#DIV/0!</v>
      </c>
      <c r="BG280" s="191">
        <v>3</v>
      </c>
      <c r="BH280" s="192">
        <v>3</v>
      </c>
      <c r="BI280" s="223">
        <f t="shared" si="195"/>
        <v>1</v>
      </c>
      <c r="BJ280" s="224">
        <f t="shared" si="196"/>
        <v>3</v>
      </c>
      <c r="BK280" s="225">
        <f t="shared" si="197"/>
        <v>3</v>
      </c>
      <c r="BL280" s="223">
        <f t="shared" si="198"/>
        <v>1</v>
      </c>
      <c r="BM280" s="191">
        <v>5</v>
      </c>
      <c r="BN280" s="192">
        <v>5</v>
      </c>
      <c r="BO280" s="193">
        <f t="shared" ref="BO280:BO281" si="219">+BN280/BM280</f>
        <v>1</v>
      </c>
      <c r="BP280" s="191">
        <v>3</v>
      </c>
      <c r="BQ280" s="192">
        <v>3</v>
      </c>
      <c r="BR280" s="193">
        <f t="shared" ref="BR280:BR281" si="220">+BQ280/BP280</f>
        <v>1</v>
      </c>
      <c r="BS280" s="191">
        <v>3</v>
      </c>
      <c r="BT280" s="192">
        <v>3</v>
      </c>
      <c r="BU280" s="193">
        <f t="shared" ref="BU280:BU281" si="221">+BT280/BS280</f>
        <v>1</v>
      </c>
      <c r="BV280" s="224">
        <f t="shared" si="199"/>
        <v>11</v>
      </c>
      <c r="BW280" s="224">
        <f t="shared" si="200"/>
        <v>11</v>
      </c>
      <c r="BX280" s="223">
        <f t="shared" si="201"/>
        <v>1</v>
      </c>
      <c r="BY280" s="223">
        <f t="shared" si="202"/>
        <v>0.48275862068965519</v>
      </c>
      <c r="BZ280" s="223">
        <f t="shared" si="203"/>
        <v>-0.48275862068965519</v>
      </c>
      <c r="CA280" s="196"/>
      <c r="CB280" s="175"/>
      <c r="CC280" s="191">
        <v>0</v>
      </c>
      <c r="CD280" s="192">
        <v>0</v>
      </c>
      <c r="CE280" s="193" t="e">
        <f t="shared" ref="CE280:CE281" si="222">+CD280/CC280</f>
        <v>#DIV/0!</v>
      </c>
      <c r="CF280" s="191">
        <v>1</v>
      </c>
      <c r="CG280" s="192">
        <v>1</v>
      </c>
      <c r="CH280" s="193">
        <f t="shared" ref="CH280:CH281" si="223">+CG280/CF280</f>
        <v>1</v>
      </c>
      <c r="CI280" s="197"/>
      <c r="CJ280" s="198"/>
      <c r="CK280" s="193" t="e">
        <f t="shared" ref="CK280:CK281" si="224">+CJ280/CI280</f>
        <v>#DIV/0!</v>
      </c>
      <c r="CL280" s="195">
        <f t="shared" ref="CL280:CL281" si="225">+CC280+CF280+CI280</f>
        <v>1</v>
      </c>
      <c r="CM280" s="194">
        <f t="shared" ref="CM280:CM281" si="226">+CD280+CG280+CJ280</f>
        <v>1</v>
      </c>
      <c r="CN280" s="193">
        <f t="shared" ref="CN280:CN281" si="227">+CM280/CL280</f>
        <v>1</v>
      </c>
      <c r="CO280" s="175"/>
      <c r="CP280" s="196">
        <f t="shared" ref="CP280:CP281" si="228">+BJ280+BV280+CL280</f>
        <v>15</v>
      </c>
      <c r="CQ280" s="196">
        <f t="shared" ref="CQ280:CQ281" si="229">+BK280+BW280+CM280</f>
        <v>15</v>
      </c>
      <c r="CR280" s="199">
        <f t="shared" ref="CR280:CR281" si="230">+CQ280/CP280</f>
        <v>1</v>
      </c>
      <c r="CS280" s="261">
        <f t="shared" si="204"/>
        <v>14</v>
      </c>
      <c r="CT280" s="175"/>
      <c r="CU280" s="196">
        <f t="shared" si="205"/>
        <v>4.2</v>
      </c>
      <c r="CV280" s="259"/>
      <c r="CW280" s="199">
        <f t="shared" si="206"/>
        <v>0</v>
      </c>
      <c r="CX280" s="196">
        <f t="shared" si="207"/>
        <v>4.2</v>
      </c>
      <c r="CY280" s="259"/>
      <c r="CZ280" s="199">
        <f t="shared" si="208"/>
        <v>0</v>
      </c>
      <c r="DA280" s="196">
        <f t="shared" si="209"/>
        <v>4.2</v>
      </c>
      <c r="DB280" s="259"/>
      <c r="DC280" s="199">
        <f t="shared" si="210"/>
        <v>0</v>
      </c>
      <c r="DD280" s="196">
        <f t="shared" si="211"/>
        <v>1.4000000000000001</v>
      </c>
      <c r="DE280" s="259"/>
      <c r="DF280" s="199">
        <f t="shared" si="212"/>
        <v>0</v>
      </c>
      <c r="DG280" s="175"/>
      <c r="DH280" s="196">
        <f t="shared" si="213"/>
        <v>29</v>
      </c>
      <c r="DI280" s="196">
        <f t="shared" si="214"/>
        <v>15</v>
      </c>
      <c r="DJ280" s="199">
        <f t="shared" si="215"/>
        <v>0.51724137931034486</v>
      </c>
      <c r="DK280" s="265">
        <f t="shared" si="216"/>
        <v>14</v>
      </c>
    </row>
    <row r="281" spans="1:115" x14ac:dyDescent="0.3">
      <c r="A281" s="117"/>
      <c r="B281" s="91"/>
      <c r="C281" s="91"/>
      <c r="D281" s="91"/>
      <c r="E281" s="91"/>
      <c r="F281" s="91"/>
      <c r="G281" s="87"/>
      <c r="H281" s="87"/>
      <c r="I281" s="87"/>
      <c r="J281" s="87"/>
      <c r="K281" s="85"/>
      <c r="L281" s="85"/>
      <c r="M281" s="87"/>
      <c r="N281" s="87"/>
      <c r="O281" s="87"/>
      <c r="P281" s="87"/>
      <c r="Q281" s="87"/>
      <c r="R281" s="130"/>
      <c r="S281" s="88"/>
      <c r="T281" s="81"/>
      <c r="U281" s="81"/>
      <c r="V281" s="25" t="e">
        <f t="shared" si="150"/>
        <v>#DIV/0!</v>
      </c>
      <c r="W281" s="81"/>
      <c r="X281" s="81"/>
      <c r="Y281" s="25" t="e">
        <f t="shared" si="190"/>
        <v>#DIV/0!</v>
      </c>
      <c r="Z281" s="81"/>
      <c r="AA281" s="81"/>
      <c r="AB281" s="25" t="e">
        <f t="shared" si="191"/>
        <v>#DIV/0!</v>
      </c>
      <c r="AC281" s="81"/>
      <c r="AD281" s="81"/>
      <c r="AE281" s="25" t="e">
        <f t="shared" si="192"/>
        <v>#DIV/0!</v>
      </c>
      <c r="AF281" s="127">
        <f t="shared" ref="AF281:AG281" si="231">T281+W281+Z281+AC281</f>
        <v>0</v>
      </c>
      <c r="AG281" s="127">
        <f t="shared" si="231"/>
        <v>0</v>
      </c>
      <c r="AH281" s="128" t="e">
        <f t="shared" si="130"/>
        <v>#DIV/0!</v>
      </c>
      <c r="AI281" s="90"/>
      <c r="AJ281" s="90"/>
      <c r="AK281" s="91"/>
      <c r="AL281" s="91"/>
      <c r="AM281" s="92"/>
      <c r="AN281" s="91"/>
      <c r="AO281" s="91"/>
      <c r="AP281" s="96"/>
      <c r="AQ281" s="94"/>
      <c r="AR281" s="91"/>
      <c r="AS281" s="91"/>
      <c r="AT281" s="151"/>
      <c r="AU281" s="91"/>
      <c r="BA281" s="191"/>
      <c r="BB281" s="192"/>
      <c r="BC281" s="223" t="e">
        <f t="shared" si="193"/>
        <v>#DIV/0!</v>
      </c>
      <c r="BD281" s="191"/>
      <c r="BE281" s="192"/>
      <c r="BF281" s="223" t="e">
        <f t="shared" si="194"/>
        <v>#DIV/0!</v>
      </c>
      <c r="BG281" s="191"/>
      <c r="BH281" s="192"/>
      <c r="BI281" s="223" t="e">
        <f t="shared" si="195"/>
        <v>#DIV/0!</v>
      </c>
      <c r="BJ281" s="224">
        <f t="shared" si="196"/>
        <v>0</v>
      </c>
      <c r="BK281" s="225">
        <f t="shared" si="197"/>
        <v>0</v>
      </c>
      <c r="BL281" s="223" t="e">
        <f t="shared" si="198"/>
        <v>#DIV/0!</v>
      </c>
      <c r="BM281" s="191"/>
      <c r="BN281" s="192"/>
      <c r="BO281" s="193" t="e">
        <f t="shared" si="219"/>
        <v>#DIV/0!</v>
      </c>
      <c r="BP281" s="191"/>
      <c r="BQ281" s="192"/>
      <c r="BR281" s="193" t="e">
        <f t="shared" si="220"/>
        <v>#DIV/0!</v>
      </c>
      <c r="BS281" s="191"/>
      <c r="BT281" s="192"/>
      <c r="BU281" s="193" t="e">
        <f t="shared" si="221"/>
        <v>#DIV/0!</v>
      </c>
      <c r="BV281" s="224">
        <f t="shared" si="199"/>
        <v>0</v>
      </c>
      <c r="BW281" s="224">
        <f t="shared" si="200"/>
        <v>0</v>
      </c>
      <c r="BX281" s="223" t="e">
        <f t="shared" si="201"/>
        <v>#DIV/0!</v>
      </c>
      <c r="BY281" s="223" t="e">
        <f t="shared" si="202"/>
        <v>#DIV/0!</v>
      </c>
      <c r="BZ281" s="223" t="e">
        <f t="shared" si="203"/>
        <v>#DIV/0!</v>
      </c>
      <c r="CA281" s="196"/>
      <c r="CB281" s="175"/>
      <c r="CC281" s="191"/>
      <c r="CD281" s="192"/>
      <c r="CE281" s="193" t="e">
        <f t="shared" si="222"/>
        <v>#DIV/0!</v>
      </c>
      <c r="CF281" s="191"/>
      <c r="CG281" s="192"/>
      <c r="CH281" s="193" t="e">
        <f t="shared" si="223"/>
        <v>#DIV/0!</v>
      </c>
      <c r="CI281" s="197"/>
      <c r="CJ281" s="198"/>
      <c r="CK281" s="193" t="e">
        <f t="shared" si="224"/>
        <v>#DIV/0!</v>
      </c>
      <c r="CL281" s="195">
        <f t="shared" si="225"/>
        <v>0</v>
      </c>
      <c r="CM281" s="194">
        <f t="shared" si="226"/>
        <v>0</v>
      </c>
      <c r="CN281" s="193" t="e">
        <f t="shared" si="227"/>
        <v>#DIV/0!</v>
      </c>
      <c r="CO281" s="175"/>
      <c r="CP281" s="196">
        <f t="shared" si="228"/>
        <v>0</v>
      </c>
      <c r="CQ281" s="196">
        <f t="shared" si="229"/>
        <v>0</v>
      </c>
      <c r="CR281" s="199" t="e">
        <f t="shared" si="230"/>
        <v>#DIV/0!</v>
      </c>
      <c r="CS281" s="261">
        <f t="shared" si="204"/>
        <v>0</v>
      </c>
      <c r="CT281" s="175"/>
      <c r="CU281" s="196">
        <f t="shared" si="205"/>
        <v>0</v>
      </c>
      <c r="CV281" s="259"/>
      <c r="CW281" s="199" t="e">
        <f t="shared" si="206"/>
        <v>#DIV/0!</v>
      </c>
      <c r="CX281" s="196">
        <f t="shared" si="207"/>
        <v>0</v>
      </c>
      <c r="CY281" s="259"/>
      <c r="CZ281" s="199" t="e">
        <f t="shared" si="208"/>
        <v>#DIV/0!</v>
      </c>
      <c r="DA281" s="196">
        <f t="shared" si="209"/>
        <v>0</v>
      </c>
      <c r="DB281" s="259"/>
      <c r="DC281" s="199" t="e">
        <f t="shared" si="210"/>
        <v>#DIV/0!</v>
      </c>
      <c r="DD281" s="196">
        <f t="shared" si="211"/>
        <v>0</v>
      </c>
      <c r="DE281" s="259"/>
      <c r="DF281" s="199" t="e">
        <f t="shared" si="212"/>
        <v>#DIV/0!</v>
      </c>
      <c r="DG281" s="175"/>
      <c r="DH281" s="196">
        <f t="shared" si="213"/>
        <v>0</v>
      </c>
      <c r="DI281" s="196">
        <f t="shared" si="214"/>
        <v>0</v>
      </c>
      <c r="DJ281" s="199" t="e">
        <f t="shared" si="215"/>
        <v>#DIV/0!</v>
      </c>
      <c r="DK281" s="265">
        <f t="shared" si="216"/>
        <v>0</v>
      </c>
    </row>
    <row r="282" spans="1:115" x14ac:dyDescent="0.3">
      <c r="R282" s="219">
        <f>SUBTOTAL(9,R5:R281)</f>
        <v>110102</v>
      </c>
      <c r="AF282" s="137">
        <f>SUM(AF5:AF281)</f>
        <v>110102</v>
      </c>
      <c r="AG282" s="148">
        <f>SUM(AG5:AG281)</f>
        <v>1500.6</v>
      </c>
      <c r="AH282" s="147">
        <f>+AG282/AF282</f>
        <v>1.3629180214709996E-2</v>
      </c>
      <c r="BA282" s="219">
        <f>SUBTOTAL(9,BA5:BA281)</f>
        <v>130</v>
      </c>
      <c r="BB282" s="219">
        <f>SUBTOTAL(9,BB5:BB281)</f>
        <v>122.6</v>
      </c>
      <c r="BC282"/>
      <c r="BD282" s="219">
        <f>SUBTOTAL(9,BD5:BD281)</f>
        <v>399</v>
      </c>
      <c r="BE282" s="219">
        <f>SUBTOTAL(9,BE5:BE281)</f>
        <v>325.60000000000002</v>
      </c>
      <c r="BF282"/>
      <c r="BG282" s="219">
        <f>SUBTOTAL(9,BG5:BG281)</f>
        <v>543</v>
      </c>
      <c r="BH282" s="219">
        <f>SUBTOTAL(9,BH5:BH281)</f>
        <v>409.6</v>
      </c>
      <c r="BI282"/>
      <c r="BJ282" s="219">
        <f>SUBTOTAL(9,BJ5:BJ281)</f>
        <v>1072</v>
      </c>
      <c r="BK282" s="219">
        <f>SUBTOTAL(9,BK5:BK281)</f>
        <v>857.8</v>
      </c>
      <c r="BL282"/>
      <c r="BM282" s="219">
        <f>SUBTOTAL(9,BM5:BM281)</f>
        <v>745</v>
      </c>
      <c r="BN282" s="219">
        <f>SUBTOTAL(9,BN5:BN281)</f>
        <v>380.6</v>
      </c>
      <c r="BO282"/>
      <c r="BP282" s="219">
        <f>SUBTOTAL(9,BP5:BP281)</f>
        <v>978</v>
      </c>
      <c r="BQ282" s="219">
        <f>SUBTOTAL(9,BQ5:BQ281)</f>
        <v>534.6</v>
      </c>
      <c r="BR282"/>
      <c r="BS282" s="219">
        <f>SUBTOTAL(9,BS5:BS281)</f>
        <v>1160</v>
      </c>
      <c r="BT282" s="219">
        <f>SUBTOTAL(9,BT5:BT281)</f>
        <v>713.59999999999991</v>
      </c>
      <c r="BU282"/>
      <c r="BV282" s="219">
        <f>SUBTOTAL(9,BV5:BV281)</f>
        <v>2883</v>
      </c>
      <c r="BW282" s="219">
        <f>SUBTOTAL(9,BW5:BW281)</f>
        <v>1628.8000000000002</v>
      </c>
      <c r="BX282"/>
      <c r="BY282"/>
      <c r="BZ282"/>
      <c r="CA282" s="219">
        <f>SUBTOTAL(9,CA5:CA281)</f>
        <v>0</v>
      </c>
      <c r="CC282" s="219">
        <f>SUBTOTAL(9,CC5:CC281)</f>
        <v>1710</v>
      </c>
      <c r="CD282" s="219">
        <f>SUBTOTAL(9,CD5:CD281)</f>
        <v>1265.1799999999998</v>
      </c>
      <c r="CF282" s="219">
        <f>SUBTOTAL(9,CF5:CF281)</f>
        <v>744</v>
      </c>
      <c r="CG282" s="219">
        <f>SUBTOTAL(9,CG5:CG281)</f>
        <v>449.18000000000006</v>
      </c>
      <c r="CI282" s="219">
        <f>SUBTOTAL(9,CI5:CI281)</f>
        <v>0</v>
      </c>
      <c r="CJ282" s="219">
        <f>SUBTOTAL(9,CJ5:CJ281)</f>
        <v>0</v>
      </c>
      <c r="CL282" s="219">
        <f>SUBTOTAL(9,CL5:CL281)</f>
        <v>2454</v>
      </c>
      <c r="CM282" s="219">
        <f>SUBTOTAL(9,CM5:CM281)</f>
        <v>1714.36</v>
      </c>
      <c r="CP282" s="219">
        <f>SUBTOTAL(9,CP5:CP281)</f>
        <v>6409</v>
      </c>
      <c r="CQ282" s="219">
        <f>SUBTOTAL(9,CQ5:CQ281)</f>
        <v>4200.96</v>
      </c>
      <c r="CS282" s="219">
        <f>SUBTOTAL(9,CS5:CS281)</f>
        <v>105901.04000000001</v>
      </c>
      <c r="CU282" s="219">
        <f>SUBTOTAL(9,CU5:CU281)</f>
        <v>31770.312000000031</v>
      </c>
      <c r="CV282" s="219">
        <f>SUBTOTAL(9,CV5:CV281)</f>
        <v>0</v>
      </c>
      <c r="CX282" s="219">
        <f>SUBTOTAL(9,CX5:CX281)</f>
        <v>31770.312000000031</v>
      </c>
      <c r="CY282" s="219">
        <f>SUBTOTAL(9,CY5:CY281)</f>
        <v>0</v>
      </c>
      <c r="DA282" s="219">
        <f>SUBTOTAL(9,DA5:DA281)</f>
        <v>31770.312000000031</v>
      </c>
      <c r="DB282" s="219">
        <f>SUBTOTAL(9,DB5:DB281)</f>
        <v>0</v>
      </c>
      <c r="DD282" s="219">
        <f>SUBTOTAL(9,DD5:DD281)</f>
        <v>10590.103999999999</v>
      </c>
      <c r="DE282" s="219">
        <f>SUBTOTAL(9,DE5:DE281)</f>
        <v>0</v>
      </c>
      <c r="DH282" s="219">
        <f>SUBTOTAL(9,DH5:DH281)</f>
        <v>110102</v>
      </c>
      <c r="DI282" s="219">
        <f>SUBTOTAL(9,DI5:DI281)</f>
        <v>4200.96</v>
      </c>
      <c r="DK282" s="219">
        <f>SUBTOTAL(9,DK5:DK281)</f>
        <v>105901.04000000001</v>
      </c>
    </row>
  </sheetData>
  <autoFilter ref="A4:AY281" xr:uid="{00000000-0001-0000-0200-000000000000}"/>
  <mergeCells count="30">
    <mergeCell ref="CX2:CZ2"/>
    <mergeCell ref="DA2:DC2"/>
    <mergeCell ref="DD2:DF2"/>
    <mergeCell ref="CU1:DF1"/>
    <mergeCell ref="DH1:DK3"/>
    <mergeCell ref="BS3:BU3"/>
    <mergeCell ref="BV3:BX3"/>
    <mergeCell ref="CC3:CE3"/>
    <mergeCell ref="CF3:CH3"/>
    <mergeCell ref="BA3:BC3"/>
    <mergeCell ref="BD3:BF3"/>
    <mergeCell ref="BG3:BI3"/>
    <mergeCell ref="BJ3:BL3"/>
    <mergeCell ref="BM3:BO3"/>
    <mergeCell ref="CP2:CS3"/>
    <mergeCell ref="CU2:CW2"/>
    <mergeCell ref="S1:AT1"/>
    <mergeCell ref="A2:AT2"/>
    <mergeCell ref="T3:AH3"/>
    <mergeCell ref="AI3:AJ3"/>
    <mergeCell ref="AK3:AQ3"/>
    <mergeCell ref="BA1:CA1"/>
    <mergeCell ref="CI3:CK3"/>
    <mergeCell ref="CL3:CN3"/>
    <mergeCell ref="CC1:CN1"/>
    <mergeCell ref="BA2:BL2"/>
    <mergeCell ref="BM2:BX2"/>
    <mergeCell ref="BY2:CA3"/>
    <mergeCell ref="CC2:CN2"/>
    <mergeCell ref="BP3:BR3"/>
  </mergeCells>
  <conditionalFormatting sqref="AB5:AB281 AE5:AE281 V5:V281 Y5:Y281 AH5:AH281">
    <cfRule type="cellIs" dxfId="7" priority="1" operator="greaterThan">
      <formula>100</formula>
    </cfRule>
  </conditionalFormatting>
  <conditionalFormatting sqref="AB5:AB281 AE5:AE281 V5:V281 Y5:Y281 AH5:AH281">
    <cfRule type="cellIs" dxfId="6" priority="2" operator="greaterThan">
      <formula>79.9</formula>
    </cfRule>
  </conditionalFormatting>
  <conditionalFormatting sqref="AB5:AB281 AE5:AE281 V5:V281 Y5:Y281 AH5:AH281">
    <cfRule type="cellIs" dxfId="5" priority="3" operator="greaterThan">
      <formula>59.9</formula>
    </cfRule>
  </conditionalFormatting>
  <conditionalFormatting sqref="AB5:AB281 AE5:AE281 V5:V281 Y5:Y281 AH5:AH281">
    <cfRule type="cellIs" dxfId="4" priority="4" operator="greaterThan">
      <formula>0</formula>
    </cfRule>
  </conditionalFormatting>
  <conditionalFormatting sqref="AB5:AB281 AE5:AE281 V5:V281 Y5:Y281 AH5:AH281">
    <cfRule type="cellIs" dxfId="3" priority="5" operator="equal">
      <formula>0</formula>
    </cfRule>
  </conditionalFormatting>
  <dataValidations count="11">
    <dataValidation type="decimal" operator="greaterThanOrEqual" allowBlank="1" showErrorMessage="1" sqref="U135 T5:U134 AC5:AD281 AN5:AQ281 Z5:AA281 W5:X281 T136:U281 R5:R282 AF5:AG282 BA5:BA282 BP5:BP282 DK282 BG5:BG282 BM5:BM282 CA5:CA282 BS5:BS282 CC5:CC282 CI5:CI282 BB282 BE282 BH282 BN282 BQ282 BT282 BV282:BW282 BJ282:BK282 CD282 CG282 CJ282 CL282:CM282 CP282:CQ282 CS282 DH282:DI282 BD5:BD282 BT5:BT165 BT168:BT215 BT217:BT226 BT275:BT278 CF5:CF282 CU282:CV282 CX282:CY282 DA282:DB282 DD282:DE282" xr:uid="{00000000-0002-0000-0200-000000000000}">
      <formula1>0</formula1>
    </dataValidation>
    <dataValidation type="custom" allowBlank="1" showErrorMessage="1" sqref="S5:S134 T135 S136:S281" xr:uid="{00000000-0002-0000-0200-000001000000}">
      <formula1>AND(GTE(LEN(S5),MIN((1),(500))),LTE(LEN(S5),MAX((1),(500))))</formula1>
    </dataValidation>
    <dataValidation type="decimal" operator="greaterThanOrEqual" allowBlank="1" showErrorMessage="1" sqref="I1" xr:uid="{00000000-0002-0000-0200-000003000000}">
      <formula1>1</formula1>
    </dataValidation>
    <dataValidation type="custom" allowBlank="1" showErrorMessage="1" sqref="G1" xr:uid="{00000000-0002-0000-0200-000007000000}">
      <formula1>GT(LEN(G1),(1))</formula1>
    </dataValidation>
    <dataValidation type="decimal" operator="greaterThanOrEqual" allowBlank="1" showErrorMessage="1" sqref="E1 J1" xr:uid="{00000000-0002-0000-0200-000008000000}">
      <formula1>2024</formula1>
    </dataValidation>
    <dataValidation type="custom" allowBlank="1" showErrorMessage="1" sqref="K279:N280 J5:N278 J281:N281 H5:H281 F5:F281 B5:B281 Q5:Q281" xr:uid="{00000000-0002-0000-0200-000009000000}">
      <formula1>AND(GTE(LEN(B5),MIN((10),(4000))),LTE(LEN(B5),MAX((10),(4000))))</formula1>
    </dataValidation>
    <dataValidation type="custom" allowBlank="1" showErrorMessage="1" sqref="AS5:AS281" xr:uid="{00000000-0002-0000-0200-000002000000}">
      <formula1>AND(GTE(LEN(AS5),MIN((9),(4000))),LTE(LEN(AS5),MAX((9),(4000))))</formula1>
    </dataValidation>
    <dataValidation type="custom" allowBlank="1" showErrorMessage="1" sqref="AT5:AU281" xr:uid="{00000000-0002-0000-0200-000004000000}">
      <formula1>AND(GTE(LEN(AT5),MIN((10),(1000))),LTE(LEN(AT5),MAX((10),(1000))))</formula1>
    </dataValidation>
    <dataValidation type="date" operator="greaterThan" allowBlank="1" showErrorMessage="1" sqref="AI5:AJ281" xr:uid="{00000000-0002-0000-0200-000005000000}">
      <formula1>46022</formula1>
    </dataValidation>
    <dataValidation type="custom" allowBlank="1" showErrorMessage="1" sqref="AK5:AK281" xr:uid="{00000000-0002-0000-0200-000006000000}">
      <formula1>AND(GTE(LEN(AK5),MIN((2),(500))),LTE(LEN(AK5),MAX((2),(500))))</formula1>
    </dataValidation>
    <dataValidation type="decimal" operator="greaterThan" allowBlank="1" showErrorMessage="1" sqref="A5:A281 DM254:DM259 DL5:DL23 DL178" xr:uid="{00000000-0002-0000-0200-00000A000000}">
      <formula1>0</formula1>
    </dataValidation>
  </dataValidations>
  <pageMargins left="0.70866141732283472" right="0.70866141732283472" top="0.74803149606299213" bottom="0.74803149606299213" header="0" footer="0"/>
  <pageSetup paperSize="9" scale="30" orientation="landscape"/>
  <drawing r:id="rId1"/>
  <legacyDrawing r:id="rId2"/>
  <extLst>
    <ext xmlns:x14="http://schemas.microsoft.com/office/spreadsheetml/2009/9/main" uri="{CCE6A557-97BC-4b89-ADB6-D9C93CAAB3DF}">
      <x14:dataValidations xmlns:xm="http://schemas.microsoft.com/office/excel/2006/main" count="9">
        <x14:dataValidation type="list" allowBlank="1" showErrorMessage="1" xr:uid="{00000000-0002-0000-0200-000012000000}">
          <x14:formula1>
            <xm:f>Data!$B$561:$B$659</xm:f>
          </x14:formula1>
          <xm:sqref>I5:I278 I279:J280 I281</xm:sqref>
        </x14:dataValidation>
        <x14:dataValidation type="list" allowBlank="1" showErrorMessage="1" xr:uid="{00000000-0002-0000-0200-00000B000000}">
          <x14:formula1>
            <xm:f>Data!$B$294:$B$296</xm:f>
          </x14:formula1>
          <xm:sqref>O5:O281</xm:sqref>
        </x14:dataValidation>
        <x14:dataValidation type="list" allowBlank="1" showErrorMessage="1" xr:uid="{00000000-0002-0000-0200-00000C000000}">
          <x14:formula1>
            <xm:f>Data!$B$216:$B$217</xm:f>
          </x14:formula1>
          <xm:sqref>G11:G281</xm:sqref>
        </x14:dataValidation>
        <x14:dataValidation type="list" allowBlank="1" showErrorMessage="1" xr:uid="{00000000-0002-0000-0200-00000D000000}">
          <x14:formula1>
            <xm:f>Data!$A$692:$A$694</xm:f>
          </x14:formula1>
          <xm:sqref>P5:P281</xm:sqref>
        </x14:dataValidation>
        <x14:dataValidation type="list" allowBlank="1" showErrorMessage="1" xr:uid="{00000000-0002-0000-0200-00000E000000}">
          <x14:formula1>
            <xm:f>Data!$B$538:$B$557</xm:f>
          </x14:formula1>
          <xm:sqref>AR5:AR281</xm:sqref>
        </x14:dataValidation>
        <x14:dataValidation type="list" allowBlank="1" showErrorMessage="1" xr:uid="{00000000-0002-0000-0200-00000F000000}">
          <x14:formula1>
            <xm:f>Data!$B$65</xm:f>
          </x14:formula1>
          <xm:sqref>D11:D281</xm:sqref>
        </x14:dataValidation>
        <x14:dataValidation type="list" allowBlank="1" showErrorMessage="1" xr:uid="{00000000-0002-0000-0200-000010000000}">
          <x14:formula1>
            <xm:f>Data!$B$30:$B$33</xm:f>
          </x14:formula1>
          <xm:sqref>E11:E281</xm:sqref>
        </x14:dataValidation>
        <x14:dataValidation type="list" allowBlank="1" showErrorMessage="1" xr:uid="{00000000-0002-0000-0200-000011000000}">
          <x14:formula1>
            <xm:f>Data!$B$2:$B$8</xm:f>
          </x14:formula1>
          <xm:sqref>C5:C281</xm:sqref>
        </x14:dataValidation>
        <x14:dataValidation type="list" allowBlank="1" showErrorMessage="1" xr:uid="{00000000-0002-0000-0200-000013000000}">
          <x14:formula1>
            <xm:f>Data!$B$304:$B$534</xm:f>
          </x14:formula1>
          <xm:sqref>AL5:AL281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84A6E-50E6-448F-AD43-CB0366488788}">
  <sheetPr>
    <tabColor rgb="FFFFFF00"/>
  </sheetPr>
  <dimension ref="A1:H1"/>
  <sheetViews>
    <sheetView workbookViewId="0">
      <selection activeCell="A2" sqref="A2"/>
    </sheetView>
  </sheetViews>
  <sheetFormatPr baseColWidth="10" defaultRowHeight="14.4" x14ac:dyDescent="0.3"/>
  <cols>
    <col min="1" max="1" width="16.5546875" bestFit="1" customWidth="1"/>
  </cols>
  <sheetData>
    <row r="1" spans="1:8" x14ac:dyDescent="0.3">
      <c r="A1" t="s">
        <v>2385</v>
      </c>
      <c r="B1" t="s">
        <v>2386</v>
      </c>
      <c r="C1" t="s">
        <v>2387</v>
      </c>
      <c r="D1" t="s">
        <v>2388</v>
      </c>
      <c r="E1" t="s">
        <v>2389</v>
      </c>
      <c r="F1" t="s">
        <v>2390</v>
      </c>
      <c r="G1" t="s">
        <v>2391</v>
      </c>
      <c r="H1" t="s">
        <v>2314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46B075-7F0C-48F1-A329-40430E8788AC}">
  <sheetPr>
    <tabColor rgb="FFFFFF00"/>
  </sheetPr>
  <dimension ref="A1:H55"/>
  <sheetViews>
    <sheetView tabSelected="1" zoomScale="145" zoomScaleNormal="145" workbookViewId="0">
      <pane ySplit="1" topLeftCell="A2" activePane="bottomLeft" state="frozen"/>
      <selection pane="bottomLeft" activeCell="C28" sqref="C28:C34"/>
    </sheetView>
  </sheetViews>
  <sheetFormatPr baseColWidth="10" defaultRowHeight="14.4" x14ac:dyDescent="0.3"/>
  <cols>
    <col min="1" max="1" width="4" style="169" bestFit="1" customWidth="1"/>
    <col min="2" max="2" width="26.44140625" style="169" bestFit="1" customWidth="1"/>
    <col min="3" max="3" width="33.5546875" style="169" bestFit="1" customWidth="1"/>
    <col min="4" max="4" width="9.77734375" style="169" bestFit="1" customWidth="1"/>
    <col min="5" max="5" width="26.21875" style="169" bestFit="1" customWidth="1"/>
    <col min="6" max="6" width="11.33203125" style="169" customWidth="1"/>
    <col min="7" max="7" width="12.44140625" style="185" customWidth="1"/>
  </cols>
  <sheetData>
    <row r="1" spans="1:8" ht="20.399999999999999" x14ac:dyDescent="0.3">
      <c r="A1" s="170" t="s">
        <v>2263</v>
      </c>
      <c r="B1" s="170" t="s">
        <v>2287</v>
      </c>
      <c r="C1" s="170" t="s">
        <v>1149</v>
      </c>
      <c r="D1" s="170" t="s">
        <v>2295</v>
      </c>
      <c r="E1" s="170" t="s">
        <v>2272</v>
      </c>
      <c r="F1" s="170" t="s">
        <v>2273</v>
      </c>
      <c r="G1" s="181" t="s">
        <v>2306</v>
      </c>
    </row>
    <row r="2" spans="1:8" x14ac:dyDescent="0.3">
      <c r="A2" s="172">
        <v>2</v>
      </c>
      <c r="B2" s="172" t="s">
        <v>2288</v>
      </c>
      <c r="C2" s="172" t="s">
        <v>2292</v>
      </c>
      <c r="D2" s="172"/>
      <c r="E2" s="172" t="s">
        <v>2289</v>
      </c>
      <c r="F2" s="172" t="s">
        <v>2293</v>
      </c>
      <c r="G2" s="182" t="s">
        <v>676</v>
      </c>
    </row>
    <row r="3" spans="1:8" s="129" customFormat="1" x14ac:dyDescent="0.3">
      <c r="A3" s="173" t="s">
        <v>2398</v>
      </c>
      <c r="B3" s="173" t="s">
        <v>2288</v>
      </c>
      <c r="C3" s="173" t="s">
        <v>2237</v>
      </c>
      <c r="D3" s="173"/>
      <c r="E3" s="173" t="s">
        <v>2290</v>
      </c>
      <c r="F3" s="173" t="s">
        <v>2293</v>
      </c>
      <c r="G3" s="183" t="s">
        <v>676</v>
      </c>
      <c r="H3"/>
    </row>
    <row r="4" spans="1:8" x14ac:dyDescent="0.3">
      <c r="A4" s="168" t="s">
        <v>2395</v>
      </c>
      <c r="B4" s="168" t="s">
        <v>2288</v>
      </c>
      <c r="C4" s="168" t="s">
        <v>2237</v>
      </c>
      <c r="D4" s="168"/>
      <c r="E4" s="168" t="s">
        <v>2291</v>
      </c>
      <c r="F4" s="168" t="s">
        <v>2293</v>
      </c>
      <c r="G4" s="184" t="s">
        <v>676</v>
      </c>
    </row>
    <row r="5" spans="1:8" x14ac:dyDescent="0.3">
      <c r="A5" s="168" t="s">
        <v>2395</v>
      </c>
      <c r="B5" s="168" t="s">
        <v>2288</v>
      </c>
      <c r="C5" s="168" t="s">
        <v>2237</v>
      </c>
      <c r="D5" s="168"/>
      <c r="E5" s="168" t="s">
        <v>2364</v>
      </c>
      <c r="F5" s="168" t="s">
        <v>2294</v>
      </c>
      <c r="G5" s="184">
        <v>46356</v>
      </c>
    </row>
    <row r="6" spans="1:8" x14ac:dyDescent="0.3">
      <c r="A6" s="168">
        <v>1</v>
      </c>
      <c r="B6" s="168" t="s">
        <v>2288</v>
      </c>
      <c r="C6" s="168" t="s">
        <v>2237</v>
      </c>
      <c r="D6" s="168"/>
      <c r="E6" s="168" t="s">
        <v>2274</v>
      </c>
      <c r="F6" s="168" t="s">
        <v>2294</v>
      </c>
      <c r="G6" s="184">
        <v>46369</v>
      </c>
    </row>
    <row r="7" spans="1:8" x14ac:dyDescent="0.3">
      <c r="A7" s="168">
        <v>1</v>
      </c>
      <c r="B7" s="168" t="s">
        <v>2288</v>
      </c>
      <c r="C7" s="168" t="s">
        <v>2237</v>
      </c>
      <c r="D7" s="168"/>
      <c r="E7" s="168" t="s">
        <v>2365</v>
      </c>
      <c r="F7" s="168" t="s">
        <v>2294</v>
      </c>
      <c r="G7" s="184">
        <v>46369</v>
      </c>
    </row>
    <row r="8" spans="1:8" x14ac:dyDescent="0.3">
      <c r="A8" s="168">
        <v>1</v>
      </c>
      <c r="B8" s="168" t="s">
        <v>2288</v>
      </c>
      <c r="C8" s="168" t="s">
        <v>2237</v>
      </c>
      <c r="D8" s="168"/>
      <c r="E8" s="168" t="s">
        <v>2275</v>
      </c>
      <c r="F8" s="168" t="s">
        <v>2294</v>
      </c>
      <c r="G8" s="184">
        <v>46357</v>
      </c>
    </row>
    <row r="9" spans="1:8" s="129" customFormat="1" x14ac:dyDescent="0.3">
      <c r="A9" s="173">
        <v>1</v>
      </c>
      <c r="B9" s="173" t="s">
        <v>2288</v>
      </c>
      <c r="C9" s="173" t="s">
        <v>2296</v>
      </c>
      <c r="D9" s="173"/>
      <c r="E9" s="173" t="s">
        <v>800</v>
      </c>
      <c r="F9" s="173" t="s">
        <v>2293</v>
      </c>
      <c r="G9" s="183" t="s">
        <v>676</v>
      </c>
      <c r="H9"/>
    </row>
    <row r="10" spans="1:8" x14ac:dyDescent="0.3">
      <c r="A10" s="168">
        <v>1</v>
      </c>
      <c r="B10" s="168" t="s">
        <v>2288</v>
      </c>
      <c r="C10" s="168" t="s">
        <v>2296</v>
      </c>
      <c r="D10" s="168"/>
      <c r="E10" s="168" t="s">
        <v>2276</v>
      </c>
      <c r="F10" s="168" t="s">
        <v>2294</v>
      </c>
      <c r="G10" s="184">
        <v>46377</v>
      </c>
    </row>
    <row r="11" spans="1:8" x14ac:dyDescent="0.3">
      <c r="A11" s="168">
        <v>1</v>
      </c>
      <c r="B11" s="168" t="s">
        <v>2288</v>
      </c>
      <c r="C11" s="168" t="s">
        <v>2296</v>
      </c>
      <c r="D11" s="168"/>
      <c r="E11" s="168" t="s">
        <v>2366</v>
      </c>
      <c r="F11" s="168" t="s">
        <v>2294</v>
      </c>
      <c r="G11" s="184">
        <v>46344</v>
      </c>
    </row>
    <row r="12" spans="1:8" x14ac:dyDescent="0.3">
      <c r="A12" s="168">
        <v>1</v>
      </c>
      <c r="B12" s="168" t="s">
        <v>2288</v>
      </c>
      <c r="C12" s="168" t="s">
        <v>2296</v>
      </c>
      <c r="D12" s="168"/>
      <c r="E12" s="168" t="s">
        <v>2367</v>
      </c>
      <c r="F12" s="168" t="s">
        <v>2294</v>
      </c>
      <c r="G12" s="184">
        <v>46375</v>
      </c>
    </row>
    <row r="13" spans="1:8" s="129" customFormat="1" x14ac:dyDescent="0.3">
      <c r="A13" s="173">
        <v>1</v>
      </c>
      <c r="B13" s="173" t="s">
        <v>2288</v>
      </c>
      <c r="C13" s="173" t="s">
        <v>2393</v>
      </c>
      <c r="D13" s="173"/>
      <c r="E13" s="173" t="s">
        <v>2277</v>
      </c>
      <c r="F13" s="173" t="s">
        <v>2293</v>
      </c>
      <c r="G13" s="183" t="s">
        <v>676</v>
      </c>
      <c r="H13"/>
    </row>
    <row r="14" spans="1:8" x14ac:dyDescent="0.3">
      <c r="A14" s="168">
        <v>1</v>
      </c>
      <c r="B14" s="168" t="s">
        <v>2288</v>
      </c>
      <c r="C14" s="168" t="s">
        <v>2393</v>
      </c>
      <c r="D14" s="168"/>
      <c r="E14" s="168" t="s">
        <v>2278</v>
      </c>
      <c r="F14" s="168" t="s">
        <v>2293</v>
      </c>
      <c r="G14" s="184" t="s">
        <v>676</v>
      </c>
    </row>
    <row r="15" spans="1:8" x14ac:dyDescent="0.3">
      <c r="A15" s="168">
        <v>1</v>
      </c>
      <c r="B15" s="168" t="s">
        <v>2288</v>
      </c>
      <c r="C15" s="168" t="s">
        <v>2393</v>
      </c>
      <c r="D15" s="168"/>
      <c r="E15" s="168" t="s">
        <v>2368</v>
      </c>
      <c r="F15" s="168" t="s">
        <v>2294</v>
      </c>
      <c r="G15" s="184">
        <v>42725</v>
      </c>
    </row>
    <row r="16" spans="1:8" x14ac:dyDescent="0.3">
      <c r="A16" s="168">
        <v>1</v>
      </c>
      <c r="B16" s="168" t="s">
        <v>2288</v>
      </c>
      <c r="C16" s="168" t="s">
        <v>2393</v>
      </c>
      <c r="D16" s="168"/>
      <c r="E16" s="168" t="s">
        <v>2369</v>
      </c>
      <c r="F16" s="168" t="s">
        <v>2294</v>
      </c>
      <c r="G16" s="184">
        <v>46381</v>
      </c>
    </row>
    <row r="17" spans="1:8" x14ac:dyDescent="0.3">
      <c r="A17" s="168">
        <v>1</v>
      </c>
      <c r="B17" s="168" t="s">
        <v>2288</v>
      </c>
      <c r="C17" s="168" t="s">
        <v>2393</v>
      </c>
      <c r="D17" s="168"/>
      <c r="E17" s="168" t="s">
        <v>2279</v>
      </c>
      <c r="F17" s="168" t="s">
        <v>2294</v>
      </c>
      <c r="G17" s="184">
        <v>46376</v>
      </c>
    </row>
    <row r="18" spans="1:8" x14ac:dyDescent="0.3">
      <c r="A18" s="168">
        <v>1</v>
      </c>
      <c r="B18" s="168" t="s">
        <v>2288</v>
      </c>
      <c r="C18" s="168" t="s">
        <v>2393</v>
      </c>
      <c r="D18" s="168"/>
      <c r="E18" s="168" t="s">
        <v>2370</v>
      </c>
      <c r="F18" s="168" t="s">
        <v>2294</v>
      </c>
      <c r="G18" s="184">
        <v>46369</v>
      </c>
    </row>
    <row r="19" spans="1:8" x14ac:dyDescent="0.3">
      <c r="A19" s="168">
        <v>1</v>
      </c>
      <c r="B19" s="168" t="s">
        <v>2288</v>
      </c>
      <c r="C19" s="168" t="s">
        <v>2393</v>
      </c>
      <c r="D19" s="168"/>
      <c r="E19" s="168" t="s">
        <v>2280</v>
      </c>
      <c r="F19" s="168" t="s">
        <v>2294</v>
      </c>
      <c r="G19" s="184">
        <v>46372</v>
      </c>
    </row>
    <row r="20" spans="1:8" s="129" customFormat="1" x14ac:dyDescent="0.3">
      <c r="A20" s="173">
        <v>1</v>
      </c>
      <c r="B20" s="173" t="s">
        <v>2288</v>
      </c>
      <c r="C20" s="173" t="s">
        <v>2297</v>
      </c>
      <c r="D20" s="173"/>
      <c r="E20" s="173" t="s">
        <v>2282</v>
      </c>
      <c r="F20" s="173" t="s">
        <v>2293</v>
      </c>
      <c r="G20" s="183" t="s">
        <v>676</v>
      </c>
      <c r="H20"/>
    </row>
    <row r="21" spans="1:8" x14ac:dyDescent="0.3">
      <c r="A21" s="168">
        <v>1</v>
      </c>
      <c r="B21" s="168" t="s">
        <v>2288</v>
      </c>
      <c r="C21" s="168" t="s">
        <v>2297</v>
      </c>
      <c r="D21" s="168"/>
      <c r="E21" s="168" t="s">
        <v>2281</v>
      </c>
      <c r="F21" s="168" t="s">
        <v>2294</v>
      </c>
      <c r="G21" s="184">
        <v>46375</v>
      </c>
    </row>
    <row r="22" spans="1:8" x14ac:dyDescent="0.3">
      <c r="A22" s="168">
        <v>1</v>
      </c>
      <c r="B22" s="168" t="s">
        <v>2288</v>
      </c>
      <c r="C22" s="168" t="s">
        <v>2297</v>
      </c>
      <c r="D22" s="168"/>
      <c r="E22" s="168" t="s">
        <v>2371</v>
      </c>
      <c r="F22" s="168" t="s">
        <v>2294</v>
      </c>
      <c r="G22" s="184">
        <v>46369</v>
      </c>
    </row>
    <row r="23" spans="1:8" x14ac:dyDescent="0.3">
      <c r="A23" s="168">
        <v>1</v>
      </c>
      <c r="B23" s="168" t="s">
        <v>2288</v>
      </c>
      <c r="C23" s="168" t="s">
        <v>2297</v>
      </c>
      <c r="D23" s="168"/>
      <c r="E23" s="168" t="s">
        <v>2372</v>
      </c>
      <c r="F23" s="168" t="s">
        <v>2294</v>
      </c>
      <c r="G23" s="184">
        <v>46385</v>
      </c>
    </row>
    <row r="24" spans="1:8" x14ac:dyDescent="0.3">
      <c r="A24" s="168">
        <v>1</v>
      </c>
      <c r="B24" s="168" t="s">
        <v>2288</v>
      </c>
      <c r="C24" s="168" t="s">
        <v>2297</v>
      </c>
      <c r="D24" s="168"/>
      <c r="E24" s="168" t="s">
        <v>2373</v>
      </c>
      <c r="F24" s="168" t="s">
        <v>2294</v>
      </c>
      <c r="G24" s="184">
        <v>46387</v>
      </c>
    </row>
    <row r="25" spans="1:8" x14ac:dyDescent="0.3">
      <c r="A25" s="168">
        <v>1</v>
      </c>
      <c r="B25" s="168" t="s">
        <v>2288</v>
      </c>
      <c r="C25" s="168" t="s">
        <v>2297</v>
      </c>
      <c r="D25" s="168"/>
      <c r="E25" s="168" t="s">
        <v>2374</v>
      </c>
      <c r="F25" s="168" t="s">
        <v>2294</v>
      </c>
      <c r="G25" s="184">
        <v>46350</v>
      </c>
    </row>
    <row r="26" spans="1:8" x14ac:dyDescent="0.3">
      <c r="A26" s="168">
        <v>1</v>
      </c>
      <c r="B26" s="168" t="s">
        <v>2288</v>
      </c>
      <c r="C26" s="168" t="s">
        <v>2297</v>
      </c>
      <c r="D26" s="168"/>
      <c r="E26" s="168" t="s">
        <v>2375</v>
      </c>
      <c r="F26" s="168" t="s">
        <v>2294</v>
      </c>
      <c r="G26" s="184">
        <v>46381</v>
      </c>
    </row>
    <row r="27" spans="1:8" s="129" customFormat="1" x14ac:dyDescent="0.3">
      <c r="A27" s="173">
        <v>1</v>
      </c>
      <c r="B27" s="173" t="s">
        <v>2288</v>
      </c>
      <c r="C27" s="173" t="s">
        <v>2394</v>
      </c>
      <c r="D27" s="173"/>
      <c r="E27" s="173" t="s">
        <v>2285</v>
      </c>
      <c r="F27" s="173" t="s">
        <v>2293</v>
      </c>
      <c r="G27" s="183" t="s">
        <v>676</v>
      </c>
      <c r="H27"/>
    </row>
    <row r="28" spans="1:8" x14ac:dyDescent="0.3">
      <c r="A28" s="168">
        <v>1</v>
      </c>
      <c r="B28" s="168" t="s">
        <v>2288</v>
      </c>
      <c r="C28" s="168" t="s">
        <v>2394</v>
      </c>
      <c r="D28" s="168"/>
      <c r="E28" s="168" t="s">
        <v>2376</v>
      </c>
      <c r="F28" s="168" t="s">
        <v>2294</v>
      </c>
      <c r="G28" s="184">
        <v>46337</v>
      </c>
    </row>
    <row r="29" spans="1:8" x14ac:dyDescent="0.3">
      <c r="A29" s="168">
        <v>1</v>
      </c>
      <c r="B29" s="168" t="s">
        <v>2288</v>
      </c>
      <c r="C29" s="168" t="s">
        <v>2394</v>
      </c>
      <c r="D29" s="168"/>
      <c r="E29" s="168" t="s">
        <v>2377</v>
      </c>
      <c r="F29" s="168" t="s">
        <v>2294</v>
      </c>
      <c r="G29" s="184">
        <v>46339</v>
      </c>
    </row>
    <row r="30" spans="1:8" x14ac:dyDescent="0.3">
      <c r="A30" s="168">
        <v>1</v>
      </c>
      <c r="B30" s="168" t="s">
        <v>2288</v>
      </c>
      <c r="C30" s="168" t="s">
        <v>2394</v>
      </c>
      <c r="D30" s="168"/>
      <c r="E30" s="168" t="s">
        <v>2378</v>
      </c>
      <c r="F30" s="168" t="s">
        <v>2294</v>
      </c>
      <c r="G30" s="184">
        <v>46344</v>
      </c>
    </row>
    <row r="31" spans="1:8" x14ac:dyDescent="0.3">
      <c r="A31" s="168">
        <v>1</v>
      </c>
      <c r="B31" s="168" t="s">
        <v>2288</v>
      </c>
      <c r="C31" s="168" t="s">
        <v>2394</v>
      </c>
      <c r="D31" s="168"/>
      <c r="E31" s="168" t="s">
        <v>2379</v>
      </c>
      <c r="F31" s="168" t="s">
        <v>2294</v>
      </c>
      <c r="G31" s="184">
        <v>46378</v>
      </c>
    </row>
    <row r="32" spans="1:8" x14ac:dyDescent="0.3">
      <c r="A32" s="168">
        <v>1</v>
      </c>
      <c r="B32" s="168" t="s">
        <v>2288</v>
      </c>
      <c r="C32" s="168" t="s">
        <v>2394</v>
      </c>
      <c r="D32" s="168"/>
      <c r="E32" s="168" t="s">
        <v>2283</v>
      </c>
      <c r="F32" s="168" t="s">
        <v>2294</v>
      </c>
      <c r="G32" s="184">
        <v>46376</v>
      </c>
    </row>
    <row r="33" spans="1:7" x14ac:dyDescent="0.3">
      <c r="A33" s="168">
        <v>1</v>
      </c>
      <c r="B33" s="168" t="s">
        <v>2288</v>
      </c>
      <c r="C33" s="168" t="s">
        <v>2394</v>
      </c>
      <c r="D33" s="168"/>
      <c r="E33" s="168" t="s">
        <v>2380</v>
      </c>
      <c r="F33" s="168" t="s">
        <v>2294</v>
      </c>
      <c r="G33" s="184">
        <v>46383</v>
      </c>
    </row>
    <row r="34" spans="1:7" x14ac:dyDescent="0.3">
      <c r="A34" s="168">
        <v>1</v>
      </c>
      <c r="B34" s="168" t="s">
        <v>2288</v>
      </c>
      <c r="C34" s="168" t="s">
        <v>2394</v>
      </c>
      <c r="D34" s="168"/>
      <c r="E34" s="168" t="s">
        <v>2284</v>
      </c>
      <c r="F34" s="168" t="s">
        <v>2294</v>
      </c>
      <c r="G34" s="184">
        <v>46342</v>
      </c>
    </row>
    <row r="35" spans="1:7" x14ac:dyDescent="0.3">
      <c r="A35" s="268">
        <v>1</v>
      </c>
      <c r="B35" s="268" t="s">
        <v>2234</v>
      </c>
      <c r="C35" s="268" t="s">
        <v>2292</v>
      </c>
      <c r="D35" s="268"/>
      <c r="E35" s="268" t="s">
        <v>2392</v>
      </c>
      <c r="F35" s="268" t="s">
        <v>2293</v>
      </c>
      <c r="G35" s="269"/>
    </row>
    <row r="36" spans="1:7" x14ac:dyDescent="0.3">
      <c r="A36" s="168" t="s">
        <v>2395</v>
      </c>
      <c r="B36" s="168" t="s">
        <v>2234</v>
      </c>
      <c r="C36" s="168" t="s">
        <v>2252</v>
      </c>
      <c r="D36" s="168"/>
      <c r="E36" s="168" t="s">
        <v>2330</v>
      </c>
      <c r="F36" s="168" t="s">
        <v>2294</v>
      </c>
      <c r="G36" s="184"/>
    </row>
    <row r="37" spans="1:7" x14ac:dyDescent="0.3">
      <c r="A37" s="168" t="s">
        <v>2396</v>
      </c>
      <c r="B37" s="168" t="s">
        <v>2234</v>
      </c>
      <c r="C37" s="168" t="s">
        <v>2331</v>
      </c>
      <c r="D37" s="168"/>
      <c r="E37" s="168" t="s">
        <v>2332</v>
      </c>
      <c r="F37" s="168" t="s">
        <v>2294</v>
      </c>
      <c r="G37" s="184"/>
    </row>
    <row r="38" spans="1:7" x14ac:dyDescent="0.3">
      <c r="A38" s="168" t="s">
        <v>2397</v>
      </c>
      <c r="B38" s="168" t="s">
        <v>2234</v>
      </c>
      <c r="C38" s="168" t="s">
        <v>2265</v>
      </c>
      <c r="D38" s="168"/>
      <c r="E38" s="168" t="s">
        <v>2333</v>
      </c>
      <c r="F38" s="168" t="s">
        <v>2294</v>
      </c>
      <c r="G38" s="184"/>
    </row>
    <row r="39" spans="1:7" x14ac:dyDescent="0.3">
      <c r="A39" s="168">
        <v>2</v>
      </c>
      <c r="B39" s="168" t="s">
        <v>2234</v>
      </c>
      <c r="C39" s="168" t="s">
        <v>2243</v>
      </c>
      <c r="D39" s="168"/>
      <c r="E39" s="168" t="s">
        <v>2334</v>
      </c>
      <c r="F39" s="168" t="s">
        <v>2293</v>
      </c>
      <c r="G39" s="184"/>
    </row>
    <row r="40" spans="1:7" x14ac:dyDescent="0.3">
      <c r="A40" s="168">
        <v>2</v>
      </c>
      <c r="B40" s="168" t="s">
        <v>2234</v>
      </c>
      <c r="C40" s="168" t="s">
        <v>2258</v>
      </c>
      <c r="D40" s="168"/>
      <c r="E40" s="168" t="s">
        <v>2335</v>
      </c>
      <c r="F40" s="168" t="s">
        <v>2293</v>
      </c>
      <c r="G40" s="184"/>
    </row>
    <row r="41" spans="1:7" x14ac:dyDescent="0.3">
      <c r="A41" s="168">
        <v>2</v>
      </c>
      <c r="B41" s="168" t="s">
        <v>2234</v>
      </c>
      <c r="C41" s="168" t="s">
        <v>2255</v>
      </c>
      <c r="D41" s="168"/>
      <c r="E41" s="168" t="s">
        <v>2336</v>
      </c>
      <c r="F41" s="168" t="s">
        <v>2294</v>
      </c>
      <c r="G41" s="184"/>
    </row>
    <row r="42" spans="1:7" x14ac:dyDescent="0.3">
      <c r="A42" s="168">
        <v>2</v>
      </c>
      <c r="B42" s="168" t="s">
        <v>2234</v>
      </c>
      <c r="C42" s="168" t="s">
        <v>2337</v>
      </c>
      <c r="D42" s="168"/>
      <c r="E42" s="168" t="s">
        <v>2338</v>
      </c>
      <c r="F42" s="168" t="s">
        <v>2293</v>
      </c>
      <c r="G42" s="184"/>
    </row>
    <row r="43" spans="1:7" x14ac:dyDescent="0.3">
      <c r="A43" s="168">
        <v>2</v>
      </c>
      <c r="B43" s="168" t="s">
        <v>2234</v>
      </c>
      <c r="C43" s="168" t="s">
        <v>2339</v>
      </c>
      <c r="D43" s="168"/>
      <c r="E43" s="168" t="s">
        <v>2340</v>
      </c>
      <c r="F43" s="168" t="s">
        <v>2294</v>
      </c>
      <c r="G43" s="184"/>
    </row>
    <row r="44" spans="1:7" x14ac:dyDescent="0.3">
      <c r="A44" s="168">
        <v>2</v>
      </c>
      <c r="B44" s="168" t="s">
        <v>2234</v>
      </c>
      <c r="C44" s="168" t="s">
        <v>2249</v>
      </c>
      <c r="D44" s="168"/>
      <c r="E44" s="168" t="s">
        <v>2341</v>
      </c>
      <c r="F44" s="168" t="s">
        <v>2294</v>
      </c>
      <c r="G44" s="184"/>
    </row>
    <row r="45" spans="1:7" x14ac:dyDescent="0.3">
      <c r="A45" s="168">
        <v>2</v>
      </c>
      <c r="B45" s="168" t="s">
        <v>2234</v>
      </c>
      <c r="C45" s="168" t="s">
        <v>2250</v>
      </c>
      <c r="D45" s="168"/>
      <c r="E45" s="168" t="s">
        <v>2342</v>
      </c>
      <c r="F45" s="168" t="s">
        <v>2294</v>
      </c>
      <c r="G45" s="184"/>
    </row>
    <row r="46" spans="1:7" x14ac:dyDescent="0.3">
      <c r="A46" s="168">
        <v>2</v>
      </c>
      <c r="B46" s="168" t="s">
        <v>2234</v>
      </c>
      <c r="C46" s="168" t="s">
        <v>2343</v>
      </c>
      <c r="D46" s="168"/>
      <c r="E46" s="168" t="s">
        <v>2381</v>
      </c>
      <c r="F46" s="168" t="s">
        <v>2294</v>
      </c>
      <c r="G46" s="184"/>
    </row>
    <row r="47" spans="1:7" x14ac:dyDescent="0.3">
      <c r="A47" s="168">
        <v>2</v>
      </c>
      <c r="B47" s="168" t="s">
        <v>2234</v>
      </c>
      <c r="C47" s="168" t="s">
        <v>2241</v>
      </c>
      <c r="D47" s="168"/>
      <c r="E47" s="168" t="s">
        <v>2345</v>
      </c>
      <c r="F47" s="168" t="s">
        <v>2293</v>
      </c>
      <c r="G47" s="184"/>
    </row>
    <row r="48" spans="1:7" x14ac:dyDescent="0.3">
      <c r="A48" s="168">
        <v>2</v>
      </c>
      <c r="B48" s="168" t="s">
        <v>2234</v>
      </c>
      <c r="C48" s="168" t="s">
        <v>2242</v>
      </c>
      <c r="D48" s="168"/>
      <c r="E48" s="168" t="s">
        <v>2346</v>
      </c>
      <c r="F48" s="168" t="s">
        <v>2293</v>
      </c>
      <c r="G48" s="184"/>
    </row>
    <row r="49" spans="1:7" x14ac:dyDescent="0.3">
      <c r="A49" s="168">
        <v>2</v>
      </c>
      <c r="B49" s="168" t="s">
        <v>2234</v>
      </c>
      <c r="C49" s="168" t="s">
        <v>2260</v>
      </c>
      <c r="D49" s="168"/>
      <c r="E49" s="168" t="s">
        <v>2382</v>
      </c>
      <c r="F49" s="168" t="s">
        <v>2294</v>
      </c>
      <c r="G49" s="184"/>
    </row>
    <row r="50" spans="1:7" x14ac:dyDescent="0.3">
      <c r="A50" s="168">
        <v>2</v>
      </c>
      <c r="B50" s="168" t="s">
        <v>2234</v>
      </c>
      <c r="C50" s="168" t="s">
        <v>2348</v>
      </c>
      <c r="D50" s="168"/>
      <c r="E50" s="168" t="s">
        <v>2349</v>
      </c>
      <c r="F50" s="168" t="s">
        <v>2294</v>
      </c>
      <c r="G50" s="184"/>
    </row>
    <row r="51" spans="1:7" x14ac:dyDescent="0.3">
      <c r="A51" s="168">
        <v>2</v>
      </c>
      <c r="B51" s="168" t="s">
        <v>2234</v>
      </c>
      <c r="C51" s="168" t="s">
        <v>2383</v>
      </c>
      <c r="D51" s="168"/>
      <c r="E51" s="168" t="s">
        <v>2351</v>
      </c>
      <c r="F51" s="168" t="s">
        <v>2293</v>
      </c>
      <c r="G51" s="184"/>
    </row>
    <row r="52" spans="1:7" x14ac:dyDescent="0.3">
      <c r="A52" s="168">
        <v>2</v>
      </c>
      <c r="B52" s="168" t="s">
        <v>2234</v>
      </c>
      <c r="C52" s="168" t="s">
        <v>2384</v>
      </c>
      <c r="D52" s="168"/>
      <c r="E52" s="168" t="s">
        <v>2352</v>
      </c>
      <c r="F52" s="168" t="s">
        <v>2293</v>
      </c>
      <c r="G52" s="184"/>
    </row>
    <row r="53" spans="1:7" x14ac:dyDescent="0.3">
      <c r="A53" s="168">
        <v>2</v>
      </c>
      <c r="B53" s="168" t="s">
        <v>2234</v>
      </c>
      <c r="C53" s="168" t="s">
        <v>2271</v>
      </c>
      <c r="D53" s="168"/>
      <c r="E53" s="168" t="s">
        <v>2353</v>
      </c>
      <c r="F53" s="168" t="s">
        <v>2293</v>
      </c>
      <c r="G53" s="184"/>
    </row>
    <row r="54" spans="1:7" x14ac:dyDescent="0.3">
      <c r="A54" s="168">
        <v>2</v>
      </c>
      <c r="B54" s="168" t="s">
        <v>2234</v>
      </c>
      <c r="C54" s="168" t="s">
        <v>2354</v>
      </c>
      <c r="D54" s="168"/>
      <c r="E54" s="168" t="s">
        <v>2355</v>
      </c>
      <c r="F54" s="168" t="s">
        <v>2293</v>
      </c>
      <c r="G54" s="184"/>
    </row>
    <row r="55" spans="1:7" x14ac:dyDescent="0.3">
      <c r="A55" s="168">
        <v>2</v>
      </c>
      <c r="B55" s="168" t="s">
        <v>2234</v>
      </c>
      <c r="C55" s="168" t="s">
        <v>2247</v>
      </c>
      <c r="D55" s="168"/>
      <c r="E55" s="168" t="s">
        <v>2356</v>
      </c>
      <c r="F55" s="168" t="s">
        <v>2293</v>
      </c>
      <c r="G55" s="184"/>
    </row>
  </sheetData>
  <autoFilter ref="A1:G34" xr:uid="{0B46B075-7F0C-48F1-A329-40430E8788AC}"/>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CFCCB-EA5E-400E-9DE0-994AA3CAB6F0}">
  <sheetPr>
    <tabColor rgb="FFFFFF00"/>
  </sheetPr>
  <dimension ref="A1:E44"/>
  <sheetViews>
    <sheetView zoomScaleNormal="100" workbookViewId="0">
      <pane xSplit="1" ySplit="1" topLeftCell="B2" activePane="bottomRight" state="frozen"/>
      <selection pane="topRight" activeCell="B1" sqref="B1"/>
      <selection pane="bottomLeft" activeCell="A2" sqref="A2"/>
      <selection pane="bottomRight" activeCell="A27" sqref="A27"/>
    </sheetView>
  </sheetViews>
  <sheetFormatPr baseColWidth="10" defaultColWidth="10.88671875" defaultRowHeight="13.8" x14ac:dyDescent="0.3"/>
  <cols>
    <col min="1" max="1" width="33.77734375" style="157" customWidth="1"/>
    <col min="2" max="2" width="9.77734375" style="140" bestFit="1" customWidth="1"/>
    <col min="3" max="3" width="22.5546875" style="140" customWidth="1"/>
    <col min="4" max="4" width="21.21875" style="140" customWidth="1"/>
    <col min="5" max="5" width="12.33203125" style="140" bestFit="1" customWidth="1"/>
    <col min="6" max="16384" width="10.88671875" style="140"/>
  </cols>
  <sheetData>
    <row r="1" spans="1:5" ht="31.95" customHeight="1" x14ac:dyDescent="0.3">
      <c r="A1" s="154" t="s">
        <v>2230</v>
      </c>
      <c r="B1" s="138" t="s">
        <v>2231</v>
      </c>
      <c r="C1" s="162" t="s">
        <v>2233</v>
      </c>
      <c r="D1" s="138" t="s">
        <v>1149</v>
      </c>
      <c r="E1" s="138" t="s">
        <v>2240</v>
      </c>
    </row>
    <row r="2" spans="1:5" x14ac:dyDescent="0.3">
      <c r="A2" s="155" t="s">
        <v>628</v>
      </c>
      <c r="B2" s="143">
        <v>22</v>
      </c>
      <c r="C2" s="143" t="s">
        <v>2234</v>
      </c>
      <c r="D2" s="143" t="s">
        <v>2246</v>
      </c>
      <c r="E2" s="144">
        <v>0</v>
      </c>
    </row>
    <row r="3" spans="1:5" x14ac:dyDescent="0.3">
      <c r="A3" s="155" t="s">
        <v>382</v>
      </c>
      <c r="B3" s="143">
        <v>17</v>
      </c>
      <c r="C3" s="143" t="s">
        <v>2234</v>
      </c>
      <c r="D3" s="143" t="s">
        <v>2241</v>
      </c>
      <c r="E3" s="144">
        <v>0</v>
      </c>
    </row>
    <row r="4" spans="1:5" x14ac:dyDescent="0.3">
      <c r="A4" s="155" t="s">
        <v>2220</v>
      </c>
      <c r="B4" s="143">
        <v>14</v>
      </c>
      <c r="C4" s="143" t="s">
        <v>2234</v>
      </c>
      <c r="D4" s="143" t="s">
        <v>2242</v>
      </c>
      <c r="E4" s="144">
        <v>0</v>
      </c>
    </row>
    <row r="5" spans="1:5" x14ac:dyDescent="0.3">
      <c r="A5" s="155" t="s">
        <v>247</v>
      </c>
      <c r="B5" s="143">
        <v>15</v>
      </c>
      <c r="C5" s="143" t="s">
        <v>2234</v>
      </c>
      <c r="D5" s="143" t="s">
        <v>2243</v>
      </c>
      <c r="E5" s="144">
        <v>0</v>
      </c>
    </row>
    <row r="6" spans="1:5" x14ac:dyDescent="0.3">
      <c r="A6" s="155" t="s">
        <v>449</v>
      </c>
      <c r="B6" s="143">
        <v>11</v>
      </c>
      <c r="C6" s="143" t="s">
        <v>2234</v>
      </c>
      <c r="D6" s="143" t="s">
        <v>2244</v>
      </c>
      <c r="E6" s="144">
        <v>0</v>
      </c>
    </row>
    <row r="7" spans="1:5" x14ac:dyDescent="0.3">
      <c r="A7" s="155" t="s">
        <v>602</v>
      </c>
      <c r="B7" s="143">
        <v>10</v>
      </c>
      <c r="C7" s="143" t="s">
        <v>2234</v>
      </c>
      <c r="D7" s="143" t="s">
        <v>2245</v>
      </c>
      <c r="E7" s="144">
        <v>0</v>
      </c>
    </row>
    <row r="8" spans="1:5" x14ac:dyDescent="0.3">
      <c r="A8" s="155" t="s">
        <v>200</v>
      </c>
      <c r="B8" s="143">
        <v>9</v>
      </c>
      <c r="C8" s="143" t="s">
        <v>2234</v>
      </c>
      <c r="D8" s="143" t="s">
        <v>2247</v>
      </c>
      <c r="E8" s="144">
        <v>0</v>
      </c>
    </row>
    <row r="9" spans="1:5" ht="14.4" x14ac:dyDescent="0.3">
      <c r="A9" s="155" t="s">
        <v>674</v>
      </c>
      <c r="B9" s="143">
        <v>3</v>
      </c>
      <c r="C9" s="143" t="s">
        <v>2234</v>
      </c>
      <c r="D9" s="143" t="s">
        <v>2248</v>
      </c>
      <c r="E9" s="145">
        <v>0.3044</v>
      </c>
    </row>
    <row r="10" spans="1:5" ht="14.4" x14ac:dyDescent="0.3">
      <c r="A10" s="155" t="s">
        <v>674</v>
      </c>
      <c r="B10" s="143">
        <v>6</v>
      </c>
      <c r="C10" s="143" t="s">
        <v>2262</v>
      </c>
      <c r="D10" s="143" t="s">
        <v>2262</v>
      </c>
      <c r="E10" s="145">
        <v>0.3044</v>
      </c>
    </row>
    <row r="11" spans="1:5" x14ac:dyDescent="0.3">
      <c r="A11" s="155" t="s">
        <v>652</v>
      </c>
      <c r="B11" s="143">
        <v>6</v>
      </c>
      <c r="C11" s="143" t="s">
        <v>2235</v>
      </c>
      <c r="D11" s="143" t="s">
        <v>2235</v>
      </c>
      <c r="E11" s="144">
        <v>0</v>
      </c>
    </row>
    <row r="12" spans="1:5" x14ac:dyDescent="0.3">
      <c r="A12" s="155" t="s">
        <v>815</v>
      </c>
      <c r="B12" s="143">
        <v>6</v>
      </c>
      <c r="C12" s="143" t="s">
        <v>2236</v>
      </c>
      <c r="D12" s="143" t="s">
        <v>2236</v>
      </c>
      <c r="E12" s="144">
        <v>0</v>
      </c>
    </row>
    <row r="13" spans="1:5" ht="14.4" x14ac:dyDescent="0.3">
      <c r="A13" s="155" t="s">
        <v>2229</v>
      </c>
      <c r="B13" s="143">
        <v>5</v>
      </c>
      <c r="C13" s="143"/>
      <c r="D13" s="143"/>
      <c r="E13" s="146">
        <v>0.2</v>
      </c>
    </row>
    <row r="14" spans="1:5" ht="14.4" x14ac:dyDescent="0.3">
      <c r="A14" s="155" t="s">
        <v>661</v>
      </c>
      <c r="B14" s="143">
        <v>2</v>
      </c>
      <c r="C14" s="143" t="s">
        <v>2234</v>
      </c>
      <c r="D14" s="143" t="s">
        <v>2241</v>
      </c>
      <c r="E14" s="145">
        <v>0.2</v>
      </c>
    </row>
    <row r="15" spans="1:5" x14ac:dyDescent="0.3">
      <c r="A15" s="158" t="s">
        <v>758</v>
      </c>
      <c r="B15" s="159">
        <v>4</v>
      </c>
      <c r="C15" s="159" t="s">
        <v>2237</v>
      </c>
      <c r="D15" s="159" t="s">
        <v>2237</v>
      </c>
      <c r="E15" s="144">
        <v>0</v>
      </c>
    </row>
    <row r="16" spans="1:5" x14ac:dyDescent="0.3">
      <c r="A16" s="155" t="s">
        <v>825</v>
      </c>
      <c r="B16" s="143">
        <v>4</v>
      </c>
      <c r="C16" s="143" t="s">
        <v>2236</v>
      </c>
      <c r="D16" s="143" t="s">
        <v>2236</v>
      </c>
      <c r="E16" s="144">
        <v>0</v>
      </c>
    </row>
    <row r="17" spans="1:5" ht="14.4" x14ac:dyDescent="0.3">
      <c r="A17" s="155" t="s">
        <v>309</v>
      </c>
      <c r="B17" s="143">
        <v>3</v>
      </c>
      <c r="C17" s="143" t="s">
        <v>2234</v>
      </c>
      <c r="D17" s="143" t="s">
        <v>2250</v>
      </c>
      <c r="E17" s="145">
        <v>0.33329999999999999</v>
      </c>
    </row>
    <row r="18" spans="1:5" x14ac:dyDescent="0.3">
      <c r="A18" s="158" t="s">
        <v>792</v>
      </c>
      <c r="B18" s="159">
        <v>3</v>
      </c>
      <c r="C18" s="159" t="s">
        <v>2237</v>
      </c>
      <c r="D18" s="159" t="s">
        <v>2251</v>
      </c>
      <c r="E18" s="144">
        <v>0</v>
      </c>
    </row>
    <row r="19" spans="1:5" x14ac:dyDescent="0.3">
      <c r="A19" s="155" t="s">
        <v>832</v>
      </c>
      <c r="B19" s="143">
        <v>2</v>
      </c>
      <c r="C19" s="143" t="s">
        <v>2236</v>
      </c>
      <c r="D19" s="143" t="s">
        <v>2236</v>
      </c>
      <c r="E19" s="144">
        <v>0</v>
      </c>
    </row>
    <row r="20" spans="1:5" ht="14.4" x14ac:dyDescent="0.3">
      <c r="A20" s="155" t="s">
        <v>353</v>
      </c>
      <c r="B20" s="143">
        <v>2</v>
      </c>
      <c r="C20" s="143" t="s">
        <v>2234</v>
      </c>
      <c r="D20" s="143" t="s">
        <v>2242</v>
      </c>
      <c r="E20" s="145">
        <v>0.25</v>
      </c>
    </row>
    <row r="21" spans="1:5" x14ac:dyDescent="0.3">
      <c r="A21" s="158" t="s">
        <v>784</v>
      </c>
      <c r="B21" s="159">
        <v>2</v>
      </c>
      <c r="C21" s="159" t="s">
        <v>2237</v>
      </c>
      <c r="D21" s="159" t="s">
        <v>2251</v>
      </c>
      <c r="E21" s="144">
        <v>0</v>
      </c>
    </row>
    <row r="22" spans="1:5" ht="14.4" x14ac:dyDescent="0.3">
      <c r="A22" s="155" t="s">
        <v>2224</v>
      </c>
      <c r="B22" s="143">
        <v>2</v>
      </c>
      <c r="C22" s="143" t="s">
        <v>2234</v>
      </c>
      <c r="D22" s="143" t="s">
        <v>2250</v>
      </c>
      <c r="E22" s="145">
        <v>0.5</v>
      </c>
    </row>
    <row r="23" spans="1:5" x14ac:dyDescent="0.3">
      <c r="A23" s="155" t="s">
        <v>471</v>
      </c>
      <c r="B23" s="143">
        <v>1</v>
      </c>
      <c r="C23" s="143" t="s">
        <v>2234</v>
      </c>
      <c r="D23" s="143" t="s">
        <v>2244</v>
      </c>
      <c r="E23" s="144">
        <v>0</v>
      </c>
    </row>
    <row r="24" spans="1:5" x14ac:dyDescent="0.3">
      <c r="A24" s="155" t="s">
        <v>823</v>
      </c>
      <c r="B24" s="143">
        <v>1</v>
      </c>
      <c r="C24" s="143" t="s">
        <v>823</v>
      </c>
      <c r="D24" s="143"/>
      <c r="E24" s="144">
        <v>0</v>
      </c>
    </row>
    <row r="25" spans="1:5" x14ac:dyDescent="0.3">
      <c r="A25" s="155" t="s">
        <v>116</v>
      </c>
      <c r="B25" s="143">
        <v>1</v>
      </c>
      <c r="C25" s="143" t="s">
        <v>2234</v>
      </c>
      <c r="D25" s="143" t="s">
        <v>2252</v>
      </c>
      <c r="E25" s="144">
        <v>0</v>
      </c>
    </row>
    <row r="26" spans="1:5" x14ac:dyDescent="0.3">
      <c r="A26" s="158" t="s">
        <v>787</v>
      </c>
      <c r="B26" s="159">
        <v>1</v>
      </c>
      <c r="C26" s="159" t="s">
        <v>2237</v>
      </c>
      <c r="D26" s="159" t="s">
        <v>2251</v>
      </c>
      <c r="E26" s="144">
        <v>0</v>
      </c>
    </row>
    <row r="27" spans="1:5" x14ac:dyDescent="0.3">
      <c r="A27" s="158" t="s">
        <v>738</v>
      </c>
      <c r="B27" s="159">
        <v>6</v>
      </c>
      <c r="C27" s="159" t="s">
        <v>2237</v>
      </c>
      <c r="D27" s="159" t="s">
        <v>2253</v>
      </c>
      <c r="E27" s="144">
        <v>0</v>
      </c>
    </row>
    <row r="28" spans="1:5" x14ac:dyDescent="0.3">
      <c r="A28" s="155" t="s">
        <v>718</v>
      </c>
      <c r="B28" s="143">
        <v>5</v>
      </c>
      <c r="C28" s="143" t="s">
        <v>2238</v>
      </c>
      <c r="D28" s="143" t="s">
        <v>2238</v>
      </c>
      <c r="E28" s="144">
        <v>0</v>
      </c>
    </row>
    <row r="29" spans="1:5" x14ac:dyDescent="0.3">
      <c r="A29" s="155" t="s">
        <v>427</v>
      </c>
      <c r="B29" s="143">
        <v>8</v>
      </c>
      <c r="C29" s="143" t="s">
        <v>2234</v>
      </c>
      <c r="D29" s="143" t="s">
        <v>2254</v>
      </c>
      <c r="E29" s="144">
        <v>0</v>
      </c>
    </row>
    <row r="30" spans="1:5" x14ac:dyDescent="0.3">
      <c r="A30" s="155" t="s">
        <v>229</v>
      </c>
      <c r="B30" s="143">
        <v>4</v>
      </c>
      <c r="C30" s="143" t="s">
        <v>2234</v>
      </c>
      <c r="D30" s="143" t="s">
        <v>2255</v>
      </c>
      <c r="E30" s="144">
        <v>0</v>
      </c>
    </row>
    <row r="31" spans="1:5" x14ac:dyDescent="0.3">
      <c r="A31" s="155" t="s">
        <v>221</v>
      </c>
      <c r="B31" s="143">
        <v>4</v>
      </c>
      <c r="C31" s="143" t="s">
        <v>2234</v>
      </c>
      <c r="D31" s="143" t="s">
        <v>2255</v>
      </c>
      <c r="E31" s="144">
        <v>0</v>
      </c>
    </row>
    <row r="32" spans="1:5" ht="14.4" x14ac:dyDescent="0.3">
      <c r="A32" s="155" t="s">
        <v>298</v>
      </c>
      <c r="B32" s="143">
        <v>11</v>
      </c>
      <c r="C32" s="143" t="s">
        <v>2234</v>
      </c>
      <c r="D32" s="143" t="s">
        <v>2249</v>
      </c>
      <c r="E32" s="145">
        <v>0.31809999999999999</v>
      </c>
    </row>
    <row r="33" spans="1:5" x14ac:dyDescent="0.3">
      <c r="A33" s="155" t="s">
        <v>2228</v>
      </c>
      <c r="B33" s="143">
        <v>1</v>
      </c>
      <c r="C33" s="143" t="s">
        <v>2234</v>
      </c>
      <c r="D33" s="143" t="s">
        <v>2256</v>
      </c>
      <c r="E33" s="144">
        <v>0</v>
      </c>
    </row>
    <row r="34" spans="1:5" x14ac:dyDescent="0.3">
      <c r="A34" s="158" t="s">
        <v>800</v>
      </c>
      <c r="B34" s="159">
        <v>1</v>
      </c>
      <c r="C34" s="159" t="s">
        <v>2237</v>
      </c>
      <c r="D34" s="159" t="s">
        <v>2257</v>
      </c>
      <c r="E34" s="144">
        <v>0</v>
      </c>
    </row>
    <row r="35" spans="1:5" x14ac:dyDescent="0.3">
      <c r="A35" s="155" t="s">
        <v>131</v>
      </c>
      <c r="B35" s="143">
        <v>24</v>
      </c>
      <c r="C35" s="143" t="s">
        <v>2234</v>
      </c>
      <c r="D35" s="143" t="s">
        <v>2258</v>
      </c>
      <c r="E35" s="144">
        <v>0</v>
      </c>
    </row>
    <row r="36" spans="1:5" x14ac:dyDescent="0.3">
      <c r="A36" s="158" t="s">
        <v>778</v>
      </c>
      <c r="B36" s="159">
        <v>2</v>
      </c>
      <c r="C36" s="159" t="s">
        <v>2237</v>
      </c>
      <c r="D36" s="159" t="s">
        <v>2251</v>
      </c>
      <c r="E36" s="144">
        <v>0</v>
      </c>
    </row>
    <row r="37" spans="1:5" x14ac:dyDescent="0.3">
      <c r="A37" s="156" t="s">
        <v>2225</v>
      </c>
      <c r="B37" s="143">
        <v>6</v>
      </c>
      <c r="C37" s="143" t="s">
        <v>2234</v>
      </c>
      <c r="D37" s="143" t="s">
        <v>2248</v>
      </c>
      <c r="E37" s="144">
        <v>0</v>
      </c>
    </row>
    <row r="38" spans="1:5" x14ac:dyDescent="0.3">
      <c r="A38" s="155" t="s">
        <v>509</v>
      </c>
      <c r="B38" s="143">
        <v>45</v>
      </c>
      <c r="C38" s="143" t="s">
        <v>2234</v>
      </c>
      <c r="D38" s="143" t="s">
        <v>2259</v>
      </c>
      <c r="E38" s="144">
        <v>0</v>
      </c>
    </row>
    <row r="39" spans="1:5" x14ac:dyDescent="0.3">
      <c r="A39" s="155" t="s">
        <v>478</v>
      </c>
      <c r="B39" s="143">
        <v>7</v>
      </c>
      <c r="C39" s="143" t="s">
        <v>2234</v>
      </c>
      <c r="D39" s="143" t="s">
        <v>2260</v>
      </c>
      <c r="E39" s="144">
        <v>0</v>
      </c>
    </row>
    <row r="44" spans="1:5" ht="14.4" x14ac:dyDescent="0.3">
      <c r="C44" s="160" t="s">
        <v>2261</v>
      </c>
    </row>
  </sheetData>
  <autoFilter ref="A1:E39" xr:uid="{087CFCCB-EA5E-400E-9DE0-994AA3CAB6F0}">
    <sortState xmlns:xlrd2="http://schemas.microsoft.com/office/spreadsheetml/2017/richdata2" ref="A2:E26">
      <sortCondition descending="1" ref="B1"/>
    </sortState>
  </autoFilter>
  <dataValidations count="1">
    <dataValidation type="custom" allowBlank="1" showErrorMessage="1" sqref="A37" xr:uid="{3C9F70B1-3813-482D-BD96-49720709A7D3}">
      <formula1>AND(GTE(LEN(A37),MIN((10),(1000))),LTE(LEN(A37),MAX((10),(1000))))</formula1>
    </dataValidation>
  </dataValidations>
  <hyperlinks>
    <hyperlink ref="C44" r:id="rId1" xr:uid="{A6C1F354-F33F-4320-8843-C84BF8B86D3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BF471-9801-4E14-9467-11B64718957B}">
  <dimension ref="A1:F21"/>
  <sheetViews>
    <sheetView workbookViewId="0">
      <pane xSplit="2" ySplit="1" topLeftCell="C2" activePane="bottomRight" state="frozen"/>
      <selection pane="topRight" activeCell="B1" sqref="B1"/>
      <selection pane="bottomLeft" activeCell="A2" sqref="A2"/>
      <selection pane="bottomRight" activeCell="D2" sqref="D2:D21"/>
    </sheetView>
  </sheetViews>
  <sheetFormatPr baseColWidth="10" defaultColWidth="11" defaultRowHeight="14.4" x14ac:dyDescent="0.3"/>
  <cols>
    <col min="1" max="1" width="12.44140625" style="118" bestFit="1" customWidth="1"/>
    <col min="2" max="2" width="12.44140625" bestFit="1" customWidth="1"/>
    <col min="3" max="3" width="24.33203125" bestFit="1" customWidth="1"/>
    <col min="4" max="4" width="10.33203125" customWidth="1"/>
    <col min="5" max="6" width="9.5546875" customWidth="1"/>
  </cols>
  <sheetData>
    <row r="1" spans="1:6" s="230" customFormat="1" ht="35.549999999999997" customHeight="1" x14ac:dyDescent="0.3">
      <c r="A1" s="239" t="s">
        <v>2263</v>
      </c>
      <c r="B1" s="239" t="s">
        <v>1149</v>
      </c>
      <c r="C1" s="239" t="s">
        <v>2327</v>
      </c>
      <c r="D1" s="239" t="s">
        <v>2273</v>
      </c>
      <c r="E1" s="239" t="s">
        <v>2328</v>
      </c>
      <c r="F1" s="239" t="s">
        <v>2329</v>
      </c>
    </row>
    <row r="2" spans="1:6" x14ac:dyDescent="0.3">
      <c r="A2" s="234" t="s">
        <v>2357</v>
      </c>
      <c r="B2" s="235" t="s">
        <v>2252</v>
      </c>
      <c r="C2" s="176" t="s">
        <v>2330</v>
      </c>
      <c r="D2" s="176" t="s">
        <v>2294</v>
      </c>
      <c r="E2" s="177"/>
      <c r="F2" s="177"/>
    </row>
    <row r="3" spans="1:6" x14ac:dyDescent="0.3">
      <c r="A3" s="234" t="s">
        <v>2357</v>
      </c>
      <c r="B3" s="235" t="s">
        <v>2331</v>
      </c>
      <c r="C3" s="176" t="s">
        <v>2332</v>
      </c>
      <c r="D3" s="176" t="s">
        <v>2294</v>
      </c>
      <c r="E3" s="177"/>
      <c r="F3" s="177"/>
    </row>
    <row r="4" spans="1:6" x14ac:dyDescent="0.3">
      <c r="A4" s="234" t="s">
        <v>2357</v>
      </c>
      <c r="B4" s="235" t="s">
        <v>2265</v>
      </c>
      <c r="C4" s="176" t="s">
        <v>2333</v>
      </c>
      <c r="D4" s="176" t="s">
        <v>2294</v>
      </c>
      <c r="E4" s="177"/>
      <c r="F4" s="177"/>
    </row>
    <row r="5" spans="1:6" x14ac:dyDescent="0.3">
      <c r="A5" s="234" t="s">
        <v>2357</v>
      </c>
      <c r="B5" s="236" t="s">
        <v>2243</v>
      </c>
      <c r="C5" s="237" t="s">
        <v>2334</v>
      </c>
      <c r="D5" s="237" t="s">
        <v>2293</v>
      </c>
      <c r="E5" s="238"/>
      <c r="F5" s="238"/>
    </row>
    <row r="6" spans="1:6" x14ac:dyDescent="0.3">
      <c r="A6" s="234" t="s">
        <v>2357</v>
      </c>
      <c r="B6" s="236" t="s">
        <v>2258</v>
      </c>
      <c r="C6" s="237" t="s">
        <v>2335</v>
      </c>
      <c r="D6" s="237" t="s">
        <v>2293</v>
      </c>
      <c r="E6" s="238"/>
      <c r="F6" s="238"/>
    </row>
    <row r="7" spans="1:6" x14ac:dyDescent="0.3">
      <c r="A7" s="234" t="s">
        <v>2357</v>
      </c>
      <c r="B7" s="236" t="s">
        <v>2255</v>
      </c>
      <c r="C7" s="237" t="s">
        <v>2336</v>
      </c>
      <c r="D7" s="237" t="s">
        <v>2294</v>
      </c>
      <c r="E7" s="238"/>
      <c r="F7" s="238"/>
    </row>
    <row r="8" spans="1:6" x14ac:dyDescent="0.3">
      <c r="A8" s="234" t="s">
        <v>2357</v>
      </c>
      <c r="B8" s="236" t="s">
        <v>2337</v>
      </c>
      <c r="C8" s="237" t="s">
        <v>2338</v>
      </c>
      <c r="D8" s="237" t="s">
        <v>2293</v>
      </c>
      <c r="E8" s="238"/>
      <c r="F8" s="238"/>
    </row>
    <row r="9" spans="1:6" x14ac:dyDescent="0.3">
      <c r="A9" s="234" t="s">
        <v>2357</v>
      </c>
      <c r="B9" s="235" t="s">
        <v>2339</v>
      </c>
      <c r="C9" s="176" t="s">
        <v>2340</v>
      </c>
      <c r="D9" s="176" t="s">
        <v>2294</v>
      </c>
      <c r="E9" s="177"/>
      <c r="F9" s="177"/>
    </row>
    <row r="10" spans="1:6" x14ac:dyDescent="0.3">
      <c r="A10" s="234" t="s">
        <v>2357</v>
      </c>
      <c r="B10" s="236" t="s">
        <v>2249</v>
      </c>
      <c r="C10" s="237" t="s">
        <v>2341</v>
      </c>
      <c r="D10" s="237" t="s">
        <v>2294</v>
      </c>
      <c r="E10" s="238"/>
      <c r="F10" s="238"/>
    </row>
    <row r="11" spans="1:6" x14ac:dyDescent="0.3">
      <c r="A11" s="234" t="s">
        <v>2357</v>
      </c>
      <c r="B11" s="235" t="s">
        <v>2250</v>
      </c>
      <c r="C11" s="176" t="s">
        <v>2342</v>
      </c>
      <c r="D11" s="176" t="s">
        <v>2294</v>
      </c>
      <c r="E11" s="177"/>
      <c r="F11" s="177"/>
    </row>
    <row r="12" spans="1:6" x14ac:dyDescent="0.3">
      <c r="A12" s="234" t="s">
        <v>2357</v>
      </c>
      <c r="B12" s="235" t="s">
        <v>2343</v>
      </c>
      <c r="C12" s="176" t="s">
        <v>2344</v>
      </c>
      <c r="D12" s="176" t="s">
        <v>2294</v>
      </c>
      <c r="E12" s="177"/>
      <c r="F12" s="177"/>
    </row>
    <row r="13" spans="1:6" x14ac:dyDescent="0.3">
      <c r="A13" s="234" t="s">
        <v>2357</v>
      </c>
      <c r="B13" s="235" t="s">
        <v>2241</v>
      </c>
      <c r="C13" s="176" t="s">
        <v>2345</v>
      </c>
      <c r="D13" s="176" t="s">
        <v>2293</v>
      </c>
      <c r="E13" s="177"/>
      <c r="F13" s="177"/>
    </row>
    <row r="14" spans="1:6" x14ac:dyDescent="0.3">
      <c r="A14" s="234" t="s">
        <v>2357</v>
      </c>
      <c r="B14" s="235" t="s">
        <v>2242</v>
      </c>
      <c r="C14" s="176" t="s">
        <v>2346</v>
      </c>
      <c r="D14" s="176" t="s">
        <v>2293</v>
      </c>
      <c r="E14" s="177"/>
      <c r="F14" s="177"/>
    </row>
    <row r="15" spans="1:6" x14ac:dyDescent="0.3">
      <c r="A15" s="234" t="s">
        <v>2357</v>
      </c>
      <c r="B15" s="236" t="s">
        <v>2260</v>
      </c>
      <c r="C15" s="237" t="s">
        <v>2347</v>
      </c>
      <c r="D15" s="237" t="s">
        <v>2294</v>
      </c>
      <c r="E15" s="238"/>
      <c r="F15" s="238"/>
    </row>
    <row r="16" spans="1:6" x14ac:dyDescent="0.3">
      <c r="A16" s="234" t="s">
        <v>2357</v>
      </c>
      <c r="B16" s="236" t="s">
        <v>2348</v>
      </c>
      <c r="C16" s="237" t="s">
        <v>2349</v>
      </c>
      <c r="D16" s="237" t="s">
        <v>2294</v>
      </c>
      <c r="E16" s="238"/>
      <c r="F16" s="238"/>
    </row>
    <row r="17" spans="1:6" x14ac:dyDescent="0.3">
      <c r="A17" s="234" t="s">
        <v>2357</v>
      </c>
      <c r="B17" s="235" t="s">
        <v>2350</v>
      </c>
      <c r="C17" s="176" t="s">
        <v>2351</v>
      </c>
      <c r="D17" s="176" t="s">
        <v>2293</v>
      </c>
      <c r="E17" s="177"/>
      <c r="F17" s="177"/>
    </row>
    <row r="18" spans="1:6" x14ac:dyDescent="0.3">
      <c r="A18" s="234" t="s">
        <v>2357</v>
      </c>
      <c r="B18" s="235" t="s">
        <v>2245</v>
      </c>
      <c r="C18" s="176" t="s">
        <v>2352</v>
      </c>
      <c r="D18" s="176" t="s">
        <v>2293</v>
      </c>
      <c r="E18" s="177"/>
      <c r="F18" s="177"/>
    </row>
    <row r="19" spans="1:6" x14ac:dyDescent="0.3">
      <c r="A19" s="234" t="s">
        <v>2357</v>
      </c>
      <c r="B19" s="236" t="s">
        <v>2271</v>
      </c>
      <c r="C19" s="237" t="s">
        <v>2353</v>
      </c>
      <c r="D19" s="237" t="s">
        <v>2293</v>
      </c>
      <c r="E19" s="238"/>
      <c r="F19" s="238"/>
    </row>
    <row r="20" spans="1:6" x14ac:dyDescent="0.3">
      <c r="A20" s="234" t="s">
        <v>2357</v>
      </c>
      <c r="B20" s="236" t="s">
        <v>2354</v>
      </c>
      <c r="C20" s="237" t="s">
        <v>2355</v>
      </c>
      <c r="D20" s="237" t="s">
        <v>2293</v>
      </c>
      <c r="E20" s="238"/>
      <c r="F20" s="238"/>
    </row>
    <row r="21" spans="1:6" x14ac:dyDescent="0.3">
      <c r="A21" s="234" t="s">
        <v>2357</v>
      </c>
      <c r="B21" s="235" t="s">
        <v>2247</v>
      </c>
      <c r="C21" s="176" t="s">
        <v>2356</v>
      </c>
      <c r="D21" s="176" t="s">
        <v>2293</v>
      </c>
      <c r="E21" s="177"/>
      <c r="F21" s="177"/>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E895-2990-491A-8836-B776842B09AD}">
  <sheetPr>
    <tabColor rgb="FFFF0000"/>
  </sheetPr>
  <dimension ref="A2:F10"/>
  <sheetViews>
    <sheetView workbookViewId="0">
      <selection activeCell="F2" sqref="F2"/>
    </sheetView>
  </sheetViews>
  <sheetFormatPr baseColWidth="10" defaultRowHeight="14.4" x14ac:dyDescent="0.3"/>
  <cols>
    <col min="1" max="1" width="5.44140625" customWidth="1"/>
    <col min="2" max="2" width="56.5546875" customWidth="1"/>
    <col min="5" max="5" width="3.5546875" customWidth="1"/>
    <col min="6" max="6" width="22" customWidth="1"/>
  </cols>
  <sheetData>
    <row r="2" spans="1:6" ht="32.4" x14ac:dyDescent="0.3">
      <c r="B2" s="171" t="s">
        <v>2286</v>
      </c>
      <c r="F2" s="178" t="s">
        <v>2303</v>
      </c>
    </row>
    <row r="4" spans="1:6" x14ac:dyDescent="0.3">
      <c r="A4" s="176">
        <v>1</v>
      </c>
      <c r="B4" s="177" t="s">
        <v>2298</v>
      </c>
    </row>
    <row r="5" spans="1:6" x14ac:dyDescent="0.3">
      <c r="A5" s="176">
        <v>2</v>
      </c>
      <c r="B5" s="177" t="s">
        <v>2299</v>
      </c>
    </row>
    <row r="6" spans="1:6" x14ac:dyDescent="0.3">
      <c r="A6" s="176">
        <v>3</v>
      </c>
      <c r="B6" s="177" t="s">
        <v>2300</v>
      </c>
    </row>
    <row r="7" spans="1:6" x14ac:dyDescent="0.3">
      <c r="A7" s="176">
        <v>4</v>
      </c>
      <c r="B7" s="177" t="s">
        <v>2301</v>
      </c>
      <c r="E7" s="174"/>
      <c r="F7" s="175"/>
    </row>
    <row r="8" spans="1:6" x14ac:dyDescent="0.3">
      <c r="A8" s="176">
        <v>5</v>
      </c>
      <c r="B8" s="177" t="s">
        <v>2302</v>
      </c>
      <c r="E8" s="175"/>
      <c r="F8" s="175"/>
    </row>
    <row r="9" spans="1:6" x14ac:dyDescent="0.3">
      <c r="E9" s="175"/>
      <c r="F9" s="175"/>
    </row>
    <row r="10" spans="1:6" x14ac:dyDescent="0.3">
      <c r="E10" s="175"/>
      <c r="F10" s="175"/>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AA13BB-C413-48FE-95F1-160EDD602922}">
  <dimension ref="A1:C4"/>
  <sheetViews>
    <sheetView workbookViewId="0">
      <selection activeCell="E4" sqref="E4"/>
    </sheetView>
  </sheetViews>
  <sheetFormatPr baseColWidth="10" defaultRowHeight="14.4" x14ac:dyDescent="0.3"/>
  <cols>
    <col min="1" max="1" width="30.77734375" bestFit="1" customWidth="1"/>
    <col min="2" max="2" width="56.21875" bestFit="1" customWidth="1"/>
    <col min="3" max="3" width="10.88671875" style="118"/>
  </cols>
  <sheetData>
    <row r="1" spans="1:2" x14ac:dyDescent="0.3">
      <c r="A1" s="139" t="s">
        <v>94</v>
      </c>
      <c r="B1" t="s">
        <v>2232</v>
      </c>
    </row>
    <row r="3" spans="1:2" x14ac:dyDescent="0.3">
      <c r="A3" t="s">
        <v>2239</v>
      </c>
    </row>
    <row r="4" spans="1:2" x14ac:dyDescent="0.3">
      <c r="A4" t="e">
        <v>#DIV/0!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AD1000"/>
  <sheetViews>
    <sheetView workbookViewId="0">
      <selection activeCell="AT59" sqref="AT59"/>
    </sheetView>
  </sheetViews>
  <sheetFormatPr baseColWidth="10" defaultColWidth="14.44140625" defaultRowHeight="15" customHeight="1" x14ac:dyDescent="0.3"/>
  <cols>
    <col min="1" max="1" width="26.5546875" customWidth="1"/>
    <col min="2" max="2" width="17.21875" customWidth="1"/>
    <col min="3" max="3" width="10.77734375" customWidth="1"/>
    <col min="4" max="4" width="26.5546875" customWidth="1"/>
    <col min="5" max="5" width="17.21875" customWidth="1"/>
    <col min="6" max="6" width="23" customWidth="1"/>
    <col min="7" max="22" width="10.77734375" customWidth="1"/>
    <col min="23" max="23" width="17.77734375" customWidth="1"/>
    <col min="24" max="24" width="11.77734375" customWidth="1"/>
    <col min="25" max="30" width="10.77734375" customWidth="1"/>
  </cols>
  <sheetData>
    <row r="1" spans="1:30" ht="14.25" customHeight="1" x14ac:dyDescent="0.3"/>
    <row r="2" spans="1:30" ht="14.25" customHeight="1" x14ac:dyDescent="0.3">
      <c r="W2" s="30" t="s">
        <v>845</v>
      </c>
    </row>
    <row r="3" spans="1:30" ht="14.25" customHeight="1" x14ac:dyDescent="0.3">
      <c r="A3" s="275"/>
      <c r="B3" s="276"/>
      <c r="C3" s="277"/>
      <c r="D3" s="275"/>
      <c r="E3" s="276"/>
      <c r="F3" s="277"/>
      <c r="G3" s="275"/>
      <c r="H3" s="276"/>
      <c r="I3" s="277"/>
      <c r="J3" s="275"/>
      <c r="K3" s="276"/>
      <c r="L3" s="277"/>
      <c r="M3" s="275"/>
      <c r="N3" s="276"/>
      <c r="O3" s="277"/>
      <c r="P3" s="275"/>
      <c r="Q3" s="276"/>
      <c r="R3" s="277"/>
      <c r="S3" s="275"/>
      <c r="T3" s="276"/>
      <c r="U3" s="277"/>
      <c r="X3" s="31" t="s">
        <v>118</v>
      </c>
      <c r="Y3" s="31" t="s">
        <v>195</v>
      </c>
      <c r="Z3" s="31" t="s">
        <v>97</v>
      </c>
      <c r="AA3" s="31" t="s">
        <v>685</v>
      </c>
      <c r="AB3" s="31" t="s">
        <v>436</v>
      </c>
      <c r="AC3" s="31" t="s">
        <v>133</v>
      </c>
      <c r="AD3" s="31" t="s">
        <v>653</v>
      </c>
    </row>
    <row r="4" spans="1:30" ht="14.4" x14ac:dyDescent="0.3">
      <c r="A4" s="278"/>
      <c r="B4" s="82"/>
      <c r="C4" s="279"/>
      <c r="D4" s="278"/>
      <c r="E4" s="82"/>
      <c r="F4" s="279"/>
      <c r="G4" s="278"/>
      <c r="H4" s="82"/>
      <c r="I4" s="279"/>
      <c r="J4" s="278"/>
      <c r="K4" s="82"/>
      <c r="L4" s="279"/>
      <c r="M4" s="278"/>
      <c r="N4" s="82"/>
      <c r="O4" s="279"/>
      <c r="P4" s="278"/>
      <c r="Q4" s="82"/>
      <c r="R4" s="279"/>
      <c r="S4" s="278"/>
      <c r="T4" s="82"/>
      <c r="U4" s="279"/>
      <c r="X4" s="30">
        <f>IF(B4="(en blanco)",0,COUNTIF(B4:B30,"*"))</f>
        <v>0</v>
      </c>
      <c r="Y4" s="30">
        <f>IF(E4="(en blanco)",0,COUNTIF(E4:E30,"*"))</f>
        <v>0</v>
      </c>
      <c r="Z4" s="30">
        <f>IF(H4="(en blanco)",0,COUNTIF(H4:H30,"*"))</f>
        <v>0</v>
      </c>
      <c r="AA4" s="30">
        <f>IF(K4="(en blanco)",0,COUNTIF(K4:K30,"*"))</f>
        <v>0</v>
      </c>
      <c r="AB4" s="30">
        <f>IF(N4="(en blanco)",0,COUNTIF(N4:N30,"*"))</f>
        <v>0</v>
      </c>
      <c r="AC4" s="30">
        <f>IF(Q4="(en blanco)",0,COUNTIF(Q4:Q30,"*"))</f>
        <v>0</v>
      </c>
      <c r="AD4" s="30">
        <f>IF(T4="(en blanco)",0,COUNTIF(T4:T30,"*"))</f>
        <v>0</v>
      </c>
    </row>
    <row r="5" spans="1:30" ht="14.4" x14ac:dyDescent="0.3">
      <c r="A5" s="278"/>
      <c r="B5" s="82"/>
      <c r="C5" s="279"/>
      <c r="D5" s="278"/>
      <c r="E5" s="82"/>
      <c r="F5" s="279"/>
      <c r="G5" s="278"/>
      <c r="H5" s="82"/>
      <c r="I5" s="279"/>
      <c r="J5" s="278"/>
      <c r="K5" s="82"/>
      <c r="L5" s="279"/>
      <c r="M5" s="278"/>
      <c r="N5" s="82"/>
      <c r="O5" s="279"/>
      <c r="P5" s="278"/>
      <c r="Q5" s="82"/>
      <c r="R5" s="279"/>
      <c r="S5" s="278"/>
      <c r="T5" s="82"/>
      <c r="U5" s="279"/>
    </row>
    <row r="6" spans="1:30" ht="14.4" x14ac:dyDescent="0.3">
      <c r="A6" s="278"/>
      <c r="B6" s="82"/>
      <c r="C6" s="279"/>
      <c r="D6" s="278"/>
      <c r="E6" s="82"/>
      <c r="F6" s="279"/>
      <c r="G6" s="278"/>
      <c r="H6" s="82"/>
      <c r="I6" s="279"/>
      <c r="J6" s="278"/>
      <c r="K6" s="82"/>
      <c r="L6" s="279"/>
      <c r="M6" s="278"/>
      <c r="N6" s="82"/>
      <c r="O6" s="279"/>
      <c r="P6" s="278"/>
      <c r="Q6" s="82"/>
      <c r="R6" s="279"/>
      <c r="S6" s="278"/>
      <c r="T6" s="82"/>
      <c r="U6" s="279"/>
    </row>
    <row r="7" spans="1:30" ht="14.4" x14ac:dyDescent="0.3">
      <c r="A7" s="278"/>
      <c r="B7" s="82"/>
      <c r="C7" s="279"/>
      <c r="D7" s="278"/>
      <c r="E7" s="82"/>
      <c r="F7" s="279"/>
      <c r="G7" s="278"/>
      <c r="H7" s="82"/>
      <c r="I7" s="279"/>
      <c r="J7" s="278"/>
      <c r="K7" s="82"/>
      <c r="L7" s="279"/>
      <c r="M7" s="278"/>
      <c r="N7" s="82"/>
      <c r="O7" s="279"/>
      <c r="P7" s="278"/>
      <c r="Q7" s="82"/>
      <c r="R7" s="279"/>
      <c r="S7" s="278"/>
      <c r="T7" s="82"/>
      <c r="U7" s="279"/>
    </row>
    <row r="8" spans="1:30" ht="14.4" x14ac:dyDescent="0.3">
      <c r="A8" s="278"/>
      <c r="B8" s="82"/>
      <c r="C8" s="279"/>
      <c r="D8" s="278"/>
      <c r="E8" s="82"/>
      <c r="F8" s="279"/>
      <c r="G8" s="278"/>
      <c r="H8" s="82"/>
      <c r="I8" s="279"/>
      <c r="J8" s="278"/>
      <c r="K8" s="82"/>
      <c r="L8" s="279"/>
      <c r="M8" s="278"/>
      <c r="N8" s="82"/>
      <c r="O8" s="279"/>
      <c r="P8" s="278"/>
      <c r="Q8" s="82"/>
      <c r="R8" s="279"/>
      <c r="S8" s="278"/>
      <c r="T8" s="82"/>
      <c r="U8" s="279"/>
    </row>
    <row r="9" spans="1:30" ht="14.4" x14ac:dyDescent="0.3">
      <c r="A9" s="278"/>
      <c r="B9" s="82"/>
      <c r="C9" s="279"/>
      <c r="D9" s="278"/>
      <c r="E9" s="82"/>
      <c r="F9" s="279"/>
      <c r="G9" s="278"/>
      <c r="H9" s="82"/>
      <c r="I9" s="279"/>
      <c r="J9" s="278"/>
      <c r="K9" s="82"/>
      <c r="L9" s="279"/>
      <c r="M9" s="278"/>
      <c r="N9" s="82"/>
      <c r="O9" s="279"/>
      <c r="P9" s="278"/>
      <c r="Q9" s="82"/>
      <c r="R9" s="279"/>
      <c r="S9" s="278"/>
      <c r="T9" s="82"/>
      <c r="U9" s="279"/>
    </row>
    <row r="10" spans="1:30" ht="14.4" x14ac:dyDescent="0.3">
      <c r="A10" s="278"/>
      <c r="B10" s="82"/>
      <c r="C10" s="279"/>
      <c r="D10" s="278"/>
      <c r="E10" s="82"/>
      <c r="F10" s="279"/>
      <c r="G10" s="278"/>
      <c r="H10" s="82"/>
      <c r="I10" s="279"/>
      <c r="J10" s="278"/>
      <c r="K10" s="82"/>
      <c r="L10" s="279"/>
      <c r="M10" s="278"/>
      <c r="N10" s="82"/>
      <c r="O10" s="279"/>
      <c r="P10" s="278"/>
      <c r="Q10" s="82"/>
      <c r="R10" s="279"/>
      <c r="S10" s="278"/>
      <c r="T10" s="82"/>
      <c r="U10" s="279"/>
    </row>
    <row r="11" spans="1:30" ht="14.4" x14ac:dyDescent="0.3">
      <c r="A11" s="278"/>
      <c r="B11" s="82"/>
      <c r="C11" s="279"/>
      <c r="D11" s="278"/>
      <c r="E11" s="82"/>
      <c r="F11" s="279"/>
      <c r="G11" s="278"/>
      <c r="H11" s="82"/>
      <c r="I11" s="279"/>
      <c r="J11" s="278"/>
      <c r="K11" s="82"/>
      <c r="L11" s="279"/>
      <c r="M11" s="278"/>
      <c r="N11" s="82"/>
      <c r="O11" s="279"/>
      <c r="P11" s="278"/>
      <c r="Q11" s="82"/>
      <c r="R11" s="279"/>
      <c r="S11" s="278"/>
      <c r="T11" s="82"/>
      <c r="U11" s="279"/>
    </row>
    <row r="12" spans="1:30" ht="14.4" x14ac:dyDescent="0.3">
      <c r="A12" s="278"/>
      <c r="B12" s="82"/>
      <c r="C12" s="279"/>
      <c r="D12" s="278"/>
      <c r="E12" s="82"/>
      <c r="F12" s="279"/>
      <c r="G12" s="278"/>
      <c r="H12" s="82"/>
      <c r="I12" s="279"/>
      <c r="J12" s="278"/>
      <c r="K12" s="82"/>
      <c r="L12" s="279"/>
      <c r="M12" s="278"/>
      <c r="N12" s="82"/>
      <c r="O12" s="279"/>
      <c r="P12" s="278"/>
      <c r="Q12" s="82"/>
      <c r="R12" s="279"/>
      <c r="S12" s="278"/>
      <c r="T12" s="82"/>
      <c r="U12" s="279"/>
    </row>
    <row r="13" spans="1:30" ht="14.4" x14ac:dyDescent="0.3">
      <c r="A13" s="278"/>
      <c r="B13" s="82"/>
      <c r="C13" s="279"/>
      <c r="D13" s="278"/>
      <c r="E13" s="82"/>
      <c r="F13" s="279"/>
      <c r="G13" s="278"/>
      <c r="H13" s="82"/>
      <c r="I13" s="279"/>
      <c r="J13" s="278"/>
      <c r="K13" s="82"/>
      <c r="L13" s="279"/>
      <c r="M13" s="278"/>
      <c r="N13" s="82"/>
      <c r="O13" s="279"/>
      <c r="P13" s="278"/>
      <c r="Q13" s="82"/>
      <c r="R13" s="279"/>
      <c r="S13" s="278"/>
      <c r="T13" s="82"/>
      <c r="U13" s="279"/>
    </row>
    <row r="14" spans="1:30" ht="14.4" x14ac:dyDescent="0.3">
      <c r="A14" s="278"/>
      <c r="B14" s="82"/>
      <c r="C14" s="279"/>
      <c r="D14" s="278"/>
      <c r="E14" s="82"/>
      <c r="F14" s="279"/>
      <c r="G14" s="278"/>
      <c r="H14" s="82"/>
      <c r="I14" s="279"/>
      <c r="J14" s="278"/>
      <c r="K14" s="82"/>
      <c r="L14" s="279"/>
      <c r="M14" s="278"/>
      <c r="N14" s="82"/>
      <c r="O14" s="279"/>
      <c r="P14" s="278"/>
      <c r="Q14" s="82"/>
      <c r="R14" s="279"/>
      <c r="S14" s="278"/>
      <c r="T14" s="82"/>
      <c r="U14" s="279"/>
    </row>
    <row r="15" spans="1:30" ht="14.4" x14ac:dyDescent="0.3">
      <c r="A15" s="278"/>
      <c r="B15" s="82"/>
      <c r="C15" s="279"/>
      <c r="D15" s="278"/>
      <c r="E15" s="82"/>
      <c r="F15" s="279"/>
      <c r="G15" s="278"/>
      <c r="H15" s="82"/>
      <c r="I15" s="279"/>
      <c r="J15" s="278"/>
      <c r="K15" s="82"/>
      <c r="L15" s="279"/>
      <c r="M15" s="278"/>
      <c r="N15" s="82"/>
      <c r="O15" s="279"/>
      <c r="P15" s="278"/>
      <c r="Q15" s="82"/>
      <c r="R15" s="279"/>
      <c r="S15" s="278"/>
      <c r="T15" s="82"/>
      <c r="U15" s="279"/>
    </row>
    <row r="16" spans="1:30" ht="14.4" x14ac:dyDescent="0.3">
      <c r="A16" s="278"/>
      <c r="B16" s="82"/>
      <c r="C16" s="279"/>
      <c r="D16" s="278"/>
      <c r="E16" s="82"/>
      <c r="F16" s="279"/>
      <c r="G16" s="278"/>
      <c r="H16" s="82"/>
      <c r="I16" s="279"/>
      <c r="J16" s="278"/>
      <c r="K16" s="82"/>
      <c r="L16" s="279"/>
      <c r="M16" s="278"/>
      <c r="N16" s="82"/>
      <c r="O16" s="279"/>
      <c r="P16" s="278"/>
      <c r="Q16" s="82"/>
      <c r="R16" s="279"/>
      <c r="S16" s="278"/>
      <c r="T16" s="82"/>
      <c r="U16" s="279"/>
    </row>
    <row r="17" spans="1:21" ht="14.4" x14ac:dyDescent="0.3">
      <c r="A17" s="278"/>
      <c r="B17" s="82"/>
      <c r="C17" s="279"/>
      <c r="D17" s="278"/>
      <c r="E17" s="82"/>
      <c r="F17" s="279"/>
      <c r="G17" s="278"/>
      <c r="H17" s="82"/>
      <c r="I17" s="279"/>
      <c r="J17" s="278"/>
      <c r="K17" s="82"/>
      <c r="L17" s="279"/>
      <c r="M17" s="278"/>
      <c r="N17" s="82"/>
      <c r="O17" s="279"/>
      <c r="P17" s="278"/>
      <c r="Q17" s="82"/>
      <c r="R17" s="279"/>
      <c r="S17" s="278"/>
      <c r="T17" s="82"/>
      <c r="U17" s="279"/>
    </row>
    <row r="18" spans="1:21" ht="14.4" x14ac:dyDescent="0.3">
      <c r="A18" s="278"/>
      <c r="B18" s="82"/>
      <c r="C18" s="279"/>
      <c r="D18" s="278"/>
      <c r="E18" s="82"/>
      <c r="F18" s="279"/>
      <c r="G18" s="278"/>
      <c r="H18" s="82"/>
      <c r="I18" s="279"/>
      <c r="J18" s="278"/>
      <c r="K18" s="82"/>
      <c r="L18" s="279"/>
      <c r="M18" s="278"/>
      <c r="N18" s="82"/>
      <c r="O18" s="279"/>
      <c r="P18" s="278"/>
      <c r="Q18" s="82"/>
      <c r="R18" s="279"/>
      <c r="S18" s="278"/>
      <c r="T18" s="82"/>
      <c r="U18" s="279"/>
    </row>
    <row r="19" spans="1:21" ht="14.4" x14ac:dyDescent="0.3">
      <c r="A19" s="278"/>
      <c r="B19" s="82"/>
      <c r="C19" s="279"/>
      <c r="D19" s="278"/>
      <c r="E19" s="82"/>
      <c r="F19" s="279"/>
      <c r="G19" s="278"/>
      <c r="H19" s="82"/>
      <c r="I19" s="279"/>
      <c r="J19" s="278"/>
      <c r="K19" s="82"/>
      <c r="L19" s="279"/>
      <c r="M19" s="278"/>
      <c r="N19" s="82"/>
      <c r="O19" s="279"/>
      <c r="P19" s="278"/>
      <c r="Q19" s="82"/>
      <c r="R19" s="279"/>
      <c r="S19" s="278"/>
      <c r="T19" s="82"/>
      <c r="U19" s="279"/>
    </row>
    <row r="20" spans="1:21" ht="14.4" x14ac:dyDescent="0.3">
      <c r="A20" s="280"/>
      <c r="B20" s="281"/>
      <c r="C20" s="282"/>
      <c r="D20" s="280"/>
      <c r="E20" s="281"/>
      <c r="F20" s="282"/>
      <c r="G20" s="280"/>
      <c r="H20" s="281"/>
      <c r="I20" s="282"/>
      <c r="J20" s="280"/>
      <c r="K20" s="281"/>
      <c r="L20" s="282"/>
      <c r="M20" s="280"/>
      <c r="N20" s="281"/>
      <c r="O20" s="282"/>
      <c r="P20" s="280"/>
      <c r="Q20" s="281"/>
      <c r="R20" s="282"/>
      <c r="S20" s="280"/>
      <c r="T20" s="281"/>
      <c r="U20" s="282"/>
    </row>
    <row r="21" spans="1:21" ht="14.25" customHeight="1" x14ac:dyDescent="0.3">
      <c r="B21" s="32"/>
      <c r="E21" s="32"/>
      <c r="H21" s="32"/>
      <c r="K21" s="32"/>
      <c r="N21" s="32"/>
      <c r="Q21" s="32"/>
      <c r="T21" s="32"/>
    </row>
    <row r="22" spans="1:21" ht="14.25" customHeight="1" x14ac:dyDescent="0.3">
      <c r="B22" s="32"/>
      <c r="E22" s="32"/>
      <c r="H22" s="32"/>
      <c r="K22" s="32"/>
      <c r="N22" s="32"/>
      <c r="Q22" s="32"/>
      <c r="T22" s="32"/>
    </row>
    <row r="23" spans="1:21" ht="14.25" customHeight="1" x14ac:dyDescent="0.3">
      <c r="B23" s="32"/>
      <c r="E23" s="32"/>
      <c r="H23" s="32"/>
      <c r="K23" s="32"/>
      <c r="N23" s="32"/>
      <c r="Q23" s="32"/>
      <c r="T23" s="32"/>
    </row>
    <row r="24" spans="1:21" ht="14.25" customHeight="1" x14ac:dyDescent="0.3">
      <c r="B24" s="32"/>
      <c r="E24" s="32"/>
      <c r="H24" s="32"/>
      <c r="K24" s="32"/>
      <c r="N24" s="32"/>
      <c r="Q24" s="32"/>
      <c r="T24" s="32"/>
    </row>
    <row r="25" spans="1:21" ht="14.25" customHeight="1" x14ac:dyDescent="0.3">
      <c r="B25" s="32"/>
      <c r="E25" s="32"/>
      <c r="H25" s="32"/>
      <c r="K25" s="32"/>
      <c r="N25" s="32"/>
      <c r="Q25" s="32"/>
      <c r="T25" s="32"/>
    </row>
    <row r="26" spans="1:21" ht="14.25" customHeight="1" x14ac:dyDescent="0.3">
      <c r="B26" s="32"/>
      <c r="E26" s="32"/>
      <c r="H26" s="32"/>
      <c r="K26" s="32"/>
      <c r="N26" s="32"/>
      <c r="Q26" s="32"/>
      <c r="T26" s="32"/>
    </row>
    <row r="27" spans="1:21" ht="14.25" customHeight="1" x14ac:dyDescent="0.3">
      <c r="B27" s="32"/>
      <c r="E27" s="32"/>
      <c r="H27" s="32"/>
      <c r="K27" s="32"/>
      <c r="N27" s="32"/>
      <c r="Q27" s="32"/>
      <c r="T27" s="32"/>
    </row>
    <row r="28" spans="1:21" ht="14.25" customHeight="1" x14ac:dyDescent="0.3">
      <c r="B28" s="32"/>
      <c r="E28" s="32"/>
      <c r="H28" s="32"/>
      <c r="K28" s="32"/>
      <c r="N28" s="32"/>
      <c r="Q28" s="32"/>
      <c r="T28" s="32"/>
    </row>
    <row r="29" spans="1:21" ht="14.25" customHeight="1" x14ac:dyDescent="0.3">
      <c r="B29" s="32"/>
      <c r="E29" s="32"/>
      <c r="H29" s="32"/>
      <c r="K29" s="32"/>
      <c r="N29" s="32"/>
      <c r="Q29" s="32"/>
      <c r="T29" s="32"/>
    </row>
    <row r="30" spans="1:21" ht="14.25" customHeight="1" x14ac:dyDescent="0.3">
      <c r="B30" s="32"/>
      <c r="E30" s="32"/>
      <c r="H30" s="32"/>
      <c r="K30" s="32"/>
      <c r="N30" s="32"/>
      <c r="Q30" s="32"/>
      <c r="T30" s="32"/>
    </row>
    <row r="31" spans="1:21" ht="14.25" customHeight="1" x14ac:dyDescent="0.3"/>
    <row r="32" spans="1:21" ht="14.25" customHeight="1" x14ac:dyDescent="0.3"/>
    <row r="33" spans="1:6" ht="14.25" customHeight="1" x14ac:dyDescent="0.3"/>
    <row r="34" spans="1:6" ht="14.25" customHeight="1" x14ac:dyDescent="0.3">
      <c r="F34" s="30" t="s">
        <v>846</v>
      </c>
    </row>
    <row r="35" spans="1:6" ht="14.25" customHeight="1" x14ac:dyDescent="0.3">
      <c r="F35" s="30" t="s">
        <v>847</v>
      </c>
    </row>
    <row r="36" spans="1:6" ht="14.25" customHeight="1" x14ac:dyDescent="0.3"/>
    <row r="37" spans="1:6" ht="14.25" customHeight="1" x14ac:dyDescent="0.3"/>
    <row r="38" spans="1:6" ht="14.25" customHeight="1" x14ac:dyDescent="0.3"/>
    <row r="39" spans="1:6" ht="14.25" customHeight="1" x14ac:dyDescent="0.3">
      <c r="B39" s="283" t="s">
        <v>2209</v>
      </c>
      <c r="C39" s="276"/>
      <c r="D39" s="276"/>
      <c r="E39" s="276"/>
      <c r="F39" s="277"/>
    </row>
    <row r="40" spans="1:6" ht="14.25" customHeight="1" x14ac:dyDescent="0.3">
      <c r="B40" s="275" t="s">
        <v>2210</v>
      </c>
      <c r="C40" s="284" t="s">
        <v>2211</v>
      </c>
      <c r="D40" s="284" t="s">
        <v>2212</v>
      </c>
      <c r="E40" s="284" t="s">
        <v>2213</v>
      </c>
      <c r="F40" s="285" t="s">
        <v>2214</v>
      </c>
    </row>
    <row r="41" spans="1:6" ht="14.25" customHeight="1" x14ac:dyDescent="0.3">
      <c r="B41" s="311">
        <v>29.770083356233396</v>
      </c>
      <c r="C41" s="312">
        <v>38.569441224205889</v>
      </c>
      <c r="D41" s="312">
        <v>0.46881592723976806</v>
      </c>
      <c r="E41" s="312">
        <v>0</v>
      </c>
      <c r="F41" s="313">
        <v>1.3629180214709995</v>
      </c>
    </row>
    <row r="42" spans="1:6" ht="14.25" customHeight="1" x14ac:dyDescent="0.3">
      <c r="B42" s="33" t="s">
        <v>848</v>
      </c>
      <c r="C42" s="33" t="s">
        <v>849</v>
      </c>
      <c r="D42" s="33" t="s">
        <v>850</v>
      </c>
      <c r="E42" s="33" t="s">
        <v>851</v>
      </c>
      <c r="F42" s="33" t="s">
        <v>852</v>
      </c>
    </row>
    <row r="43" spans="1:6" ht="14.25" customHeight="1" x14ac:dyDescent="0.3">
      <c r="A43" s="30" t="s">
        <v>853</v>
      </c>
      <c r="B43" s="33" t="str">
        <f t="shared" ref="B43:F43" si="0">B40</f>
        <v>SUM of  % Cumplimiento I trim</v>
      </c>
      <c r="C43" s="33" t="str">
        <f t="shared" si="0"/>
        <v>SUM of  % Cumplimiento II Trim</v>
      </c>
      <c r="D43" s="33" t="str">
        <f t="shared" si="0"/>
        <v>SUM of  % Cumplimiento III Trim</v>
      </c>
      <c r="E43" s="33" t="str">
        <f t="shared" si="0"/>
        <v>SUM of  % Cumplimiento IV Trimestre</v>
      </c>
      <c r="F43" s="33" t="str">
        <f t="shared" si="0"/>
        <v>SUM of  % Cumplimiento total</v>
      </c>
    </row>
    <row r="44" spans="1:6" ht="14.25" customHeight="1" x14ac:dyDescent="0.3">
      <c r="A44" s="30" t="s">
        <v>854</v>
      </c>
      <c r="B44" s="30">
        <v>60</v>
      </c>
      <c r="C44" s="30">
        <v>60</v>
      </c>
      <c r="D44" s="30">
        <v>60</v>
      </c>
      <c r="E44" s="30">
        <v>60</v>
      </c>
      <c r="F44" s="30">
        <v>60</v>
      </c>
    </row>
    <row r="45" spans="1:6" ht="14.25" customHeight="1" x14ac:dyDescent="0.3">
      <c r="A45" s="30" t="s">
        <v>855</v>
      </c>
      <c r="B45" s="30">
        <v>80</v>
      </c>
      <c r="C45" s="30">
        <v>80</v>
      </c>
      <c r="D45" s="30">
        <v>80</v>
      </c>
      <c r="E45" s="30">
        <v>80</v>
      </c>
      <c r="F45" s="30">
        <v>80</v>
      </c>
    </row>
    <row r="46" spans="1:6" ht="14.25" customHeight="1" x14ac:dyDescent="0.3">
      <c r="A46" s="30" t="s">
        <v>856</v>
      </c>
      <c r="B46" s="30">
        <v>100</v>
      </c>
      <c r="C46" s="30">
        <v>100</v>
      </c>
      <c r="D46" s="30">
        <v>100</v>
      </c>
      <c r="E46" s="30">
        <v>100</v>
      </c>
      <c r="F46" s="30">
        <v>100</v>
      </c>
    </row>
    <row r="47" spans="1:6" ht="14.25" customHeight="1" x14ac:dyDescent="0.3">
      <c r="A47" s="30" t="s">
        <v>857</v>
      </c>
      <c r="B47" s="30">
        <v>120</v>
      </c>
      <c r="C47" s="30">
        <v>120</v>
      </c>
      <c r="D47" s="30">
        <v>120</v>
      </c>
      <c r="E47" s="30">
        <v>120</v>
      </c>
      <c r="F47" s="30">
        <v>120</v>
      </c>
    </row>
    <row r="48" spans="1:6" ht="14.25" customHeight="1" x14ac:dyDescent="0.3"/>
    <row r="49" spans="6:6" ht="14.25" customHeight="1" x14ac:dyDescent="0.3"/>
    <row r="50" spans="6:6" ht="14.25" customHeight="1" x14ac:dyDescent="0.3"/>
    <row r="51" spans="6:6" ht="14.25" customHeight="1" x14ac:dyDescent="0.3"/>
    <row r="52" spans="6:6" ht="14.25" customHeight="1" x14ac:dyDescent="0.3"/>
    <row r="53" spans="6:6" ht="14.25" customHeight="1" x14ac:dyDescent="0.3"/>
    <row r="54" spans="6:6" ht="14.25" customHeight="1" x14ac:dyDescent="0.3"/>
    <row r="55" spans="6:6" ht="14.25" customHeight="1" x14ac:dyDescent="0.3"/>
    <row r="56" spans="6:6" ht="14.25" customHeight="1" x14ac:dyDescent="0.3"/>
    <row r="57" spans="6:6" ht="14.25" customHeight="1" x14ac:dyDescent="0.3"/>
    <row r="58" spans="6:6" ht="14.25" customHeight="1" x14ac:dyDescent="0.3"/>
    <row r="59" spans="6:6" ht="14.25" customHeight="1" x14ac:dyDescent="0.3"/>
    <row r="60" spans="6:6" ht="14.25" customHeight="1" x14ac:dyDescent="0.3"/>
    <row r="61" spans="6:6" ht="14.25" customHeight="1" x14ac:dyDescent="0.3"/>
    <row r="62" spans="6:6" ht="14.25" customHeight="1" x14ac:dyDescent="0.3"/>
    <row r="63" spans="6:6" ht="14.25" customHeight="1" x14ac:dyDescent="0.3">
      <c r="F63" s="30" t="s">
        <v>858</v>
      </c>
    </row>
    <row r="64" spans="6:6" ht="14.25" customHeight="1" x14ac:dyDescent="0.3"/>
    <row r="65" spans="1:4" ht="14.25" customHeight="1" x14ac:dyDescent="0.3"/>
    <row r="66" spans="1:4" ht="14.25" customHeight="1" x14ac:dyDescent="0.3">
      <c r="A66" s="283" t="s">
        <v>2209</v>
      </c>
      <c r="B66" s="276"/>
      <c r="C66" s="276"/>
      <c r="D66" s="277"/>
    </row>
    <row r="67" spans="1:4" ht="14.25" customHeight="1" x14ac:dyDescent="0.3">
      <c r="A67" s="275" t="s">
        <v>2215</v>
      </c>
      <c r="B67" s="284" t="s">
        <v>2216</v>
      </c>
      <c r="C67" s="284" t="s">
        <v>2217</v>
      </c>
      <c r="D67" s="285" t="s">
        <v>2218</v>
      </c>
    </row>
    <row r="68" spans="1:4" ht="14.25" customHeight="1" x14ac:dyDescent="0.3">
      <c r="A68" s="311">
        <v>29.770083356233396</v>
      </c>
      <c r="B68" s="312">
        <v>38.569441224205889</v>
      </c>
      <c r="C68" s="312">
        <v>0.46881592723976806</v>
      </c>
      <c r="D68" s="313">
        <v>0</v>
      </c>
    </row>
    <row r="69" spans="1:4" ht="14.25" customHeight="1" x14ac:dyDescent="0.3"/>
    <row r="70" spans="1:4" ht="14.25" customHeight="1" x14ac:dyDescent="0.3"/>
    <row r="71" spans="1:4" ht="14.25" customHeight="1" x14ac:dyDescent="0.3"/>
    <row r="72" spans="1:4" ht="14.25" customHeight="1" x14ac:dyDescent="0.3"/>
    <row r="73" spans="1:4" ht="14.25" customHeight="1" x14ac:dyDescent="0.3"/>
    <row r="74" spans="1:4" ht="14.25" customHeight="1" x14ac:dyDescent="0.3"/>
    <row r="75" spans="1:4" ht="14.25" customHeight="1" x14ac:dyDescent="0.3"/>
    <row r="76" spans="1:4" ht="14.25" customHeight="1" x14ac:dyDescent="0.3"/>
    <row r="77" spans="1:4" ht="14.25" customHeight="1" x14ac:dyDescent="0.3"/>
    <row r="78" spans="1:4" ht="14.25" customHeight="1" x14ac:dyDescent="0.3"/>
    <row r="79" spans="1:4" ht="14.25" customHeight="1" x14ac:dyDescent="0.3"/>
    <row r="80" spans="1:4"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conditionalFormatting sqref="B40:F40">
    <cfRule type="cellIs" dxfId="2" priority="1" operator="equal">
      <formula>0</formula>
    </cfRule>
  </conditionalFormatting>
  <conditionalFormatting sqref="B40:F40">
    <cfRule type="cellIs" dxfId="1" priority="2" operator="greaterThan">
      <formula>0</formula>
    </cfRule>
  </conditionalFormatting>
  <conditionalFormatting sqref="B40:F40">
    <cfRule type="cellIs" dxfId="0" priority="3" operator="greaterThan">
      <formula>80</formula>
    </cfRule>
  </conditionalFormatting>
  <pageMargins left="0.7" right="0.7" top="0.75" bottom="0.75" header="0" footer="0"/>
  <pageSetup orientation="portrait"/>
  <drawing r:id="rId1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dimension ref="A1:C1000"/>
  <sheetViews>
    <sheetView showGridLines="0" workbookViewId="0">
      <selection sqref="A1:C1"/>
    </sheetView>
  </sheetViews>
  <sheetFormatPr baseColWidth="10" defaultColWidth="14.44140625" defaultRowHeight="15" customHeight="1" x14ac:dyDescent="0.3"/>
  <cols>
    <col min="1" max="2" width="11.77734375" customWidth="1"/>
    <col min="3" max="3" width="97.21875" customWidth="1"/>
    <col min="4" max="26" width="10.77734375" customWidth="1"/>
  </cols>
  <sheetData>
    <row r="1" spans="1:3" ht="14.25" customHeight="1" x14ac:dyDescent="0.3">
      <c r="A1" s="307" t="s">
        <v>859</v>
      </c>
      <c r="B1" s="291"/>
      <c r="C1" s="291"/>
    </row>
    <row r="2" spans="1:3" ht="14.25" customHeight="1" x14ac:dyDescent="0.3"/>
    <row r="3" spans="1:3" ht="14.25" customHeight="1" x14ac:dyDescent="0.3">
      <c r="A3" s="34" t="s">
        <v>860</v>
      </c>
      <c r="B3" s="34" t="s">
        <v>861</v>
      </c>
      <c r="C3" s="34" t="s">
        <v>862</v>
      </c>
    </row>
    <row r="4" spans="1:3" ht="14.25" customHeight="1" x14ac:dyDescent="0.3">
      <c r="A4" s="12">
        <v>5</v>
      </c>
      <c r="B4" s="12">
        <v>2</v>
      </c>
      <c r="C4" s="12" t="s">
        <v>863</v>
      </c>
    </row>
    <row r="5" spans="1:3" ht="14.25" customHeight="1" x14ac:dyDescent="0.3">
      <c r="A5" s="12">
        <v>5</v>
      </c>
      <c r="B5" s="12">
        <v>3</v>
      </c>
      <c r="C5" s="12" t="s">
        <v>864</v>
      </c>
    </row>
    <row r="6" spans="1:3" ht="14.25" customHeight="1" x14ac:dyDescent="0.3">
      <c r="A6" s="12">
        <v>5</v>
      </c>
      <c r="B6" s="12">
        <v>6</v>
      </c>
      <c r="C6" s="12" t="s">
        <v>865</v>
      </c>
    </row>
    <row r="7" spans="1:3" ht="14.25" customHeight="1" x14ac:dyDescent="0.3">
      <c r="A7" s="12">
        <v>5</v>
      </c>
      <c r="B7" s="12">
        <v>7</v>
      </c>
      <c r="C7" s="12" t="s">
        <v>866</v>
      </c>
    </row>
    <row r="8" spans="1:3" ht="14.25" customHeight="1" x14ac:dyDescent="0.3">
      <c r="A8" s="12">
        <v>5</v>
      </c>
      <c r="B8" s="12">
        <v>8</v>
      </c>
      <c r="C8" s="12" t="s">
        <v>867</v>
      </c>
    </row>
    <row r="9" spans="1:3" ht="14.25" customHeight="1" x14ac:dyDescent="0.3">
      <c r="A9" s="12">
        <v>5</v>
      </c>
      <c r="B9" s="12">
        <v>9</v>
      </c>
      <c r="C9" s="12" t="s">
        <v>868</v>
      </c>
    </row>
    <row r="10" spans="1:3" ht="14.25" customHeight="1" x14ac:dyDescent="0.3">
      <c r="A10" s="12">
        <v>5</v>
      </c>
      <c r="B10" s="12">
        <v>10</v>
      </c>
      <c r="C10" s="12" t="s">
        <v>869</v>
      </c>
    </row>
    <row r="11" spans="1:3" ht="14.25" customHeight="1" x14ac:dyDescent="0.3">
      <c r="A11" s="12">
        <v>5</v>
      </c>
      <c r="B11" s="12">
        <v>11</v>
      </c>
      <c r="C11" s="12" t="s">
        <v>870</v>
      </c>
    </row>
    <row r="12" spans="1:3" ht="14.25" customHeight="1" x14ac:dyDescent="0.3">
      <c r="A12" s="12">
        <v>5</v>
      </c>
      <c r="B12" s="12">
        <v>12</v>
      </c>
      <c r="C12" s="12" t="s">
        <v>871</v>
      </c>
    </row>
    <row r="13" spans="1:3" ht="14.25" customHeight="1" x14ac:dyDescent="0.3">
      <c r="A13" s="12">
        <v>5</v>
      </c>
      <c r="B13" s="12">
        <v>13</v>
      </c>
      <c r="C13" s="12" t="s">
        <v>872</v>
      </c>
    </row>
    <row r="14" spans="1:3" ht="14.25" customHeight="1" x14ac:dyDescent="0.3">
      <c r="A14" s="12">
        <v>5</v>
      </c>
      <c r="B14" s="12">
        <v>14</v>
      </c>
      <c r="C14" s="12" t="s">
        <v>873</v>
      </c>
    </row>
    <row r="15" spans="1:3" ht="14.25" customHeight="1" x14ac:dyDescent="0.3">
      <c r="A15" s="12">
        <v>5</v>
      </c>
      <c r="B15" s="12">
        <v>15</v>
      </c>
      <c r="C15" s="12" t="s">
        <v>874</v>
      </c>
    </row>
    <row r="16" spans="1:3" ht="14.25" customHeight="1" x14ac:dyDescent="0.3">
      <c r="A16" s="12">
        <v>5</v>
      </c>
      <c r="B16" s="12">
        <v>18</v>
      </c>
      <c r="C16" s="12" t="s">
        <v>875</v>
      </c>
    </row>
    <row r="17" spans="1:3" ht="14.25" customHeight="1" x14ac:dyDescent="0.3">
      <c r="A17" s="12">
        <v>5</v>
      </c>
      <c r="B17" s="12">
        <v>18</v>
      </c>
      <c r="C17" s="12" t="s">
        <v>876</v>
      </c>
    </row>
    <row r="18" spans="1:3" ht="14.25" customHeight="1" x14ac:dyDescent="0.3">
      <c r="A18" s="12">
        <v>5</v>
      </c>
      <c r="B18" s="12">
        <v>19</v>
      </c>
      <c r="C18" s="12" t="s">
        <v>877</v>
      </c>
    </row>
    <row r="19" spans="1:3" ht="14.25" customHeight="1" x14ac:dyDescent="0.3">
      <c r="A19" s="12">
        <v>5</v>
      </c>
      <c r="B19" s="12">
        <v>20</v>
      </c>
      <c r="C19" s="12" t="s">
        <v>878</v>
      </c>
    </row>
    <row r="20" spans="1:3" ht="14.25" customHeight="1" x14ac:dyDescent="0.3">
      <c r="A20" s="12">
        <v>5</v>
      </c>
      <c r="B20" s="12">
        <v>21</v>
      </c>
      <c r="C20" s="12" t="s">
        <v>879</v>
      </c>
    </row>
    <row r="21" spans="1:3" ht="14.25" customHeight="1" x14ac:dyDescent="0.3">
      <c r="A21" s="12">
        <v>5</v>
      </c>
      <c r="B21" s="12">
        <v>23</v>
      </c>
      <c r="C21" s="12" t="s">
        <v>880</v>
      </c>
    </row>
    <row r="22" spans="1:3" ht="14.25" customHeight="1" x14ac:dyDescent="0.3">
      <c r="A22" s="12">
        <v>5</v>
      </c>
      <c r="B22" s="12">
        <v>24</v>
      </c>
      <c r="C22" s="12" t="s">
        <v>881</v>
      </c>
    </row>
    <row r="23" spans="1:3" ht="14.25" customHeight="1" x14ac:dyDescent="0.3">
      <c r="A23" s="12">
        <v>5</v>
      </c>
      <c r="B23" s="12">
        <v>26</v>
      </c>
      <c r="C23" s="12" t="s">
        <v>882</v>
      </c>
    </row>
    <row r="24" spans="1:3" ht="14.25" customHeight="1" x14ac:dyDescent="0.3">
      <c r="A24" s="12">
        <v>5</v>
      </c>
      <c r="B24" s="12">
        <v>27</v>
      </c>
      <c r="C24" s="12" t="s">
        <v>883</v>
      </c>
    </row>
    <row r="25" spans="1:3" ht="14.25" customHeight="1" x14ac:dyDescent="0.3">
      <c r="A25" s="12">
        <v>5</v>
      </c>
      <c r="B25" s="12">
        <v>29</v>
      </c>
      <c r="C25" s="12" t="s">
        <v>884</v>
      </c>
    </row>
    <row r="26" spans="1:3" ht="14.25" customHeight="1" x14ac:dyDescent="0.3">
      <c r="A26" s="12">
        <v>5</v>
      </c>
      <c r="B26" s="12">
        <v>30</v>
      </c>
      <c r="C26" s="12" t="s">
        <v>885</v>
      </c>
    </row>
    <row r="27" spans="1:3" ht="14.25" customHeight="1" x14ac:dyDescent="0.3">
      <c r="A27" s="12">
        <v>5</v>
      </c>
      <c r="B27" s="12">
        <v>29</v>
      </c>
      <c r="C27" s="12" t="s">
        <v>886</v>
      </c>
    </row>
    <row r="28" spans="1:3" ht="14.25" customHeight="1" x14ac:dyDescent="0.3">
      <c r="A28" s="12">
        <v>5</v>
      </c>
      <c r="B28" s="12">
        <v>35</v>
      </c>
      <c r="C28" s="12" t="s">
        <v>887</v>
      </c>
    </row>
    <row r="29" spans="1:3" ht="14.25" customHeight="1" x14ac:dyDescent="0.3">
      <c r="A29" s="12">
        <v>5</v>
      </c>
      <c r="B29" s="12">
        <v>36</v>
      </c>
      <c r="C29" s="12" t="s">
        <v>888</v>
      </c>
    </row>
    <row r="30" spans="1:3" ht="14.25" customHeight="1" x14ac:dyDescent="0.3">
      <c r="A30" s="12">
        <v>5</v>
      </c>
      <c r="B30" s="12">
        <v>36</v>
      </c>
      <c r="C30" s="12" t="s">
        <v>889</v>
      </c>
    </row>
    <row r="31" spans="1:3" ht="14.25" customHeight="1" x14ac:dyDescent="0.3">
      <c r="A31" s="12">
        <v>5</v>
      </c>
      <c r="B31" s="12">
        <v>37</v>
      </c>
      <c r="C31" s="12" t="s">
        <v>890</v>
      </c>
    </row>
    <row r="32" spans="1:3" ht="14.25" customHeight="1" x14ac:dyDescent="0.3">
      <c r="A32" s="12">
        <v>5</v>
      </c>
      <c r="B32" s="12">
        <v>38</v>
      </c>
      <c r="C32" s="12" t="s">
        <v>891</v>
      </c>
    </row>
    <row r="33" spans="1:3" ht="14.25" customHeight="1" x14ac:dyDescent="0.3">
      <c r="A33" s="12">
        <v>5</v>
      </c>
      <c r="B33" s="12">
        <v>40</v>
      </c>
      <c r="C33" s="12" t="s">
        <v>892</v>
      </c>
    </row>
    <row r="34" spans="1:3" ht="14.25" customHeight="1" x14ac:dyDescent="0.3">
      <c r="A34" s="12">
        <v>5</v>
      </c>
      <c r="B34" s="12">
        <v>41</v>
      </c>
      <c r="C34" s="12" t="s">
        <v>893</v>
      </c>
    </row>
    <row r="35" spans="1:3" ht="14.25" customHeight="1" x14ac:dyDescent="0.3">
      <c r="A35" s="12">
        <v>5</v>
      </c>
      <c r="B35" s="12">
        <v>42</v>
      </c>
      <c r="C35" s="12" t="s">
        <v>894</v>
      </c>
    </row>
    <row r="36" spans="1:3" ht="14.25" customHeight="1" x14ac:dyDescent="0.3">
      <c r="A36" s="12">
        <v>5</v>
      </c>
      <c r="B36" s="12">
        <v>43</v>
      </c>
      <c r="C36" s="12" t="s">
        <v>895</v>
      </c>
    </row>
    <row r="37" spans="1:3" ht="14.25" customHeight="1" x14ac:dyDescent="0.3">
      <c r="A37" s="12">
        <v>5</v>
      </c>
      <c r="B37" s="12">
        <v>44</v>
      </c>
      <c r="C37" s="12" t="s">
        <v>896</v>
      </c>
    </row>
    <row r="38" spans="1:3" ht="14.25" customHeight="1" x14ac:dyDescent="0.3">
      <c r="A38" s="12">
        <v>5</v>
      </c>
      <c r="B38" s="12">
        <v>45</v>
      </c>
      <c r="C38" s="12" t="s">
        <v>897</v>
      </c>
    </row>
    <row r="39" spans="1:3" ht="14.25" customHeight="1" x14ac:dyDescent="0.3">
      <c r="A39" s="12">
        <v>5</v>
      </c>
      <c r="B39" s="12">
        <v>46</v>
      </c>
      <c r="C39" s="12" t="s">
        <v>898</v>
      </c>
    </row>
    <row r="40" spans="1:3" ht="14.25" customHeight="1" x14ac:dyDescent="0.3">
      <c r="A40" s="12">
        <v>5</v>
      </c>
      <c r="B40" s="12">
        <v>47</v>
      </c>
      <c r="C40" s="12" t="s">
        <v>899</v>
      </c>
    </row>
    <row r="41" spans="1:3" ht="14.25" customHeight="1" x14ac:dyDescent="0.3">
      <c r="A41" s="12">
        <v>5</v>
      </c>
      <c r="B41" s="12">
        <v>48</v>
      </c>
      <c r="C41" s="12" t="s">
        <v>900</v>
      </c>
    </row>
    <row r="42" spans="1:3" ht="14.25" customHeight="1" x14ac:dyDescent="0.3">
      <c r="A42" s="12"/>
      <c r="B42" s="12"/>
      <c r="C42" s="12"/>
    </row>
    <row r="43" spans="1:3" ht="14.25" customHeight="1" x14ac:dyDescent="0.3">
      <c r="A43" s="12"/>
      <c r="B43" s="12"/>
      <c r="C43" s="12"/>
    </row>
    <row r="44" spans="1:3" ht="14.25" customHeight="1" x14ac:dyDescent="0.3">
      <c r="A44" s="12"/>
      <c r="B44" s="12"/>
      <c r="C44" s="12"/>
    </row>
    <row r="45" spans="1:3" ht="14.25" customHeight="1" x14ac:dyDescent="0.3">
      <c r="A45" s="12"/>
      <c r="B45" s="12"/>
      <c r="C45" s="12"/>
    </row>
    <row r="46" spans="1:3" ht="14.25" customHeight="1" x14ac:dyDescent="0.3">
      <c r="A46" s="12"/>
      <c r="B46" s="12"/>
      <c r="C46" s="12"/>
    </row>
    <row r="47" spans="1:3" ht="14.25" customHeight="1" x14ac:dyDescent="0.3">
      <c r="A47" s="12"/>
      <c r="B47" s="12"/>
      <c r="C47" s="12"/>
    </row>
    <row r="48" spans="1:3" ht="14.25" customHeight="1" x14ac:dyDescent="0.3">
      <c r="A48" s="12"/>
      <c r="B48" s="12"/>
      <c r="C48" s="12"/>
    </row>
    <row r="49" spans="1:3" ht="14.25" customHeight="1" x14ac:dyDescent="0.3">
      <c r="A49" s="12"/>
      <c r="B49" s="12"/>
      <c r="C49" s="12"/>
    </row>
    <row r="50" spans="1:3" ht="14.25" customHeight="1" x14ac:dyDescent="0.3">
      <c r="A50" s="12"/>
      <c r="B50" s="12"/>
      <c r="C50" s="12"/>
    </row>
    <row r="51" spans="1:3" ht="14.25" customHeight="1" x14ac:dyDescent="0.3">
      <c r="A51" s="12"/>
      <c r="B51" s="12"/>
      <c r="C51" s="12"/>
    </row>
    <row r="52" spans="1:3" ht="14.25" customHeight="1" x14ac:dyDescent="0.3">
      <c r="A52" s="12"/>
      <c r="B52" s="12"/>
      <c r="C52" s="12"/>
    </row>
    <row r="53" spans="1:3" ht="14.25" customHeight="1" x14ac:dyDescent="0.3">
      <c r="A53" s="12"/>
      <c r="B53" s="12"/>
      <c r="C53" s="12"/>
    </row>
    <row r="54" spans="1:3" ht="14.25" customHeight="1" x14ac:dyDescent="0.3">
      <c r="A54" s="12"/>
      <c r="B54" s="12"/>
      <c r="C54" s="12"/>
    </row>
    <row r="55" spans="1:3" ht="14.25" customHeight="1" x14ac:dyDescent="0.3">
      <c r="A55" s="12"/>
      <c r="B55" s="12"/>
      <c r="C55" s="12"/>
    </row>
    <row r="56" spans="1:3" ht="14.25" customHeight="1" x14ac:dyDescent="0.3">
      <c r="A56" s="12"/>
      <c r="B56" s="12"/>
      <c r="C56" s="12"/>
    </row>
    <row r="57" spans="1:3" ht="14.25" customHeight="1" x14ac:dyDescent="0.3">
      <c r="A57" s="12"/>
      <c r="B57" s="12"/>
      <c r="C57" s="12"/>
    </row>
    <row r="58" spans="1:3" ht="14.25" customHeight="1" x14ac:dyDescent="0.3">
      <c r="A58" s="12"/>
      <c r="B58" s="12"/>
      <c r="C58" s="12"/>
    </row>
    <row r="59" spans="1:3" ht="14.25" customHeight="1" x14ac:dyDescent="0.3">
      <c r="A59" s="12"/>
      <c r="B59" s="12"/>
      <c r="C59" s="12"/>
    </row>
    <row r="60" spans="1:3" ht="14.25" customHeight="1" x14ac:dyDescent="0.3">
      <c r="A60" s="12"/>
      <c r="B60" s="12"/>
      <c r="C60" s="12"/>
    </row>
    <row r="61" spans="1:3" ht="14.25" customHeight="1" x14ac:dyDescent="0.3">
      <c r="A61" s="12"/>
      <c r="B61" s="12"/>
      <c r="C61" s="12"/>
    </row>
    <row r="62" spans="1:3" ht="14.25" customHeight="1" x14ac:dyDescent="0.3">
      <c r="A62" s="12"/>
      <c r="B62" s="12"/>
      <c r="C62" s="12"/>
    </row>
    <row r="63" spans="1:3" ht="14.25" customHeight="1" x14ac:dyDescent="0.3">
      <c r="A63" s="12"/>
      <c r="B63" s="12"/>
      <c r="C63" s="12"/>
    </row>
    <row r="64" spans="1:3" ht="14.25" customHeight="1" x14ac:dyDescent="0.3">
      <c r="A64" s="12"/>
      <c r="B64" s="12"/>
      <c r="C64" s="12"/>
    </row>
    <row r="65" spans="1:3" ht="14.25" customHeight="1" x14ac:dyDescent="0.3">
      <c r="A65" s="12"/>
      <c r="B65" s="12"/>
      <c r="C65" s="12"/>
    </row>
    <row r="66" spans="1:3" ht="14.25" customHeight="1" x14ac:dyDescent="0.3">
      <c r="A66" s="12"/>
      <c r="B66" s="12"/>
      <c r="C66" s="12"/>
    </row>
    <row r="67" spans="1:3" ht="14.25" customHeight="1" x14ac:dyDescent="0.3">
      <c r="A67" s="12"/>
      <c r="B67" s="12"/>
      <c r="C67" s="12"/>
    </row>
    <row r="68" spans="1:3" ht="14.25" customHeight="1" x14ac:dyDescent="0.3">
      <c r="A68" s="12"/>
      <c r="B68" s="12"/>
      <c r="C68" s="12"/>
    </row>
    <row r="69" spans="1:3" ht="14.25" customHeight="1" x14ac:dyDescent="0.3">
      <c r="A69" s="12"/>
      <c r="B69" s="12"/>
      <c r="C69" s="12"/>
    </row>
    <row r="70" spans="1:3" ht="14.25" customHeight="1" x14ac:dyDescent="0.3">
      <c r="A70" s="12"/>
      <c r="B70" s="12"/>
      <c r="C70" s="12"/>
    </row>
    <row r="71" spans="1:3" ht="14.25" customHeight="1" x14ac:dyDescent="0.3">
      <c r="A71" s="12"/>
      <c r="B71" s="12"/>
      <c r="C71" s="12"/>
    </row>
    <row r="72" spans="1:3" ht="14.25" customHeight="1" x14ac:dyDescent="0.3">
      <c r="A72" s="12"/>
      <c r="B72" s="12"/>
      <c r="C72" s="12"/>
    </row>
    <row r="73" spans="1:3" ht="14.25" customHeight="1" x14ac:dyDescent="0.3">
      <c r="A73" s="12"/>
      <c r="B73" s="12"/>
      <c r="C73" s="12"/>
    </row>
    <row r="74" spans="1:3" ht="14.25" customHeight="1" x14ac:dyDescent="0.3">
      <c r="A74" s="12"/>
      <c r="B74" s="12"/>
      <c r="C74" s="12"/>
    </row>
    <row r="75" spans="1:3" ht="14.25" customHeight="1" x14ac:dyDescent="0.3">
      <c r="A75" s="12"/>
      <c r="B75" s="12"/>
      <c r="C75" s="12"/>
    </row>
    <row r="76" spans="1:3" ht="14.25" customHeight="1" x14ac:dyDescent="0.3">
      <c r="A76" s="12"/>
      <c r="B76" s="12"/>
      <c r="C76" s="12"/>
    </row>
    <row r="77" spans="1:3" ht="14.25" customHeight="1" x14ac:dyDescent="0.3">
      <c r="A77" s="12"/>
      <c r="B77" s="12"/>
      <c r="C77" s="12"/>
    </row>
    <row r="78" spans="1:3" ht="14.25" customHeight="1" x14ac:dyDescent="0.3">
      <c r="A78" s="12"/>
      <c r="B78" s="12"/>
      <c r="C78" s="12"/>
    </row>
    <row r="79" spans="1:3" ht="14.25" customHeight="1" x14ac:dyDescent="0.3">
      <c r="A79" s="12"/>
      <c r="B79" s="12"/>
      <c r="C79" s="12"/>
    </row>
    <row r="80" spans="1:3" ht="14.25" customHeight="1" x14ac:dyDescent="0.3">
      <c r="A80" s="12"/>
      <c r="B80" s="12"/>
      <c r="C80" s="12"/>
    </row>
    <row r="81" spans="1:3" ht="14.25" customHeight="1" x14ac:dyDescent="0.3">
      <c r="A81" s="12"/>
      <c r="B81" s="12"/>
      <c r="C81" s="12"/>
    </row>
    <row r="82" spans="1:3" ht="14.25" customHeight="1" x14ac:dyDescent="0.3">
      <c r="A82" s="12"/>
      <c r="B82" s="12"/>
      <c r="C82" s="12"/>
    </row>
    <row r="83" spans="1:3" ht="14.25" customHeight="1" x14ac:dyDescent="0.3">
      <c r="A83" s="12"/>
      <c r="B83" s="12"/>
      <c r="C83" s="12"/>
    </row>
    <row r="84" spans="1:3" ht="14.25" customHeight="1" x14ac:dyDescent="0.3">
      <c r="A84" s="12"/>
      <c r="B84" s="12"/>
      <c r="C84" s="12"/>
    </row>
    <row r="85" spans="1:3" ht="14.25" customHeight="1" x14ac:dyDescent="0.3">
      <c r="A85" s="12"/>
      <c r="B85" s="12"/>
      <c r="C85" s="12"/>
    </row>
    <row r="86" spans="1:3" ht="14.25" customHeight="1" x14ac:dyDescent="0.3">
      <c r="A86" s="12"/>
      <c r="B86" s="12"/>
      <c r="C86" s="12"/>
    </row>
    <row r="87" spans="1:3" ht="14.25" customHeight="1" x14ac:dyDescent="0.3">
      <c r="A87" s="12"/>
      <c r="B87" s="12"/>
      <c r="C87" s="12"/>
    </row>
    <row r="88" spans="1:3" ht="14.25" customHeight="1" x14ac:dyDescent="0.3">
      <c r="A88" s="12"/>
      <c r="B88" s="12"/>
      <c r="C88" s="12"/>
    </row>
    <row r="89" spans="1:3" ht="14.25" customHeight="1" x14ac:dyDescent="0.3">
      <c r="A89" s="12"/>
      <c r="B89" s="12"/>
      <c r="C89" s="12"/>
    </row>
    <row r="90" spans="1:3" ht="14.25" customHeight="1" x14ac:dyDescent="0.3">
      <c r="A90" s="12"/>
      <c r="B90" s="12"/>
      <c r="C90" s="12"/>
    </row>
    <row r="91" spans="1:3" ht="14.25" customHeight="1" x14ac:dyDescent="0.3">
      <c r="A91" s="12"/>
      <c r="B91" s="12"/>
      <c r="C91" s="12"/>
    </row>
    <row r="92" spans="1:3" ht="14.25" customHeight="1" x14ac:dyDescent="0.3">
      <c r="A92" s="12"/>
      <c r="B92" s="12"/>
      <c r="C92" s="12"/>
    </row>
    <row r="93" spans="1:3" ht="14.25" customHeight="1" x14ac:dyDescent="0.3">
      <c r="A93" s="12"/>
      <c r="B93" s="12"/>
      <c r="C93" s="12"/>
    </row>
    <row r="94" spans="1:3" ht="14.25" customHeight="1" x14ac:dyDescent="0.3">
      <c r="A94" s="12"/>
      <c r="B94" s="12"/>
      <c r="C94" s="12"/>
    </row>
    <row r="95" spans="1:3" ht="14.25" customHeight="1" x14ac:dyDescent="0.3">
      <c r="A95" s="12"/>
      <c r="B95" s="12"/>
      <c r="C95" s="12"/>
    </row>
    <row r="96" spans="1:3" ht="14.25" customHeight="1" x14ac:dyDescent="0.3">
      <c r="A96" s="12"/>
      <c r="B96" s="12"/>
      <c r="C96" s="12"/>
    </row>
    <row r="97" spans="1:3" ht="14.25" customHeight="1" x14ac:dyDescent="0.3">
      <c r="A97" s="12"/>
      <c r="B97" s="12"/>
      <c r="C97" s="12"/>
    </row>
    <row r="98" spans="1:3" ht="14.25" customHeight="1" x14ac:dyDescent="0.3">
      <c r="A98" s="12"/>
      <c r="B98" s="12"/>
      <c r="C98" s="12"/>
    </row>
    <row r="99" spans="1:3" ht="14.25" customHeight="1" x14ac:dyDescent="0.3">
      <c r="A99" s="12"/>
      <c r="B99" s="12"/>
      <c r="C99" s="12"/>
    </row>
    <row r="100" spans="1:3" ht="14.25" customHeight="1" x14ac:dyDescent="0.3">
      <c r="A100" s="12"/>
      <c r="B100" s="12"/>
      <c r="C100" s="12"/>
    </row>
    <row r="101" spans="1:3" ht="14.25" customHeight="1" x14ac:dyDescent="0.3">
      <c r="A101" s="12"/>
      <c r="B101" s="12"/>
      <c r="C101" s="12"/>
    </row>
    <row r="102" spans="1:3" ht="14.25" customHeight="1" x14ac:dyDescent="0.3">
      <c r="A102" s="12"/>
      <c r="B102" s="12"/>
      <c r="C102" s="12"/>
    </row>
    <row r="103" spans="1:3" ht="14.25" customHeight="1" x14ac:dyDescent="0.3">
      <c r="A103" s="12"/>
      <c r="B103" s="12"/>
      <c r="C103" s="12"/>
    </row>
    <row r="104" spans="1:3" ht="14.25" customHeight="1" x14ac:dyDescent="0.3">
      <c r="A104" s="12"/>
      <c r="B104" s="12"/>
      <c r="C104" s="12"/>
    </row>
    <row r="105" spans="1:3" ht="14.25" customHeight="1" x14ac:dyDescent="0.3">
      <c r="A105" s="12"/>
      <c r="B105" s="12"/>
      <c r="C105" s="12"/>
    </row>
    <row r="106" spans="1:3" ht="14.25" customHeight="1" x14ac:dyDescent="0.3">
      <c r="A106" s="12"/>
      <c r="B106" s="12"/>
      <c r="C106" s="12"/>
    </row>
    <row r="107" spans="1:3" ht="14.25" customHeight="1" x14ac:dyDescent="0.3">
      <c r="A107" s="12"/>
      <c r="B107" s="12"/>
      <c r="C107" s="12"/>
    </row>
    <row r="108" spans="1:3" ht="14.25" customHeight="1" x14ac:dyDescent="0.3">
      <c r="A108" s="12"/>
      <c r="B108" s="12"/>
      <c r="C108" s="12"/>
    </row>
    <row r="109" spans="1:3" ht="14.25" customHeight="1" x14ac:dyDescent="0.3">
      <c r="A109" s="12"/>
      <c r="B109" s="12"/>
      <c r="C109" s="12"/>
    </row>
    <row r="110" spans="1:3" ht="14.25" customHeight="1" x14ac:dyDescent="0.3">
      <c r="A110" s="12"/>
      <c r="B110" s="12"/>
      <c r="C110" s="12"/>
    </row>
    <row r="111" spans="1:3" ht="14.25" customHeight="1" x14ac:dyDescent="0.3">
      <c r="A111" s="12"/>
      <c r="B111" s="12"/>
      <c r="C111" s="12"/>
    </row>
    <row r="112" spans="1:3" ht="14.25" customHeight="1" x14ac:dyDescent="0.3">
      <c r="A112" s="12"/>
      <c r="B112" s="12"/>
      <c r="C112" s="12"/>
    </row>
    <row r="113" spans="1:3" ht="14.25" customHeight="1" x14ac:dyDescent="0.3">
      <c r="A113" s="12"/>
      <c r="B113" s="12"/>
      <c r="C113" s="12"/>
    </row>
    <row r="114" spans="1:3" ht="14.25" customHeight="1" x14ac:dyDescent="0.3">
      <c r="A114" s="12"/>
      <c r="B114" s="12"/>
      <c r="C114" s="12"/>
    </row>
    <row r="115" spans="1:3" ht="14.25" customHeight="1" x14ac:dyDescent="0.3">
      <c r="A115" s="12"/>
      <c r="B115" s="12"/>
      <c r="C115" s="12"/>
    </row>
    <row r="116" spans="1:3" ht="14.25" customHeight="1" x14ac:dyDescent="0.3">
      <c r="A116" s="12"/>
      <c r="B116" s="12"/>
      <c r="C116" s="12"/>
    </row>
    <row r="117" spans="1:3" ht="14.25" customHeight="1" x14ac:dyDescent="0.3">
      <c r="A117" s="12"/>
      <c r="B117" s="12"/>
      <c r="C117" s="12"/>
    </row>
    <row r="118" spans="1:3" ht="14.25" customHeight="1" x14ac:dyDescent="0.3">
      <c r="A118" s="12"/>
      <c r="B118" s="12"/>
      <c r="C118" s="12"/>
    </row>
    <row r="119" spans="1:3" ht="14.25" customHeight="1" x14ac:dyDescent="0.3">
      <c r="A119" s="12"/>
      <c r="B119" s="12"/>
      <c r="C119" s="12"/>
    </row>
    <row r="120" spans="1:3" ht="14.25" customHeight="1" x14ac:dyDescent="0.3">
      <c r="A120" s="12"/>
      <c r="B120" s="12"/>
      <c r="C120" s="12"/>
    </row>
    <row r="121" spans="1:3" ht="14.25" customHeight="1" x14ac:dyDescent="0.3">
      <c r="A121" s="12"/>
      <c r="B121" s="12"/>
      <c r="C121" s="12"/>
    </row>
    <row r="122" spans="1:3" ht="14.25" customHeight="1" x14ac:dyDescent="0.3">
      <c r="A122" s="12"/>
      <c r="B122" s="12"/>
      <c r="C122" s="12"/>
    </row>
    <row r="123" spans="1:3" ht="14.25" customHeight="1" x14ac:dyDescent="0.3">
      <c r="A123" s="12"/>
      <c r="B123" s="12"/>
      <c r="C123" s="12"/>
    </row>
    <row r="124" spans="1:3" ht="14.25" customHeight="1" x14ac:dyDescent="0.3">
      <c r="A124" s="12"/>
      <c r="B124" s="12"/>
      <c r="C124" s="12"/>
    </row>
    <row r="125" spans="1:3" ht="14.25" customHeight="1" x14ac:dyDescent="0.3">
      <c r="A125" s="12"/>
      <c r="B125" s="12"/>
      <c r="C125" s="12"/>
    </row>
    <row r="126" spans="1:3" ht="14.25" customHeight="1" x14ac:dyDescent="0.3">
      <c r="A126" s="12"/>
      <c r="B126" s="12"/>
      <c r="C126" s="12"/>
    </row>
    <row r="127" spans="1:3" ht="14.25" customHeight="1" x14ac:dyDescent="0.3">
      <c r="A127" s="12"/>
      <c r="B127" s="12"/>
      <c r="C127" s="12"/>
    </row>
    <row r="128" spans="1:3" ht="14.25" customHeight="1" x14ac:dyDescent="0.3">
      <c r="A128" s="12"/>
      <c r="B128" s="12"/>
      <c r="C128" s="12"/>
    </row>
    <row r="129" spans="1:3" ht="14.25" customHeight="1" x14ac:dyDescent="0.3">
      <c r="A129" s="12"/>
      <c r="B129" s="12"/>
      <c r="C129" s="12"/>
    </row>
    <row r="130" spans="1:3" ht="14.25" customHeight="1" x14ac:dyDescent="0.3">
      <c r="A130" s="12"/>
      <c r="B130" s="12"/>
      <c r="C130" s="12"/>
    </row>
    <row r="131" spans="1:3" ht="14.25" customHeight="1" x14ac:dyDescent="0.3">
      <c r="A131" s="12"/>
      <c r="B131" s="12"/>
      <c r="C131" s="12"/>
    </row>
    <row r="132" spans="1:3" ht="14.25" customHeight="1" x14ac:dyDescent="0.3">
      <c r="A132" s="12"/>
      <c r="B132" s="12"/>
      <c r="C132" s="12"/>
    </row>
    <row r="133" spans="1:3" ht="14.25" customHeight="1" x14ac:dyDescent="0.3">
      <c r="A133" s="12"/>
      <c r="B133" s="12"/>
      <c r="C133" s="12"/>
    </row>
    <row r="134" spans="1:3" ht="14.25" customHeight="1" x14ac:dyDescent="0.3">
      <c r="A134" s="12"/>
      <c r="B134" s="12"/>
      <c r="C134" s="12"/>
    </row>
    <row r="135" spans="1:3" ht="14.25" customHeight="1" x14ac:dyDescent="0.3">
      <c r="A135" s="12"/>
      <c r="B135" s="12"/>
      <c r="C135" s="12"/>
    </row>
    <row r="136" spans="1:3" ht="14.25" customHeight="1" x14ac:dyDescent="0.3">
      <c r="A136" s="12"/>
      <c r="B136" s="12"/>
      <c r="C136" s="12"/>
    </row>
    <row r="137" spans="1:3" ht="14.25" customHeight="1" x14ac:dyDescent="0.3">
      <c r="A137" s="12"/>
      <c r="B137" s="12"/>
      <c r="C137" s="12"/>
    </row>
    <row r="138" spans="1:3" ht="14.25" customHeight="1" x14ac:dyDescent="0.3">
      <c r="A138" s="12"/>
      <c r="B138" s="12"/>
      <c r="C138" s="12"/>
    </row>
    <row r="139" spans="1:3" ht="14.25" customHeight="1" x14ac:dyDescent="0.3">
      <c r="A139" s="12"/>
      <c r="B139" s="12"/>
      <c r="C139" s="12"/>
    </row>
    <row r="140" spans="1:3" ht="14.25" customHeight="1" x14ac:dyDescent="0.3">
      <c r="A140" s="12"/>
      <c r="B140" s="12"/>
      <c r="C140" s="12"/>
    </row>
    <row r="141" spans="1:3" ht="14.25" customHeight="1" x14ac:dyDescent="0.3">
      <c r="A141" s="12"/>
      <c r="B141" s="12"/>
      <c r="C141" s="12"/>
    </row>
    <row r="142" spans="1:3" ht="14.25" customHeight="1" x14ac:dyDescent="0.3">
      <c r="A142" s="12"/>
      <c r="B142" s="12"/>
      <c r="C142" s="12"/>
    </row>
    <row r="143" spans="1:3" ht="14.25" customHeight="1" x14ac:dyDescent="0.3">
      <c r="A143" s="12"/>
      <c r="B143" s="12"/>
      <c r="C143" s="12"/>
    </row>
    <row r="144" spans="1:3" ht="14.25" customHeight="1" x14ac:dyDescent="0.3">
      <c r="A144" s="12"/>
      <c r="B144" s="12"/>
      <c r="C144" s="12"/>
    </row>
    <row r="145" spans="1:3" ht="14.25" customHeight="1" x14ac:dyDescent="0.3">
      <c r="A145" s="12"/>
      <c r="B145" s="12"/>
      <c r="C145" s="12"/>
    </row>
    <row r="146" spans="1:3" ht="14.25" customHeight="1" x14ac:dyDescent="0.3">
      <c r="A146" s="12"/>
      <c r="B146" s="12"/>
      <c r="C146" s="12"/>
    </row>
    <row r="147" spans="1:3" ht="14.25" customHeight="1" x14ac:dyDescent="0.3">
      <c r="A147" s="12"/>
      <c r="B147" s="12"/>
      <c r="C147" s="12"/>
    </row>
    <row r="148" spans="1:3" ht="14.25" customHeight="1" x14ac:dyDescent="0.3">
      <c r="A148" s="12"/>
      <c r="B148" s="12"/>
      <c r="C148" s="12"/>
    </row>
    <row r="149" spans="1:3" ht="14.25" customHeight="1" x14ac:dyDescent="0.3">
      <c r="A149" s="12"/>
      <c r="B149" s="12"/>
      <c r="C149" s="12"/>
    </row>
    <row r="150" spans="1:3" ht="14.25" customHeight="1" x14ac:dyDescent="0.3">
      <c r="A150" s="12"/>
      <c r="B150" s="12"/>
      <c r="C150" s="12"/>
    </row>
    <row r="151" spans="1:3" ht="14.25" customHeight="1" x14ac:dyDescent="0.3">
      <c r="A151" s="12"/>
      <c r="B151" s="12"/>
      <c r="C151" s="12"/>
    </row>
    <row r="152" spans="1:3" ht="14.25" customHeight="1" x14ac:dyDescent="0.3">
      <c r="A152" s="12"/>
      <c r="B152" s="12"/>
      <c r="C152" s="12"/>
    </row>
    <row r="153" spans="1:3" ht="14.25" customHeight="1" x14ac:dyDescent="0.3">
      <c r="A153" s="12"/>
      <c r="B153" s="12"/>
      <c r="C153" s="12"/>
    </row>
    <row r="154" spans="1:3" ht="14.25" customHeight="1" x14ac:dyDescent="0.3">
      <c r="A154" s="12"/>
      <c r="B154" s="12"/>
      <c r="C154" s="12"/>
    </row>
    <row r="155" spans="1:3" ht="14.25" customHeight="1" x14ac:dyDescent="0.3">
      <c r="A155" s="12"/>
      <c r="B155" s="12"/>
      <c r="C155" s="12"/>
    </row>
    <row r="156" spans="1:3" ht="14.25" customHeight="1" x14ac:dyDescent="0.3">
      <c r="A156" s="12"/>
      <c r="B156" s="12"/>
      <c r="C156" s="12"/>
    </row>
    <row r="157" spans="1:3" ht="14.25" customHeight="1" x14ac:dyDescent="0.3">
      <c r="A157" s="12"/>
      <c r="B157" s="12"/>
      <c r="C157" s="12"/>
    </row>
    <row r="158" spans="1:3" ht="14.25" customHeight="1" x14ac:dyDescent="0.3">
      <c r="A158" s="12"/>
      <c r="B158" s="12"/>
      <c r="C158" s="12"/>
    </row>
    <row r="159" spans="1:3" ht="14.25" customHeight="1" x14ac:dyDescent="0.3">
      <c r="A159" s="12"/>
      <c r="B159" s="12"/>
      <c r="C159" s="12"/>
    </row>
    <row r="160" spans="1:3" ht="14.25" customHeight="1" x14ac:dyDescent="0.3">
      <c r="A160" s="12"/>
      <c r="B160" s="12"/>
      <c r="C160" s="12"/>
    </row>
    <row r="161" spans="1:3" ht="14.25" customHeight="1" x14ac:dyDescent="0.3">
      <c r="A161" s="12"/>
      <c r="B161" s="12"/>
      <c r="C161" s="12"/>
    </row>
    <row r="162" spans="1:3" ht="14.25" customHeight="1" x14ac:dyDescent="0.3">
      <c r="A162" s="12"/>
      <c r="B162" s="12"/>
      <c r="C162" s="12"/>
    </row>
    <row r="163" spans="1:3" ht="14.25" customHeight="1" x14ac:dyDescent="0.3">
      <c r="A163" s="12"/>
      <c r="B163" s="12"/>
      <c r="C163" s="12"/>
    </row>
    <row r="164" spans="1:3" ht="14.25" customHeight="1" x14ac:dyDescent="0.3">
      <c r="A164" s="12"/>
      <c r="B164" s="12"/>
      <c r="C164" s="12"/>
    </row>
    <row r="165" spans="1:3" ht="14.25" customHeight="1" x14ac:dyDescent="0.3">
      <c r="A165" s="12"/>
      <c r="B165" s="12"/>
      <c r="C165" s="12"/>
    </row>
    <row r="166" spans="1:3" ht="14.25" customHeight="1" x14ac:dyDescent="0.3">
      <c r="A166" s="12"/>
      <c r="B166" s="12"/>
      <c r="C166" s="12"/>
    </row>
    <row r="167" spans="1:3" ht="14.25" customHeight="1" x14ac:dyDescent="0.3">
      <c r="A167" s="12"/>
      <c r="B167" s="12"/>
      <c r="C167" s="12"/>
    </row>
    <row r="168" spans="1:3" ht="14.25" customHeight="1" x14ac:dyDescent="0.3">
      <c r="A168" s="12"/>
      <c r="B168" s="12"/>
      <c r="C168" s="12"/>
    </row>
    <row r="169" spans="1:3" ht="14.25" customHeight="1" x14ac:dyDescent="0.3">
      <c r="A169" s="12"/>
      <c r="B169" s="12"/>
      <c r="C169" s="12"/>
    </row>
    <row r="170" spans="1:3" ht="14.25" customHeight="1" x14ac:dyDescent="0.3">
      <c r="A170" s="12"/>
      <c r="B170" s="12"/>
      <c r="C170" s="12"/>
    </row>
    <row r="171" spans="1:3" ht="14.25" customHeight="1" x14ac:dyDescent="0.3">
      <c r="A171" s="12"/>
      <c r="B171" s="12"/>
      <c r="C171" s="12"/>
    </row>
    <row r="172" spans="1:3" ht="14.25" customHeight="1" x14ac:dyDescent="0.3">
      <c r="A172" s="12"/>
      <c r="B172" s="12"/>
      <c r="C172" s="12"/>
    </row>
    <row r="173" spans="1:3" ht="14.25" customHeight="1" x14ac:dyDescent="0.3">
      <c r="A173" s="12"/>
      <c r="B173" s="12"/>
      <c r="C173" s="12"/>
    </row>
    <row r="174" spans="1:3" ht="14.25" customHeight="1" x14ac:dyDescent="0.3">
      <c r="A174" s="12"/>
      <c r="B174" s="12"/>
      <c r="C174" s="12"/>
    </row>
    <row r="175" spans="1:3" ht="14.25" customHeight="1" x14ac:dyDescent="0.3">
      <c r="A175" s="12"/>
      <c r="B175" s="12"/>
      <c r="C175" s="12"/>
    </row>
    <row r="176" spans="1:3" ht="14.25" customHeight="1" x14ac:dyDescent="0.3">
      <c r="A176" s="12"/>
      <c r="B176" s="12"/>
      <c r="C176" s="12"/>
    </row>
    <row r="177" spans="1:3" ht="14.25" customHeight="1" x14ac:dyDescent="0.3">
      <c r="A177" s="12"/>
      <c r="B177" s="12"/>
      <c r="C177" s="12"/>
    </row>
    <row r="178" spans="1:3" ht="14.25" customHeight="1" x14ac:dyDescent="0.3">
      <c r="A178" s="12"/>
      <c r="B178" s="12"/>
      <c r="C178" s="12"/>
    </row>
    <row r="179" spans="1:3" ht="14.25" customHeight="1" x14ac:dyDescent="0.3">
      <c r="A179" s="12"/>
      <c r="B179" s="12"/>
      <c r="C179" s="12"/>
    </row>
    <row r="180" spans="1:3" ht="14.25" customHeight="1" x14ac:dyDescent="0.3">
      <c r="A180" s="12"/>
      <c r="B180" s="12"/>
      <c r="C180" s="12"/>
    </row>
    <row r="181" spans="1:3" ht="14.25" customHeight="1" x14ac:dyDescent="0.3">
      <c r="A181" s="12"/>
      <c r="B181" s="12"/>
      <c r="C181" s="12"/>
    </row>
    <row r="182" spans="1:3" ht="14.25" customHeight="1" x14ac:dyDescent="0.3">
      <c r="A182" s="12"/>
      <c r="B182" s="12"/>
      <c r="C182" s="12"/>
    </row>
    <row r="183" spans="1:3" ht="14.25" customHeight="1" x14ac:dyDescent="0.3">
      <c r="A183" s="12"/>
      <c r="B183" s="12"/>
      <c r="C183" s="12"/>
    </row>
    <row r="184" spans="1:3" ht="14.25" customHeight="1" x14ac:dyDescent="0.3">
      <c r="A184" s="12"/>
      <c r="B184" s="12"/>
      <c r="C184" s="12"/>
    </row>
    <row r="185" spans="1:3" ht="14.25" customHeight="1" x14ac:dyDescent="0.3">
      <c r="A185" s="12"/>
      <c r="B185" s="12"/>
      <c r="C185" s="12"/>
    </row>
    <row r="186" spans="1:3" ht="14.25" customHeight="1" x14ac:dyDescent="0.3">
      <c r="A186" s="12"/>
      <c r="B186" s="12"/>
      <c r="C186" s="12"/>
    </row>
    <row r="187" spans="1:3" ht="14.25" customHeight="1" x14ac:dyDescent="0.3">
      <c r="A187" s="12"/>
      <c r="B187" s="12"/>
      <c r="C187" s="12"/>
    </row>
    <row r="188" spans="1:3" ht="14.25" customHeight="1" x14ac:dyDescent="0.3">
      <c r="A188" s="12"/>
      <c r="B188" s="12"/>
      <c r="C188" s="12"/>
    </row>
    <row r="189" spans="1:3" ht="14.25" customHeight="1" x14ac:dyDescent="0.3">
      <c r="A189" s="12"/>
      <c r="B189" s="12"/>
      <c r="C189" s="12"/>
    </row>
    <row r="190" spans="1:3" ht="14.25" customHeight="1" x14ac:dyDescent="0.3">
      <c r="A190" s="12"/>
      <c r="B190" s="12"/>
      <c r="C190" s="12"/>
    </row>
    <row r="191" spans="1:3" ht="14.25" customHeight="1" x14ac:dyDescent="0.3">
      <c r="A191" s="12"/>
      <c r="B191" s="12"/>
      <c r="C191" s="12"/>
    </row>
    <row r="192" spans="1:3" ht="14.25" customHeight="1" x14ac:dyDescent="0.3">
      <c r="A192" s="12"/>
      <c r="B192" s="12"/>
      <c r="C192" s="12"/>
    </row>
    <row r="193" spans="1:3" ht="14.25" customHeight="1" x14ac:dyDescent="0.3">
      <c r="A193" s="12"/>
      <c r="B193" s="12"/>
      <c r="C193" s="12"/>
    </row>
    <row r="194" spans="1:3" ht="14.25" customHeight="1" x14ac:dyDescent="0.3">
      <c r="A194" s="12"/>
      <c r="B194" s="12"/>
      <c r="C194" s="12"/>
    </row>
    <row r="195" spans="1:3" ht="14.25" customHeight="1" x14ac:dyDescent="0.3">
      <c r="A195" s="12"/>
      <c r="B195" s="12"/>
      <c r="C195" s="12"/>
    </row>
    <row r="196" spans="1:3" ht="14.25" customHeight="1" x14ac:dyDescent="0.3">
      <c r="A196" s="12"/>
      <c r="B196" s="12"/>
      <c r="C196" s="12"/>
    </row>
    <row r="197" spans="1:3" ht="14.25" customHeight="1" x14ac:dyDescent="0.3">
      <c r="A197" s="12"/>
      <c r="B197" s="12"/>
      <c r="C197" s="12"/>
    </row>
    <row r="198" spans="1:3" ht="14.25" customHeight="1" x14ac:dyDescent="0.3">
      <c r="A198" s="12"/>
      <c r="B198" s="12"/>
      <c r="C198" s="12"/>
    </row>
    <row r="199" spans="1:3" ht="14.25" customHeight="1" x14ac:dyDescent="0.3">
      <c r="A199" s="12"/>
      <c r="B199" s="12"/>
      <c r="C199" s="12"/>
    </row>
    <row r="200" spans="1:3" ht="14.25" customHeight="1" x14ac:dyDescent="0.3">
      <c r="A200" s="12"/>
      <c r="B200" s="12"/>
      <c r="C200" s="12"/>
    </row>
    <row r="201" spans="1:3" ht="14.25" customHeight="1" x14ac:dyDescent="0.3">
      <c r="A201" s="12"/>
      <c r="B201" s="12"/>
      <c r="C201" s="12"/>
    </row>
    <row r="202" spans="1:3" ht="14.25" customHeight="1" x14ac:dyDescent="0.3">
      <c r="A202" s="12"/>
      <c r="B202" s="12"/>
      <c r="C202" s="12"/>
    </row>
    <row r="203" spans="1:3" ht="14.25" customHeight="1" x14ac:dyDescent="0.3">
      <c r="A203" s="12"/>
      <c r="B203" s="12"/>
      <c r="C203" s="12"/>
    </row>
    <row r="204" spans="1:3" ht="14.25" customHeight="1" x14ac:dyDescent="0.3">
      <c r="A204" s="12"/>
      <c r="B204" s="12"/>
      <c r="C204" s="12"/>
    </row>
    <row r="205" spans="1:3" ht="14.25" customHeight="1" x14ac:dyDescent="0.3">
      <c r="A205" s="12"/>
      <c r="B205" s="12"/>
      <c r="C205" s="12"/>
    </row>
    <row r="206" spans="1:3" ht="14.25" customHeight="1" x14ac:dyDescent="0.3">
      <c r="A206" s="12"/>
      <c r="B206" s="12"/>
      <c r="C206" s="12"/>
    </row>
    <row r="207" spans="1:3" ht="14.25" customHeight="1" x14ac:dyDescent="0.3">
      <c r="A207" s="12"/>
      <c r="B207" s="12"/>
      <c r="C207" s="12"/>
    </row>
    <row r="208" spans="1:3" ht="14.25" customHeight="1" x14ac:dyDescent="0.3">
      <c r="A208" s="12"/>
      <c r="B208" s="12"/>
      <c r="C208" s="12"/>
    </row>
    <row r="209" spans="1:3" ht="14.25" customHeight="1" x14ac:dyDescent="0.3">
      <c r="A209" s="12"/>
      <c r="B209" s="12"/>
      <c r="C209" s="12"/>
    </row>
    <row r="210" spans="1:3" ht="14.25" customHeight="1" x14ac:dyDescent="0.3">
      <c r="A210" s="12"/>
      <c r="B210" s="12"/>
      <c r="C210" s="12"/>
    </row>
    <row r="211" spans="1:3" ht="14.25" customHeight="1" x14ac:dyDescent="0.3">
      <c r="A211" s="12"/>
      <c r="B211" s="12"/>
      <c r="C211" s="12"/>
    </row>
    <row r="212" spans="1:3" ht="14.25" customHeight="1" x14ac:dyDescent="0.3">
      <c r="A212" s="12"/>
      <c r="B212" s="12"/>
      <c r="C212" s="12"/>
    </row>
    <row r="213" spans="1:3" ht="14.25" customHeight="1" x14ac:dyDescent="0.3">
      <c r="A213" s="12"/>
      <c r="B213" s="12"/>
      <c r="C213" s="12"/>
    </row>
    <row r="214" spans="1:3" ht="14.25" customHeight="1" x14ac:dyDescent="0.3">
      <c r="A214" s="12"/>
      <c r="B214" s="12"/>
      <c r="C214" s="12"/>
    </row>
    <row r="215" spans="1:3" ht="14.25" customHeight="1" x14ac:dyDescent="0.3">
      <c r="A215" s="12"/>
      <c r="B215" s="12"/>
      <c r="C215" s="12"/>
    </row>
    <row r="216" spans="1:3" ht="14.25" customHeight="1" x14ac:dyDescent="0.3">
      <c r="A216" s="12"/>
      <c r="B216" s="12"/>
      <c r="C216" s="12"/>
    </row>
    <row r="217" spans="1:3" ht="14.25" customHeight="1" x14ac:dyDescent="0.3">
      <c r="A217" s="12"/>
      <c r="B217" s="12"/>
      <c r="C217" s="12"/>
    </row>
    <row r="218" spans="1:3" ht="14.25" customHeight="1" x14ac:dyDescent="0.3">
      <c r="A218" s="12"/>
      <c r="B218" s="12"/>
      <c r="C218" s="12"/>
    </row>
    <row r="219" spans="1:3" ht="14.25" customHeight="1" x14ac:dyDescent="0.3">
      <c r="A219" s="12"/>
      <c r="B219" s="12"/>
      <c r="C219" s="12"/>
    </row>
    <row r="220" spans="1:3" ht="14.25" customHeight="1" x14ac:dyDescent="0.3">
      <c r="A220" s="12"/>
      <c r="B220" s="12"/>
      <c r="C220" s="12"/>
    </row>
    <row r="221" spans="1:3" ht="14.25" customHeight="1" x14ac:dyDescent="0.3">
      <c r="A221" s="12"/>
      <c r="B221" s="12"/>
      <c r="C221" s="12"/>
    </row>
    <row r="222" spans="1:3" ht="14.25" customHeight="1" x14ac:dyDescent="0.3">
      <c r="A222" s="12"/>
      <c r="B222" s="12"/>
      <c r="C222" s="12"/>
    </row>
    <row r="223" spans="1:3" ht="14.25" customHeight="1" x14ac:dyDescent="0.3">
      <c r="A223" s="12"/>
      <c r="B223" s="12"/>
      <c r="C223" s="12"/>
    </row>
    <row r="224" spans="1:3" ht="14.25" customHeight="1" x14ac:dyDescent="0.3">
      <c r="A224" s="12"/>
      <c r="B224" s="12"/>
      <c r="C224" s="12"/>
    </row>
    <row r="225" spans="1:3" ht="14.25" customHeight="1" x14ac:dyDescent="0.3">
      <c r="A225" s="12"/>
      <c r="B225" s="12"/>
      <c r="C225" s="12"/>
    </row>
    <row r="226" spans="1:3" ht="14.25" customHeight="1" x14ac:dyDescent="0.3">
      <c r="A226" s="12"/>
      <c r="B226" s="12"/>
      <c r="C226" s="12"/>
    </row>
    <row r="227" spans="1:3" ht="14.25" customHeight="1" x14ac:dyDescent="0.3">
      <c r="A227" s="12"/>
      <c r="B227" s="12"/>
      <c r="C227" s="12"/>
    </row>
    <row r="228" spans="1:3" ht="14.25" customHeight="1" x14ac:dyDescent="0.3">
      <c r="A228" s="12"/>
      <c r="B228" s="12"/>
      <c r="C228" s="12"/>
    </row>
    <row r="229" spans="1:3" ht="14.25" customHeight="1" x14ac:dyDescent="0.3">
      <c r="A229" s="12"/>
      <c r="B229" s="12"/>
      <c r="C229" s="12"/>
    </row>
    <row r="230" spans="1:3" ht="14.25" customHeight="1" x14ac:dyDescent="0.3">
      <c r="A230" s="12"/>
      <c r="B230" s="12"/>
      <c r="C230" s="12"/>
    </row>
    <row r="231" spans="1:3" ht="14.25" customHeight="1" x14ac:dyDescent="0.3">
      <c r="A231" s="12"/>
      <c r="B231" s="12"/>
      <c r="C231" s="12"/>
    </row>
    <row r="232" spans="1:3" ht="14.25" customHeight="1" x14ac:dyDescent="0.3">
      <c r="A232" s="12"/>
      <c r="B232" s="12"/>
      <c r="C232" s="12"/>
    </row>
    <row r="233" spans="1:3" ht="14.25" customHeight="1" x14ac:dyDescent="0.3">
      <c r="A233" s="12"/>
      <c r="B233" s="12"/>
      <c r="C233" s="12"/>
    </row>
    <row r="234" spans="1:3" ht="14.25" customHeight="1" x14ac:dyDescent="0.3">
      <c r="A234" s="12"/>
      <c r="B234" s="12"/>
      <c r="C234" s="12"/>
    </row>
    <row r="235" spans="1:3" ht="14.25" customHeight="1" x14ac:dyDescent="0.3">
      <c r="A235" s="12"/>
      <c r="B235" s="12"/>
      <c r="C235" s="12"/>
    </row>
    <row r="236" spans="1:3" ht="14.25" customHeight="1" x14ac:dyDescent="0.3">
      <c r="A236" s="12"/>
      <c r="B236" s="12"/>
      <c r="C236" s="12"/>
    </row>
    <row r="237" spans="1:3" ht="14.25" customHeight="1" x14ac:dyDescent="0.3">
      <c r="A237" s="12"/>
      <c r="B237" s="12"/>
      <c r="C237" s="12"/>
    </row>
    <row r="238" spans="1:3" ht="14.25" customHeight="1" x14ac:dyDescent="0.3">
      <c r="A238" s="12"/>
      <c r="B238" s="12"/>
      <c r="C238" s="12"/>
    </row>
    <row r="239" spans="1:3" ht="14.25" customHeight="1" x14ac:dyDescent="0.3">
      <c r="A239" s="12"/>
      <c r="B239" s="12"/>
      <c r="C239" s="12"/>
    </row>
    <row r="240" spans="1:3" ht="14.25" customHeight="1" x14ac:dyDescent="0.3">
      <c r="A240" s="12"/>
      <c r="B240" s="12"/>
      <c r="C240" s="12"/>
    </row>
    <row r="241" spans="1:3" ht="14.25" customHeight="1" x14ac:dyDescent="0.3">
      <c r="A241" s="12"/>
      <c r="B241" s="12"/>
      <c r="C241" s="12"/>
    </row>
    <row r="242" spans="1:3" ht="14.25" customHeight="1" x14ac:dyDescent="0.3"/>
    <row r="243" spans="1:3" ht="14.25" customHeight="1" x14ac:dyDescent="0.3"/>
    <row r="244" spans="1:3" ht="14.25" customHeight="1" x14ac:dyDescent="0.3"/>
    <row r="245" spans="1:3" ht="14.25" customHeight="1" x14ac:dyDescent="0.3"/>
    <row r="246" spans="1:3" ht="14.25" customHeight="1" x14ac:dyDescent="0.3"/>
    <row r="247" spans="1:3" ht="14.25" customHeight="1" x14ac:dyDescent="0.3"/>
    <row r="248" spans="1:3" ht="14.25" customHeight="1" x14ac:dyDescent="0.3"/>
    <row r="249" spans="1:3" ht="14.25" customHeight="1" x14ac:dyDescent="0.3"/>
    <row r="250" spans="1:3" ht="14.25" customHeight="1" x14ac:dyDescent="0.3"/>
    <row r="251" spans="1:3" ht="14.25" customHeight="1" x14ac:dyDescent="0.3"/>
    <row r="252" spans="1:3" ht="14.25" customHeight="1" x14ac:dyDescent="0.3"/>
    <row r="253" spans="1:3" ht="14.25" customHeight="1" x14ac:dyDescent="0.3"/>
    <row r="254" spans="1:3" ht="14.25" customHeight="1" x14ac:dyDescent="0.3"/>
    <row r="255" spans="1:3" ht="14.25" customHeight="1" x14ac:dyDescent="0.3"/>
    <row r="256" spans="1:3"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mergeCells count="1">
    <mergeCell ref="A1:C1"/>
  </mergeCells>
  <pageMargins left="0.7" right="0.7" top="0.75" bottom="0.75"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Data"/>
  <dimension ref="A1:I1000"/>
  <sheetViews>
    <sheetView workbookViewId="0"/>
  </sheetViews>
  <sheetFormatPr baseColWidth="10" defaultColWidth="14.44140625" defaultRowHeight="15" customHeight="1" x14ac:dyDescent="0.3"/>
  <cols>
    <col min="1" max="1" width="48" customWidth="1"/>
    <col min="2" max="2" width="119.77734375" customWidth="1"/>
    <col min="3" max="3" width="48.21875" customWidth="1"/>
    <col min="4" max="4" width="53.21875" customWidth="1"/>
    <col min="5" max="26" width="9.21875" customWidth="1"/>
  </cols>
  <sheetData>
    <row r="1" spans="1:9" ht="14.25" customHeight="1" x14ac:dyDescent="0.3">
      <c r="A1" s="35" t="s">
        <v>901</v>
      </c>
      <c r="B1" s="36"/>
      <c r="C1" s="37"/>
      <c r="D1" s="37"/>
      <c r="E1" s="37"/>
      <c r="F1" s="37"/>
      <c r="G1" s="37"/>
      <c r="H1" s="37"/>
      <c r="I1" s="37"/>
    </row>
    <row r="2" spans="1:9" ht="14.25" customHeight="1" x14ac:dyDescent="0.3">
      <c r="A2" s="36">
        <v>1</v>
      </c>
      <c r="B2" s="36" t="s">
        <v>118</v>
      </c>
      <c r="C2" s="37"/>
      <c r="D2" s="37"/>
      <c r="E2" s="37"/>
      <c r="F2" s="37"/>
      <c r="G2" s="37"/>
      <c r="H2" s="37"/>
      <c r="I2" s="37"/>
    </row>
    <row r="3" spans="1:9" ht="14.25" customHeight="1" x14ac:dyDescent="0.3">
      <c r="A3" s="36">
        <v>2</v>
      </c>
      <c r="B3" s="36" t="s">
        <v>195</v>
      </c>
      <c r="C3" s="37"/>
      <c r="D3" s="37"/>
      <c r="E3" s="37"/>
      <c r="F3" s="37"/>
      <c r="G3" s="37"/>
      <c r="H3" s="37"/>
      <c r="I3" s="37"/>
    </row>
    <row r="4" spans="1:9" ht="14.25" customHeight="1" x14ac:dyDescent="0.3">
      <c r="A4" s="36">
        <v>3</v>
      </c>
      <c r="B4" s="36" t="s">
        <v>653</v>
      </c>
      <c r="C4" s="37"/>
      <c r="D4" s="37"/>
      <c r="E4" s="37"/>
      <c r="F4" s="37"/>
      <c r="G4" s="37"/>
      <c r="H4" s="37"/>
      <c r="I4" s="37"/>
    </row>
    <row r="5" spans="1:9" ht="14.25" customHeight="1" x14ac:dyDescent="0.3">
      <c r="A5" s="36">
        <v>4</v>
      </c>
      <c r="B5" s="36" t="s">
        <v>97</v>
      </c>
      <c r="C5" s="37"/>
      <c r="D5" s="37"/>
      <c r="E5" s="37"/>
      <c r="F5" s="37"/>
      <c r="G5" s="37"/>
      <c r="H5" s="37"/>
      <c r="I5" s="37"/>
    </row>
    <row r="6" spans="1:9" ht="14.25" customHeight="1" x14ac:dyDescent="0.3">
      <c r="A6" s="36">
        <v>5</v>
      </c>
      <c r="B6" s="36" t="s">
        <v>685</v>
      </c>
      <c r="C6" s="37"/>
      <c r="D6" s="37"/>
      <c r="E6" s="37"/>
      <c r="F6" s="37"/>
      <c r="G6" s="37"/>
      <c r="H6" s="37"/>
      <c r="I6" s="37"/>
    </row>
    <row r="7" spans="1:9" ht="14.25" customHeight="1" x14ac:dyDescent="0.3">
      <c r="A7" s="36">
        <v>6</v>
      </c>
      <c r="B7" s="36" t="s">
        <v>133</v>
      </c>
      <c r="C7" s="37"/>
      <c r="D7" s="37"/>
      <c r="E7" s="37"/>
      <c r="F7" s="37"/>
      <c r="G7" s="37"/>
      <c r="H7" s="37"/>
      <c r="I7" s="37"/>
    </row>
    <row r="8" spans="1:9" ht="14.25" customHeight="1" x14ac:dyDescent="0.3">
      <c r="A8" s="36">
        <v>7</v>
      </c>
      <c r="B8" s="36" t="s">
        <v>436</v>
      </c>
      <c r="C8" s="37"/>
      <c r="D8" s="37"/>
      <c r="E8" s="37"/>
      <c r="F8" s="37"/>
      <c r="G8" s="37"/>
      <c r="H8" s="37"/>
      <c r="I8" s="37"/>
    </row>
    <row r="9" spans="1:9" ht="14.25" customHeight="1" x14ac:dyDescent="0.3">
      <c r="A9" s="37"/>
      <c r="B9" s="37"/>
      <c r="C9" s="37"/>
      <c r="D9" s="37"/>
      <c r="E9" s="37"/>
      <c r="F9" s="37"/>
      <c r="G9" s="37"/>
      <c r="H9" s="37"/>
      <c r="I9" s="37"/>
    </row>
    <row r="10" spans="1:9" ht="14.25" customHeight="1" x14ac:dyDescent="0.3">
      <c r="A10" s="35" t="s">
        <v>902</v>
      </c>
      <c r="B10" s="35"/>
      <c r="C10" s="37"/>
      <c r="D10" s="37"/>
      <c r="E10" s="37"/>
      <c r="F10" s="37"/>
      <c r="G10" s="37"/>
      <c r="H10" s="37"/>
      <c r="I10" s="37"/>
    </row>
    <row r="11" spans="1:9" ht="14.25" customHeight="1" x14ac:dyDescent="0.3">
      <c r="A11" s="35" t="s">
        <v>903</v>
      </c>
      <c r="B11" s="35" t="s">
        <v>904</v>
      </c>
      <c r="C11" s="37"/>
      <c r="D11" s="37"/>
      <c r="E11" s="37"/>
      <c r="F11" s="37"/>
      <c r="G11" s="37"/>
      <c r="H11" s="37"/>
      <c r="I11" s="37"/>
    </row>
    <row r="12" spans="1:9" ht="14.25" customHeight="1" x14ac:dyDescent="0.3">
      <c r="A12" s="36" t="s">
        <v>118</v>
      </c>
      <c r="B12" s="36" t="s">
        <v>905</v>
      </c>
      <c r="C12" s="37"/>
      <c r="D12" s="37"/>
      <c r="E12" s="37"/>
      <c r="F12" s="37"/>
      <c r="G12" s="37"/>
      <c r="H12" s="37"/>
      <c r="I12" s="37"/>
    </row>
    <row r="13" spans="1:9" ht="14.25" customHeight="1" x14ac:dyDescent="0.3">
      <c r="A13" s="36" t="s">
        <v>118</v>
      </c>
      <c r="B13" s="36" t="s">
        <v>906</v>
      </c>
      <c r="C13" s="37"/>
      <c r="D13" s="37"/>
      <c r="E13" s="37"/>
      <c r="F13" s="37"/>
      <c r="G13" s="37"/>
      <c r="H13" s="37"/>
      <c r="I13" s="37"/>
    </row>
    <row r="14" spans="1:9" ht="14.25" customHeight="1" x14ac:dyDescent="0.3">
      <c r="A14" s="36" t="s">
        <v>195</v>
      </c>
      <c r="B14" s="36" t="s">
        <v>907</v>
      </c>
      <c r="C14" s="37"/>
      <c r="D14" s="37"/>
      <c r="E14" s="37"/>
      <c r="F14" s="37"/>
      <c r="G14" s="37"/>
      <c r="H14" s="37"/>
      <c r="I14" s="37"/>
    </row>
    <row r="15" spans="1:9" ht="14.25" customHeight="1" x14ac:dyDescent="0.3">
      <c r="A15" s="36" t="s">
        <v>653</v>
      </c>
      <c r="B15" s="36" t="s">
        <v>908</v>
      </c>
      <c r="C15" s="37"/>
      <c r="D15" s="37"/>
      <c r="E15" s="37"/>
      <c r="F15" s="37"/>
      <c r="G15" s="37"/>
      <c r="H15" s="37"/>
      <c r="I15" s="37"/>
    </row>
    <row r="16" spans="1:9" ht="14.25" customHeight="1" x14ac:dyDescent="0.3">
      <c r="A16" s="36" t="s">
        <v>97</v>
      </c>
      <c r="B16" s="36" t="s">
        <v>909</v>
      </c>
      <c r="C16" s="37"/>
      <c r="D16" s="37"/>
      <c r="E16" s="37"/>
      <c r="F16" s="37"/>
      <c r="G16" s="37"/>
      <c r="H16" s="37"/>
      <c r="I16" s="37"/>
    </row>
    <row r="17" spans="1:9" ht="14.25" customHeight="1" x14ac:dyDescent="0.3">
      <c r="A17" s="36" t="s">
        <v>685</v>
      </c>
      <c r="B17" s="36" t="s">
        <v>910</v>
      </c>
      <c r="C17" s="37"/>
      <c r="D17" s="37"/>
      <c r="E17" s="37"/>
      <c r="F17" s="37"/>
      <c r="G17" s="37"/>
      <c r="H17" s="37"/>
      <c r="I17" s="37"/>
    </row>
    <row r="18" spans="1:9" ht="14.25" customHeight="1" x14ac:dyDescent="0.3">
      <c r="A18" s="36" t="s">
        <v>133</v>
      </c>
      <c r="B18" s="36" t="s">
        <v>911</v>
      </c>
      <c r="C18" s="37"/>
      <c r="D18" s="37"/>
      <c r="E18" s="37"/>
      <c r="F18" s="37"/>
      <c r="G18" s="37"/>
      <c r="H18" s="37"/>
      <c r="I18" s="37"/>
    </row>
    <row r="19" spans="1:9" ht="14.25" customHeight="1" x14ac:dyDescent="0.3">
      <c r="A19" s="36" t="s">
        <v>436</v>
      </c>
      <c r="B19" s="36" t="s">
        <v>912</v>
      </c>
      <c r="C19" s="37"/>
      <c r="D19" s="37"/>
      <c r="E19" s="37"/>
      <c r="F19" s="37"/>
      <c r="G19" s="37"/>
      <c r="H19" s="37"/>
      <c r="I19" s="37"/>
    </row>
    <row r="20" spans="1:9" ht="14.25" customHeight="1" x14ac:dyDescent="0.3">
      <c r="A20" s="37"/>
      <c r="B20" s="37"/>
      <c r="C20" s="37"/>
      <c r="D20" s="37"/>
      <c r="E20" s="37"/>
      <c r="F20" s="37"/>
      <c r="G20" s="37"/>
      <c r="H20" s="37"/>
      <c r="I20" s="37"/>
    </row>
    <row r="21" spans="1:9" ht="14.25" customHeight="1" x14ac:dyDescent="0.3">
      <c r="A21" s="35" t="s">
        <v>913</v>
      </c>
      <c r="B21" s="35"/>
      <c r="C21" s="37"/>
      <c r="D21" s="37"/>
      <c r="E21" s="37"/>
      <c r="F21" s="37"/>
      <c r="G21" s="37"/>
      <c r="H21" s="37"/>
      <c r="I21" s="37"/>
    </row>
    <row r="22" spans="1:9" ht="14.25" customHeight="1" x14ac:dyDescent="0.3">
      <c r="A22" s="35" t="s">
        <v>903</v>
      </c>
      <c r="B22" s="35" t="s">
        <v>914</v>
      </c>
      <c r="C22" s="37"/>
      <c r="D22" s="37"/>
      <c r="E22" s="37"/>
      <c r="F22" s="37"/>
      <c r="G22" s="37"/>
      <c r="H22" s="37"/>
      <c r="I22" s="37"/>
    </row>
    <row r="23" spans="1:9" ht="14.25" customHeight="1" x14ac:dyDescent="0.3">
      <c r="A23" s="36" t="s">
        <v>118</v>
      </c>
      <c r="B23" s="36" t="s">
        <v>155</v>
      </c>
      <c r="C23" s="37"/>
      <c r="D23" s="37"/>
      <c r="E23" s="37"/>
      <c r="F23" s="37"/>
      <c r="G23" s="37"/>
      <c r="H23" s="37"/>
      <c r="I23" s="37"/>
    </row>
    <row r="24" spans="1:9" ht="14.25" customHeight="1" x14ac:dyDescent="0.3">
      <c r="A24" s="36" t="s">
        <v>118</v>
      </c>
      <c r="B24" s="36" t="s">
        <v>120</v>
      </c>
      <c r="C24" s="37"/>
      <c r="D24" s="37"/>
      <c r="E24" s="37"/>
      <c r="F24" s="37"/>
      <c r="G24" s="37"/>
      <c r="H24" s="37"/>
      <c r="I24" s="37"/>
    </row>
    <row r="25" spans="1:9" ht="14.25" customHeight="1" x14ac:dyDescent="0.3">
      <c r="A25" s="36" t="s">
        <v>118</v>
      </c>
      <c r="B25" s="36" t="s">
        <v>562</v>
      </c>
      <c r="C25" s="37"/>
      <c r="D25" s="37"/>
      <c r="E25" s="37"/>
      <c r="F25" s="37"/>
      <c r="G25" s="37"/>
      <c r="H25" s="37"/>
      <c r="I25" s="37"/>
    </row>
    <row r="26" spans="1:9" ht="14.25" customHeight="1" x14ac:dyDescent="0.3">
      <c r="A26" s="36" t="s">
        <v>195</v>
      </c>
      <c r="B26" s="36" t="s">
        <v>547</v>
      </c>
      <c r="C26" s="37"/>
      <c r="D26" s="37"/>
      <c r="E26" s="37"/>
      <c r="F26" s="37"/>
      <c r="G26" s="37"/>
      <c r="H26" s="37"/>
      <c r="I26" s="37"/>
    </row>
    <row r="27" spans="1:9" ht="14.25" customHeight="1" x14ac:dyDescent="0.3">
      <c r="A27" s="36" t="s">
        <v>195</v>
      </c>
      <c r="B27" s="36" t="s">
        <v>185</v>
      </c>
      <c r="C27" s="37"/>
      <c r="D27" s="37"/>
      <c r="E27" s="37"/>
      <c r="F27" s="37"/>
      <c r="G27" s="37"/>
      <c r="H27" s="37"/>
      <c r="I27" s="37"/>
    </row>
    <row r="28" spans="1:9" ht="14.25" customHeight="1" x14ac:dyDescent="0.3">
      <c r="A28" s="36" t="s">
        <v>195</v>
      </c>
      <c r="B28" s="36" t="s">
        <v>915</v>
      </c>
      <c r="C28" s="37"/>
      <c r="D28" s="37"/>
      <c r="E28" s="37"/>
      <c r="F28" s="37"/>
      <c r="G28" s="37"/>
      <c r="H28" s="37"/>
      <c r="I28" s="37"/>
    </row>
    <row r="29" spans="1:9" ht="14.25" customHeight="1" x14ac:dyDescent="0.3">
      <c r="A29" s="36" t="s">
        <v>195</v>
      </c>
      <c r="B29" s="36" t="s">
        <v>487</v>
      </c>
      <c r="C29" s="37"/>
      <c r="D29" s="37"/>
      <c r="E29" s="37"/>
      <c r="F29" s="37"/>
      <c r="G29" s="37"/>
      <c r="H29" s="37"/>
      <c r="I29" s="37"/>
    </row>
    <row r="30" spans="1:9" ht="14.25" customHeight="1" x14ac:dyDescent="0.3">
      <c r="A30" s="36" t="s">
        <v>653</v>
      </c>
      <c r="B30" s="36" t="s">
        <v>916</v>
      </c>
      <c r="C30" s="37"/>
      <c r="D30" s="37"/>
      <c r="E30" s="37"/>
      <c r="F30" s="37"/>
      <c r="G30" s="37"/>
      <c r="H30" s="37"/>
      <c r="I30" s="37"/>
    </row>
    <row r="31" spans="1:9" ht="14.25" customHeight="1" x14ac:dyDescent="0.3">
      <c r="A31" s="36" t="s">
        <v>653</v>
      </c>
      <c r="B31" s="36" t="s">
        <v>654</v>
      </c>
      <c r="C31" s="37"/>
      <c r="D31" s="37"/>
      <c r="E31" s="37"/>
      <c r="F31" s="37"/>
      <c r="G31" s="37"/>
      <c r="H31" s="37"/>
      <c r="I31" s="37"/>
    </row>
    <row r="32" spans="1:9" ht="14.25" customHeight="1" x14ac:dyDescent="0.3">
      <c r="A32" s="36" t="s">
        <v>653</v>
      </c>
      <c r="B32" s="36" t="s">
        <v>917</v>
      </c>
      <c r="C32" s="37"/>
      <c r="D32" s="37"/>
      <c r="E32" s="37"/>
      <c r="F32" s="37"/>
      <c r="G32" s="37"/>
      <c r="H32" s="37"/>
      <c r="I32" s="37"/>
    </row>
    <row r="33" spans="1:9" ht="14.25" customHeight="1" x14ac:dyDescent="0.3">
      <c r="A33" s="36" t="s">
        <v>653</v>
      </c>
      <c r="B33" s="36" t="s">
        <v>918</v>
      </c>
      <c r="C33" s="37"/>
      <c r="D33" s="37"/>
      <c r="E33" s="37"/>
      <c r="F33" s="37"/>
      <c r="G33" s="37"/>
      <c r="H33" s="37"/>
      <c r="I33" s="37"/>
    </row>
    <row r="34" spans="1:9" ht="14.25" customHeight="1" x14ac:dyDescent="0.3">
      <c r="A34" s="36" t="s">
        <v>97</v>
      </c>
      <c r="B34" s="36" t="s">
        <v>919</v>
      </c>
      <c r="C34" s="37"/>
      <c r="D34" s="37"/>
      <c r="E34" s="37"/>
      <c r="F34" s="37"/>
      <c r="G34" s="37"/>
      <c r="H34" s="37"/>
      <c r="I34" s="37"/>
    </row>
    <row r="35" spans="1:9" ht="14.25" customHeight="1" x14ac:dyDescent="0.3">
      <c r="A35" s="36" t="s">
        <v>97</v>
      </c>
      <c r="B35" s="36" t="s">
        <v>216</v>
      </c>
      <c r="C35" s="37"/>
      <c r="D35" s="37"/>
      <c r="E35" s="37"/>
      <c r="F35" s="37"/>
      <c r="G35" s="37"/>
      <c r="H35" s="37"/>
      <c r="I35" s="37"/>
    </row>
    <row r="36" spans="1:9" ht="14.25" customHeight="1" x14ac:dyDescent="0.3">
      <c r="A36" s="36" t="s">
        <v>97</v>
      </c>
      <c r="B36" s="36" t="s">
        <v>99</v>
      </c>
      <c r="C36" s="37"/>
      <c r="D36" s="37"/>
      <c r="E36" s="37"/>
      <c r="F36" s="37"/>
      <c r="G36" s="37"/>
      <c r="H36" s="37"/>
      <c r="I36" s="37"/>
    </row>
    <row r="37" spans="1:9" ht="14.25" customHeight="1" x14ac:dyDescent="0.3">
      <c r="A37" s="36" t="s">
        <v>97</v>
      </c>
      <c r="B37" s="36" t="s">
        <v>390</v>
      </c>
      <c r="C37" s="37"/>
      <c r="D37" s="37"/>
      <c r="E37" s="37"/>
      <c r="F37" s="37"/>
      <c r="G37" s="37"/>
      <c r="H37" s="37"/>
      <c r="I37" s="37"/>
    </row>
    <row r="38" spans="1:9" ht="14.25" customHeight="1" x14ac:dyDescent="0.3">
      <c r="A38" s="36" t="s">
        <v>97</v>
      </c>
      <c r="B38" s="36" t="s">
        <v>920</v>
      </c>
      <c r="C38" s="37"/>
      <c r="D38" s="37"/>
      <c r="E38" s="37"/>
      <c r="F38" s="37"/>
      <c r="G38" s="37"/>
      <c r="H38" s="37"/>
      <c r="I38" s="37"/>
    </row>
    <row r="39" spans="1:9" ht="14.25" customHeight="1" x14ac:dyDescent="0.3">
      <c r="A39" s="36" t="s">
        <v>685</v>
      </c>
      <c r="B39" s="36" t="s">
        <v>142</v>
      </c>
      <c r="C39" s="37"/>
      <c r="D39" s="37"/>
      <c r="E39" s="37"/>
      <c r="F39" s="37"/>
      <c r="G39" s="37"/>
      <c r="H39" s="37"/>
      <c r="I39" s="37"/>
    </row>
    <row r="40" spans="1:9" ht="14.25" customHeight="1" x14ac:dyDescent="0.3">
      <c r="A40" s="36" t="s">
        <v>685</v>
      </c>
      <c r="B40" s="36" t="s">
        <v>613</v>
      </c>
      <c r="C40" s="37"/>
      <c r="D40" s="37"/>
      <c r="E40" s="37"/>
      <c r="F40" s="37"/>
      <c r="G40" s="37"/>
      <c r="H40" s="37"/>
      <c r="I40" s="37"/>
    </row>
    <row r="41" spans="1:9" ht="14.25" customHeight="1" x14ac:dyDescent="0.3">
      <c r="A41" s="36" t="s">
        <v>685</v>
      </c>
      <c r="B41" s="36" t="s">
        <v>921</v>
      </c>
      <c r="C41" s="37"/>
      <c r="D41" s="37"/>
      <c r="E41" s="37"/>
      <c r="F41" s="37"/>
      <c r="G41" s="37"/>
      <c r="H41" s="37"/>
      <c r="I41" s="37"/>
    </row>
    <row r="42" spans="1:9" ht="14.25" customHeight="1" x14ac:dyDescent="0.3">
      <c r="A42" s="36" t="s">
        <v>133</v>
      </c>
      <c r="B42" s="36" t="s">
        <v>212</v>
      </c>
      <c r="C42" s="37"/>
      <c r="D42" s="37"/>
      <c r="E42" s="37"/>
      <c r="F42" s="37"/>
      <c r="G42" s="37"/>
      <c r="H42" s="37"/>
      <c r="I42" s="37"/>
    </row>
    <row r="43" spans="1:9" ht="14.25" customHeight="1" x14ac:dyDescent="0.3">
      <c r="A43" s="36" t="s">
        <v>133</v>
      </c>
      <c r="B43" s="36" t="s">
        <v>134</v>
      </c>
      <c r="C43" s="37"/>
      <c r="D43" s="37"/>
      <c r="E43" s="37"/>
      <c r="F43" s="37"/>
      <c r="G43" s="37"/>
      <c r="H43" s="37"/>
      <c r="I43" s="37"/>
    </row>
    <row r="44" spans="1:9" ht="14.25" customHeight="1" x14ac:dyDescent="0.3">
      <c r="A44" s="36" t="s">
        <v>133</v>
      </c>
      <c r="B44" s="36" t="s">
        <v>922</v>
      </c>
      <c r="C44" s="37"/>
      <c r="D44" s="37"/>
      <c r="E44" s="37"/>
      <c r="F44" s="37"/>
      <c r="G44" s="37"/>
      <c r="H44" s="37"/>
      <c r="I44" s="37"/>
    </row>
    <row r="45" spans="1:9" ht="14.25" customHeight="1" x14ac:dyDescent="0.3">
      <c r="A45" s="36" t="s">
        <v>436</v>
      </c>
      <c r="B45" s="36" t="s">
        <v>923</v>
      </c>
      <c r="C45" s="37"/>
      <c r="D45" s="37"/>
      <c r="E45" s="37"/>
      <c r="F45" s="37"/>
      <c r="G45" s="37"/>
      <c r="H45" s="37"/>
      <c r="I45" s="37"/>
    </row>
    <row r="46" spans="1:9" ht="14.25" customHeight="1" x14ac:dyDescent="0.3">
      <c r="A46" s="36" t="s">
        <v>436</v>
      </c>
      <c r="B46" s="36" t="s">
        <v>924</v>
      </c>
      <c r="C46" s="37"/>
      <c r="D46" s="37"/>
      <c r="E46" s="37"/>
      <c r="F46" s="37"/>
      <c r="G46" s="37"/>
      <c r="H46" s="37"/>
      <c r="I46" s="37"/>
    </row>
    <row r="47" spans="1:9" ht="14.25" customHeight="1" x14ac:dyDescent="0.3">
      <c r="A47" s="36" t="s">
        <v>436</v>
      </c>
      <c r="B47" s="36" t="s">
        <v>925</v>
      </c>
      <c r="C47" s="37"/>
      <c r="D47" s="37"/>
      <c r="E47" s="37"/>
      <c r="F47" s="37"/>
      <c r="G47" s="37"/>
      <c r="H47" s="37"/>
      <c r="I47" s="37"/>
    </row>
    <row r="48" spans="1:9" ht="14.25" customHeight="1" x14ac:dyDescent="0.3">
      <c r="A48" s="36" t="s">
        <v>436</v>
      </c>
      <c r="B48" s="36" t="s">
        <v>926</v>
      </c>
      <c r="C48" s="37"/>
      <c r="D48" s="37"/>
      <c r="E48" s="37"/>
      <c r="F48" s="37"/>
      <c r="G48" s="37"/>
      <c r="H48" s="37"/>
      <c r="I48" s="37"/>
    </row>
    <row r="49" spans="1:9" ht="14.25" customHeight="1" x14ac:dyDescent="0.3">
      <c r="A49" s="37"/>
      <c r="B49" s="37"/>
      <c r="C49" s="37"/>
      <c r="D49" s="37"/>
      <c r="E49" s="37"/>
      <c r="F49" s="37"/>
      <c r="G49" s="37"/>
      <c r="H49" s="37"/>
      <c r="I49" s="37"/>
    </row>
    <row r="50" spans="1:9" ht="14.25" customHeight="1" x14ac:dyDescent="0.3">
      <c r="A50" s="35" t="s">
        <v>927</v>
      </c>
      <c r="B50" s="38"/>
      <c r="C50" s="38"/>
      <c r="D50" s="37"/>
      <c r="E50" s="37"/>
      <c r="F50" s="37"/>
      <c r="G50" s="37"/>
      <c r="H50" s="37"/>
      <c r="I50" s="37"/>
    </row>
    <row r="51" spans="1:9" ht="14.25" customHeight="1" x14ac:dyDescent="0.3">
      <c r="A51" s="35" t="s">
        <v>928</v>
      </c>
      <c r="B51" s="35" t="s">
        <v>914</v>
      </c>
      <c r="C51" s="35" t="s">
        <v>903</v>
      </c>
      <c r="D51" s="37"/>
      <c r="E51" s="37"/>
      <c r="F51" s="37"/>
      <c r="G51" s="37"/>
      <c r="H51" s="37"/>
      <c r="I51" s="37"/>
    </row>
    <row r="52" spans="1:9" ht="14.25" customHeight="1" x14ac:dyDescent="0.3">
      <c r="A52" s="36" t="s">
        <v>929</v>
      </c>
      <c r="B52" s="36" t="s">
        <v>289</v>
      </c>
      <c r="C52" s="36" t="s">
        <v>118</v>
      </c>
      <c r="D52" s="37"/>
      <c r="E52" s="37"/>
      <c r="F52" s="37"/>
      <c r="G52" s="37"/>
      <c r="H52" s="37"/>
      <c r="I52" s="37"/>
    </row>
    <row r="53" spans="1:9" ht="14.25" customHeight="1" x14ac:dyDescent="0.3">
      <c r="A53" s="36" t="s">
        <v>930</v>
      </c>
      <c r="B53" s="36" t="s">
        <v>289</v>
      </c>
      <c r="C53" s="36" t="s">
        <v>118</v>
      </c>
      <c r="D53" s="37"/>
      <c r="E53" s="37"/>
      <c r="F53" s="37"/>
      <c r="G53" s="37"/>
      <c r="H53" s="37"/>
      <c r="I53" s="37"/>
    </row>
    <row r="54" spans="1:9" ht="14.25" customHeight="1" x14ac:dyDescent="0.3">
      <c r="A54" s="36" t="s">
        <v>931</v>
      </c>
      <c r="B54" s="36" t="s">
        <v>289</v>
      </c>
      <c r="C54" s="36" t="s">
        <v>118</v>
      </c>
      <c r="D54" s="37"/>
      <c r="E54" s="37"/>
      <c r="F54" s="37"/>
      <c r="G54" s="37"/>
      <c r="H54" s="37"/>
      <c r="I54" s="37"/>
    </row>
    <row r="55" spans="1:9" ht="14.25" customHeight="1" x14ac:dyDescent="0.3">
      <c r="A55" s="36" t="s">
        <v>807</v>
      </c>
      <c r="B55" s="36" t="s">
        <v>289</v>
      </c>
      <c r="C55" s="36" t="s">
        <v>118</v>
      </c>
      <c r="D55" s="37"/>
      <c r="E55" s="37"/>
      <c r="F55" s="37"/>
      <c r="G55" s="37"/>
      <c r="H55" s="37"/>
      <c r="I55" s="37"/>
    </row>
    <row r="56" spans="1:9" ht="14.25" customHeight="1" x14ac:dyDescent="0.3">
      <c r="A56" s="36" t="s">
        <v>932</v>
      </c>
      <c r="B56" s="36" t="s">
        <v>289</v>
      </c>
      <c r="C56" s="36" t="s">
        <v>118</v>
      </c>
      <c r="D56" s="37"/>
      <c r="E56" s="37"/>
      <c r="F56" s="37"/>
      <c r="G56" s="37"/>
      <c r="H56" s="37"/>
      <c r="I56" s="37"/>
    </row>
    <row r="57" spans="1:9" ht="14.25" customHeight="1" x14ac:dyDescent="0.3">
      <c r="A57" s="36" t="s">
        <v>933</v>
      </c>
      <c r="B57" s="36" t="s">
        <v>289</v>
      </c>
      <c r="C57" s="36" t="s">
        <v>118</v>
      </c>
      <c r="D57" s="37"/>
      <c r="E57" s="37"/>
      <c r="F57" s="37"/>
      <c r="G57" s="37"/>
      <c r="H57" s="37"/>
      <c r="I57" s="37"/>
    </row>
    <row r="58" spans="1:9" ht="14.25" customHeight="1" x14ac:dyDescent="0.3">
      <c r="A58" s="36" t="s">
        <v>934</v>
      </c>
      <c r="B58" s="36" t="s">
        <v>289</v>
      </c>
      <c r="C58" s="36" t="s">
        <v>118</v>
      </c>
      <c r="D58" s="37"/>
      <c r="E58" s="37"/>
      <c r="F58" s="37"/>
      <c r="G58" s="37"/>
      <c r="H58" s="37"/>
      <c r="I58" s="37"/>
    </row>
    <row r="59" spans="1:9" ht="14.25" customHeight="1" x14ac:dyDescent="0.3">
      <c r="A59" s="36" t="s">
        <v>935</v>
      </c>
      <c r="B59" s="36" t="s">
        <v>289</v>
      </c>
      <c r="C59" s="36" t="s">
        <v>118</v>
      </c>
      <c r="D59" s="37"/>
      <c r="E59" s="37"/>
      <c r="F59" s="37"/>
      <c r="G59" s="37"/>
      <c r="H59" s="37"/>
      <c r="I59" s="37"/>
    </row>
    <row r="60" spans="1:9" ht="14.25" customHeight="1" x14ac:dyDescent="0.3">
      <c r="A60" s="36" t="s">
        <v>936</v>
      </c>
      <c r="B60" s="36" t="s">
        <v>289</v>
      </c>
      <c r="C60" s="36" t="s">
        <v>118</v>
      </c>
      <c r="D60" s="37"/>
      <c r="E60" s="37"/>
      <c r="F60" s="37"/>
      <c r="G60" s="37"/>
      <c r="H60" s="37"/>
      <c r="I60" s="37"/>
    </row>
    <row r="61" spans="1:9" ht="14.25" customHeight="1" x14ac:dyDescent="0.3">
      <c r="A61" s="36" t="s">
        <v>937</v>
      </c>
      <c r="B61" s="36" t="s">
        <v>289</v>
      </c>
      <c r="C61" s="36" t="s">
        <v>118</v>
      </c>
      <c r="D61" s="37"/>
      <c r="E61" s="37"/>
      <c r="F61" s="37"/>
      <c r="G61" s="37"/>
      <c r="H61" s="37"/>
      <c r="I61" s="37"/>
    </row>
    <row r="62" spans="1:9" ht="14.25" customHeight="1" x14ac:dyDescent="0.3">
      <c r="A62" s="36" t="s">
        <v>938</v>
      </c>
      <c r="B62" s="36" t="s">
        <v>289</v>
      </c>
      <c r="C62" s="36" t="s">
        <v>118</v>
      </c>
      <c r="D62" s="37"/>
      <c r="E62" s="37"/>
      <c r="F62" s="37"/>
      <c r="G62" s="37"/>
      <c r="H62" s="37"/>
      <c r="I62" s="37"/>
    </row>
    <row r="63" spans="1:9" ht="14.25" customHeight="1" x14ac:dyDescent="0.3">
      <c r="A63" s="36" t="s">
        <v>939</v>
      </c>
      <c r="B63" s="36" t="s">
        <v>120</v>
      </c>
      <c r="C63" s="36" t="s">
        <v>118</v>
      </c>
      <c r="D63" s="37"/>
      <c r="E63" s="37"/>
      <c r="F63" s="37"/>
      <c r="G63" s="37"/>
      <c r="H63" s="37"/>
      <c r="I63" s="37"/>
    </row>
    <row r="64" spans="1:9" ht="14.25" customHeight="1" x14ac:dyDescent="0.3">
      <c r="A64" s="36" t="s">
        <v>418</v>
      </c>
      <c r="B64" s="36" t="s">
        <v>120</v>
      </c>
      <c r="C64" s="36" t="s">
        <v>118</v>
      </c>
      <c r="D64" s="37"/>
      <c r="E64" s="37"/>
      <c r="F64" s="37"/>
      <c r="G64" s="37"/>
      <c r="H64" s="37"/>
      <c r="I64" s="37"/>
    </row>
    <row r="65" spans="1:9" ht="14.25" customHeight="1" x14ac:dyDescent="0.3">
      <c r="A65" s="36" t="s">
        <v>940</v>
      </c>
      <c r="B65" s="36" t="s">
        <v>120</v>
      </c>
      <c r="C65" s="36" t="s">
        <v>118</v>
      </c>
      <c r="D65" s="37"/>
      <c r="E65" s="37"/>
      <c r="F65" s="37"/>
      <c r="G65" s="37"/>
      <c r="H65" s="37"/>
      <c r="I65" s="37"/>
    </row>
    <row r="66" spans="1:9" ht="14.25" customHeight="1" x14ac:dyDescent="0.3">
      <c r="A66" s="36" t="s">
        <v>941</v>
      </c>
      <c r="B66" s="36" t="s">
        <v>278</v>
      </c>
      <c r="C66" s="36" t="s">
        <v>118</v>
      </c>
      <c r="D66" s="37"/>
      <c r="E66" s="37"/>
      <c r="F66" s="37"/>
      <c r="G66" s="37"/>
      <c r="H66" s="37"/>
      <c r="I66" s="37"/>
    </row>
    <row r="67" spans="1:9" ht="14.25" customHeight="1" x14ac:dyDescent="0.3">
      <c r="A67" s="36" t="s">
        <v>942</v>
      </c>
      <c r="B67" s="36" t="s">
        <v>278</v>
      </c>
      <c r="C67" s="36" t="s">
        <v>118</v>
      </c>
      <c r="D67" s="37"/>
      <c r="E67" s="37"/>
      <c r="F67" s="37"/>
      <c r="G67" s="37"/>
      <c r="H67" s="37"/>
      <c r="I67" s="37"/>
    </row>
    <row r="68" spans="1:9" ht="14.25" customHeight="1" x14ac:dyDescent="0.3">
      <c r="A68" s="36" t="s">
        <v>943</v>
      </c>
      <c r="B68" s="36" t="s">
        <v>278</v>
      </c>
      <c r="C68" s="36" t="s">
        <v>118</v>
      </c>
      <c r="D68" s="37"/>
      <c r="E68" s="37"/>
      <c r="F68" s="37"/>
      <c r="G68" s="37"/>
      <c r="H68" s="37"/>
      <c r="I68" s="37"/>
    </row>
    <row r="69" spans="1:9" ht="14.25" customHeight="1" x14ac:dyDescent="0.3">
      <c r="A69" s="36" t="s">
        <v>944</v>
      </c>
      <c r="B69" s="36" t="s">
        <v>278</v>
      </c>
      <c r="C69" s="36" t="s">
        <v>118</v>
      </c>
      <c r="D69" s="37"/>
      <c r="E69" s="37"/>
      <c r="F69" s="37"/>
      <c r="G69" s="37"/>
      <c r="H69" s="37"/>
      <c r="I69" s="37"/>
    </row>
    <row r="70" spans="1:9" ht="14.25" customHeight="1" x14ac:dyDescent="0.3">
      <c r="A70" s="36" t="s">
        <v>945</v>
      </c>
      <c r="B70" s="36" t="s">
        <v>278</v>
      </c>
      <c r="C70" s="36" t="s">
        <v>118</v>
      </c>
      <c r="D70" s="37"/>
      <c r="E70" s="37"/>
      <c r="F70" s="37"/>
      <c r="G70" s="37"/>
      <c r="H70" s="37"/>
      <c r="I70" s="37"/>
    </row>
    <row r="71" spans="1:9" ht="14.25" customHeight="1" x14ac:dyDescent="0.3">
      <c r="A71" s="36" t="s">
        <v>386</v>
      </c>
      <c r="B71" s="36" t="s">
        <v>547</v>
      </c>
      <c r="C71" s="36" t="s">
        <v>195</v>
      </c>
      <c r="D71" s="37"/>
      <c r="E71" s="37"/>
      <c r="F71" s="37"/>
      <c r="G71" s="37"/>
      <c r="H71" s="37"/>
      <c r="I71" s="37"/>
    </row>
    <row r="72" spans="1:9" ht="14.25" customHeight="1" x14ac:dyDescent="0.3">
      <c r="A72" s="36" t="s">
        <v>946</v>
      </c>
      <c r="B72" s="36" t="s">
        <v>547</v>
      </c>
      <c r="C72" s="36" t="s">
        <v>195</v>
      </c>
      <c r="D72" s="37"/>
      <c r="E72" s="37"/>
      <c r="F72" s="37"/>
      <c r="G72" s="37"/>
      <c r="H72" s="37"/>
      <c r="I72" s="37"/>
    </row>
    <row r="73" spans="1:9" ht="14.25" customHeight="1" x14ac:dyDescent="0.3">
      <c r="A73" s="36" t="s">
        <v>947</v>
      </c>
      <c r="B73" s="36" t="s">
        <v>547</v>
      </c>
      <c r="C73" s="36" t="s">
        <v>195</v>
      </c>
      <c r="D73" s="37"/>
      <c r="E73" s="37"/>
      <c r="F73" s="37"/>
      <c r="G73" s="37"/>
      <c r="H73" s="37"/>
      <c r="I73" s="37"/>
    </row>
    <row r="74" spans="1:9" ht="14.25" customHeight="1" x14ac:dyDescent="0.3">
      <c r="A74" s="36" t="s">
        <v>948</v>
      </c>
      <c r="B74" s="36" t="s">
        <v>547</v>
      </c>
      <c r="C74" s="36" t="s">
        <v>195</v>
      </c>
      <c r="D74" s="37"/>
      <c r="E74" s="37"/>
      <c r="F74" s="37"/>
      <c r="G74" s="37"/>
      <c r="H74" s="37"/>
      <c r="I74" s="37"/>
    </row>
    <row r="75" spans="1:9" ht="14.25" customHeight="1" x14ac:dyDescent="0.3">
      <c r="A75" s="36" t="s">
        <v>949</v>
      </c>
      <c r="B75" s="36" t="s">
        <v>547</v>
      </c>
      <c r="C75" s="36" t="s">
        <v>195</v>
      </c>
      <c r="D75" s="37"/>
      <c r="E75" s="37"/>
      <c r="F75" s="37"/>
      <c r="G75" s="37"/>
      <c r="H75" s="37"/>
      <c r="I75" s="37"/>
    </row>
    <row r="76" spans="1:9" ht="14.25" customHeight="1" x14ac:dyDescent="0.3">
      <c r="A76" s="36" t="s">
        <v>950</v>
      </c>
      <c r="B76" s="36" t="s">
        <v>547</v>
      </c>
      <c r="C76" s="36" t="s">
        <v>195</v>
      </c>
      <c r="D76" s="37"/>
      <c r="E76" s="37"/>
      <c r="F76" s="37"/>
      <c r="G76" s="37"/>
      <c r="H76" s="37"/>
      <c r="I76" s="37"/>
    </row>
    <row r="77" spans="1:9" ht="14.25" customHeight="1" x14ac:dyDescent="0.3">
      <c r="A77" s="36" t="s">
        <v>951</v>
      </c>
      <c r="B77" s="36" t="s">
        <v>547</v>
      </c>
      <c r="C77" s="36" t="s">
        <v>195</v>
      </c>
      <c r="D77" s="37"/>
      <c r="E77" s="37"/>
      <c r="F77" s="37"/>
      <c r="G77" s="37"/>
      <c r="H77" s="37"/>
      <c r="I77" s="37"/>
    </row>
    <row r="78" spans="1:9" ht="14.25" customHeight="1" x14ac:dyDescent="0.3">
      <c r="A78" s="36" t="s">
        <v>952</v>
      </c>
      <c r="B78" s="36" t="s">
        <v>185</v>
      </c>
      <c r="C78" s="36" t="s">
        <v>195</v>
      </c>
      <c r="D78" s="37"/>
      <c r="E78" s="37"/>
      <c r="F78" s="37"/>
      <c r="G78" s="37"/>
      <c r="H78" s="37"/>
      <c r="I78" s="37"/>
    </row>
    <row r="79" spans="1:9" ht="14.25" customHeight="1" x14ac:dyDescent="0.3">
      <c r="A79" s="36" t="s">
        <v>953</v>
      </c>
      <c r="B79" s="36" t="s">
        <v>185</v>
      </c>
      <c r="C79" s="36" t="s">
        <v>195</v>
      </c>
      <c r="D79" s="37"/>
      <c r="E79" s="37"/>
      <c r="F79" s="37"/>
      <c r="G79" s="37"/>
      <c r="H79" s="37"/>
      <c r="I79" s="37"/>
    </row>
    <row r="80" spans="1:9" ht="14.25" customHeight="1" x14ac:dyDescent="0.3">
      <c r="A80" s="36" t="s">
        <v>954</v>
      </c>
      <c r="B80" s="36" t="s">
        <v>185</v>
      </c>
      <c r="C80" s="36" t="s">
        <v>195</v>
      </c>
      <c r="D80" s="37"/>
      <c r="E80" s="37"/>
      <c r="F80" s="37"/>
      <c r="G80" s="37"/>
      <c r="H80" s="37"/>
      <c r="I80" s="37"/>
    </row>
    <row r="81" spans="1:9" ht="14.25" customHeight="1" x14ac:dyDescent="0.3">
      <c r="A81" s="36" t="s">
        <v>955</v>
      </c>
      <c r="B81" s="36" t="s">
        <v>185</v>
      </c>
      <c r="C81" s="36" t="s">
        <v>195</v>
      </c>
      <c r="D81" s="37"/>
      <c r="E81" s="37"/>
      <c r="F81" s="37"/>
      <c r="G81" s="37"/>
      <c r="H81" s="37"/>
      <c r="I81" s="37"/>
    </row>
    <row r="82" spans="1:9" ht="14.25" customHeight="1" x14ac:dyDescent="0.3">
      <c r="A82" s="36" t="s">
        <v>956</v>
      </c>
      <c r="B82" s="36" t="s">
        <v>915</v>
      </c>
      <c r="C82" s="36" t="s">
        <v>195</v>
      </c>
      <c r="D82" s="37"/>
      <c r="E82" s="37"/>
      <c r="F82" s="37"/>
      <c r="G82" s="37"/>
      <c r="H82" s="37"/>
      <c r="I82" s="37"/>
    </row>
    <row r="83" spans="1:9" ht="14.25" customHeight="1" x14ac:dyDescent="0.3">
      <c r="A83" s="36" t="s">
        <v>957</v>
      </c>
      <c r="B83" s="36" t="s">
        <v>915</v>
      </c>
      <c r="C83" s="36" t="s">
        <v>195</v>
      </c>
      <c r="D83" s="37"/>
      <c r="E83" s="37"/>
      <c r="F83" s="37"/>
      <c r="G83" s="37"/>
      <c r="H83" s="37"/>
      <c r="I83" s="37"/>
    </row>
    <row r="84" spans="1:9" ht="14.25" customHeight="1" x14ac:dyDescent="0.3">
      <c r="A84" s="36" t="s">
        <v>958</v>
      </c>
      <c r="B84" s="36" t="s">
        <v>915</v>
      </c>
      <c r="C84" s="36" t="s">
        <v>195</v>
      </c>
      <c r="D84" s="37"/>
      <c r="E84" s="37"/>
      <c r="F84" s="37"/>
      <c r="G84" s="37"/>
      <c r="H84" s="37"/>
      <c r="I84" s="37"/>
    </row>
    <row r="85" spans="1:9" ht="14.25" customHeight="1" x14ac:dyDescent="0.3">
      <c r="A85" s="36" t="s">
        <v>959</v>
      </c>
      <c r="B85" s="36" t="s">
        <v>915</v>
      </c>
      <c r="C85" s="36" t="s">
        <v>195</v>
      </c>
      <c r="D85" s="37"/>
      <c r="E85" s="37"/>
      <c r="F85" s="37"/>
      <c r="G85" s="37"/>
      <c r="H85" s="37"/>
      <c r="I85" s="37"/>
    </row>
    <row r="86" spans="1:9" ht="14.25" customHeight="1" x14ac:dyDescent="0.3">
      <c r="A86" s="36" t="s">
        <v>960</v>
      </c>
      <c r="B86" s="36" t="s">
        <v>487</v>
      </c>
      <c r="C86" s="36" t="s">
        <v>195</v>
      </c>
      <c r="D86" s="37"/>
      <c r="E86" s="37"/>
      <c r="F86" s="37"/>
      <c r="G86" s="37"/>
      <c r="H86" s="37"/>
      <c r="I86" s="37"/>
    </row>
    <row r="87" spans="1:9" ht="14.25" customHeight="1" x14ac:dyDescent="0.3">
      <c r="A87" s="36" t="s">
        <v>961</v>
      </c>
      <c r="B87" s="36" t="s">
        <v>487</v>
      </c>
      <c r="C87" s="36" t="s">
        <v>195</v>
      </c>
      <c r="D87" s="37"/>
      <c r="E87" s="37"/>
      <c r="F87" s="37"/>
      <c r="G87" s="37"/>
      <c r="H87" s="37"/>
      <c r="I87" s="37"/>
    </row>
    <row r="88" spans="1:9" ht="14.25" customHeight="1" x14ac:dyDescent="0.3">
      <c r="A88" s="36" t="s">
        <v>962</v>
      </c>
      <c r="B88" s="36" t="s">
        <v>487</v>
      </c>
      <c r="C88" s="36" t="s">
        <v>195</v>
      </c>
      <c r="D88" s="37"/>
      <c r="E88" s="37"/>
      <c r="F88" s="37"/>
      <c r="G88" s="37"/>
      <c r="H88" s="37"/>
      <c r="I88" s="37"/>
    </row>
    <row r="89" spans="1:9" ht="14.25" customHeight="1" x14ac:dyDescent="0.3">
      <c r="A89" s="36" t="s">
        <v>963</v>
      </c>
      <c r="B89" s="36" t="s">
        <v>487</v>
      </c>
      <c r="C89" s="36" t="s">
        <v>195</v>
      </c>
      <c r="D89" s="37"/>
      <c r="E89" s="37"/>
      <c r="F89" s="37"/>
      <c r="G89" s="37"/>
      <c r="H89" s="37"/>
      <c r="I89" s="37"/>
    </row>
    <row r="90" spans="1:9" ht="14.25" customHeight="1" x14ac:dyDescent="0.3">
      <c r="A90" s="36" t="s">
        <v>964</v>
      </c>
      <c r="B90" s="36" t="s">
        <v>965</v>
      </c>
      <c r="C90" s="36" t="s">
        <v>653</v>
      </c>
      <c r="D90" s="37"/>
      <c r="E90" s="37"/>
      <c r="F90" s="37"/>
      <c r="G90" s="37"/>
      <c r="H90" s="37"/>
      <c r="I90" s="37"/>
    </row>
    <row r="91" spans="1:9" ht="14.25" customHeight="1" x14ac:dyDescent="0.3">
      <c r="A91" s="36" t="s">
        <v>966</v>
      </c>
      <c r="B91" s="36" t="s">
        <v>965</v>
      </c>
      <c r="C91" s="36" t="s">
        <v>653</v>
      </c>
      <c r="D91" s="37"/>
      <c r="E91" s="37"/>
      <c r="F91" s="37"/>
      <c r="G91" s="37"/>
      <c r="H91" s="37"/>
      <c r="I91" s="37"/>
    </row>
    <row r="92" spans="1:9" ht="14.25" customHeight="1" x14ac:dyDescent="0.3">
      <c r="A92" s="36" t="s">
        <v>967</v>
      </c>
      <c r="B92" s="36" t="s">
        <v>965</v>
      </c>
      <c r="C92" s="36" t="s">
        <v>653</v>
      </c>
      <c r="D92" s="37"/>
      <c r="E92" s="37"/>
      <c r="F92" s="37"/>
      <c r="G92" s="37"/>
      <c r="H92" s="37"/>
      <c r="I92" s="37"/>
    </row>
    <row r="93" spans="1:9" ht="14.25" customHeight="1" x14ac:dyDescent="0.3">
      <c r="A93" s="36" t="s">
        <v>968</v>
      </c>
      <c r="B93" s="36" t="s">
        <v>965</v>
      </c>
      <c r="C93" s="36" t="s">
        <v>653</v>
      </c>
      <c r="D93" s="37"/>
      <c r="E93" s="37"/>
      <c r="F93" s="37"/>
      <c r="G93" s="37"/>
      <c r="H93" s="37"/>
      <c r="I93" s="37"/>
    </row>
    <row r="94" spans="1:9" ht="14.25" customHeight="1" x14ac:dyDescent="0.3">
      <c r="A94" s="36" t="s">
        <v>969</v>
      </c>
      <c r="B94" s="36" t="s">
        <v>965</v>
      </c>
      <c r="C94" s="36" t="s">
        <v>653</v>
      </c>
      <c r="D94" s="37"/>
      <c r="E94" s="37"/>
      <c r="F94" s="37"/>
      <c r="G94" s="37"/>
      <c r="H94" s="37"/>
      <c r="I94" s="37"/>
    </row>
    <row r="95" spans="1:9" ht="14.25" customHeight="1" x14ac:dyDescent="0.3">
      <c r="A95" s="36" t="s">
        <v>970</v>
      </c>
      <c r="B95" s="36" t="s">
        <v>965</v>
      </c>
      <c r="C95" s="36" t="s">
        <v>653</v>
      </c>
      <c r="D95" s="37"/>
      <c r="E95" s="37"/>
      <c r="F95" s="37"/>
      <c r="G95" s="37"/>
      <c r="H95" s="37"/>
      <c r="I95" s="37"/>
    </row>
    <row r="96" spans="1:9" ht="14.25" customHeight="1" x14ac:dyDescent="0.3">
      <c r="A96" s="36" t="s">
        <v>971</v>
      </c>
      <c r="B96" s="36" t="s">
        <v>965</v>
      </c>
      <c r="C96" s="36" t="s">
        <v>653</v>
      </c>
      <c r="D96" s="37"/>
      <c r="E96" s="37"/>
      <c r="F96" s="37"/>
      <c r="G96" s="37"/>
      <c r="H96" s="37"/>
      <c r="I96" s="37"/>
    </row>
    <row r="97" spans="1:9" ht="14.25" customHeight="1" x14ac:dyDescent="0.3">
      <c r="A97" s="36" t="s">
        <v>972</v>
      </c>
      <c r="B97" s="36" t="s">
        <v>965</v>
      </c>
      <c r="C97" s="36" t="s">
        <v>653</v>
      </c>
      <c r="D97" s="37"/>
      <c r="E97" s="37"/>
      <c r="F97" s="37"/>
      <c r="G97" s="37"/>
      <c r="H97" s="37"/>
      <c r="I97" s="37"/>
    </row>
    <row r="98" spans="1:9" ht="14.25" customHeight="1" x14ac:dyDescent="0.3">
      <c r="A98" s="36" t="s">
        <v>973</v>
      </c>
      <c r="B98" s="36" t="s">
        <v>654</v>
      </c>
      <c r="C98" s="36" t="s">
        <v>653</v>
      </c>
      <c r="D98" s="37"/>
      <c r="E98" s="37"/>
      <c r="F98" s="37"/>
      <c r="G98" s="37"/>
      <c r="H98" s="37"/>
      <c r="I98" s="37"/>
    </row>
    <row r="99" spans="1:9" ht="14.25" customHeight="1" x14ac:dyDescent="0.3">
      <c r="A99" s="36" t="s">
        <v>974</v>
      </c>
      <c r="B99" s="36" t="s">
        <v>654</v>
      </c>
      <c r="C99" s="36" t="s">
        <v>653</v>
      </c>
      <c r="D99" s="37"/>
      <c r="E99" s="37"/>
      <c r="F99" s="37"/>
      <c r="G99" s="37"/>
      <c r="H99" s="37"/>
      <c r="I99" s="37"/>
    </row>
    <row r="100" spans="1:9" ht="14.25" customHeight="1" x14ac:dyDescent="0.3">
      <c r="A100" s="36" t="s">
        <v>975</v>
      </c>
      <c r="B100" s="36" t="s">
        <v>654</v>
      </c>
      <c r="C100" s="36" t="s">
        <v>653</v>
      </c>
      <c r="D100" s="37"/>
      <c r="E100" s="37"/>
      <c r="F100" s="37"/>
      <c r="G100" s="37"/>
      <c r="H100" s="37"/>
      <c r="I100" s="37"/>
    </row>
    <row r="101" spans="1:9" ht="14.25" customHeight="1" x14ac:dyDescent="0.3">
      <c r="A101" s="36" t="s">
        <v>976</v>
      </c>
      <c r="B101" s="36" t="s">
        <v>654</v>
      </c>
      <c r="C101" s="36" t="s">
        <v>653</v>
      </c>
      <c r="D101" s="37"/>
      <c r="E101" s="37"/>
      <c r="F101" s="37"/>
      <c r="G101" s="37"/>
      <c r="H101" s="37"/>
      <c r="I101" s="37"/>
    </row>
    <row r="102" spans="1:9" ht="14.25" customHeight="1" x14ac:dyDescent="0.3">
      <c r="A102" s="36" t="s">
        <v>977</v>
      </c>
      <c r="B102" s="36" t="s">
        <v>654</v>
      </c>
      <c r="C102" s="36" t="s">
        <v>653</v>
      </c>
      <c r="D102" s="37"/>
      <c r="E102" s="37"/>
      <c r="F102" s="37"/>
      <c r="G102" s="37"/>
      <c r="H102" s="37"/>
      <c r="I102" s="37"/>
    </row>
    <row r="103" spans="1:9" ht="14.25" customHeight="1" x14ac:dyDescent="0.3">
      <c r="A103" s="36" t="s">
        <v>655</v>
      </c>
      <c r="B103" s="36" t="s">
        <v>654</v>
      </c>
      <c r="C103" s="36" t="s">
        <v>653</v>
      </c>
      <c r="D103" s="37"/>
      <c r="E103" s="37"/>
      <c r="F103" s="37"/>
      <c r="G103" s="37"/>
      <c r="H103" s="37"/>
      <c r="I103" s="37"/>
    </row>
    <row r="104" spans="1:9" ht="14.25" customHeight="1" x14ac:dyDescent="0.3">
      <c r="A104" s="36" t="s">
        <v>978</v>
      </c>
      <c r="B104" s="36" t="s">
        <v>654</v>
      </c>
      <c r="C104" s="36" t="s">
        <v>653</v>
      </c>
      <c r="D104" s="37"/>
      <c r="E104" s="37"/>
      <c r="F104" s="37"/>
      <c r="G104" s="37"/>
      <c r="H104" s="37"/>
      <c r="I104" s="37"/>
    </row>
    <row r="105" spans="1:9" ht="14.25" customHeight="1" x14ac:dyDescent="0.3">
      <c r="A105" s="36" t="s">
        <v>979</v>
      </c>
      <c r="B105" s="36" t="s">
        <v>654</v>
      </c>
      <c r="C105" s="36" t="s">
        <v>653</v>
      </c>
      <c r="D105" s="37"/>
      <c r="E105" s="37"/>
      <c r="F105" s="37"/>
      <c r="G105" s="37"/>
      <c r="H105" s="37"/>
      <c r="I105" s="37"/>
    </row>
    <row r="106" spans="1:9" ht="14.25" customHeight="1" x14ac:dyDescent="0.3">
      <c r="A106" s="36" t="s">
        <v>973</v>
      </c>
      <c r="B106" s="36" t="s">
        <v>917</v>
      </c>
      <c r="C106" s="36" t="s">
        <v>653</v>
      </c>
      <c r="D106" s="37"/>
      <c r="E106" s="37"/>
      <c r="F106" s="37"/>
      <c r="G106" s="37"/>
      <c r="H106" s="37"/>
      <c r="I106" s="37"/>
    </row>
    <row r="107" spans="1:9" ht="14.25" customHeight="1" x14ac:dyDescent="0.3">
      <c r="A107" s="36" t="s">
        <v>974</v>
      </c>
      <c r="B107" s="36" t="s">
        <v>917</v>
      </c>
      <c r="C107" s="36" t="s">
        <v>653</v>
      </c>
      <c r="D107" s="37"/>
      <c r="E107" s="37"/>
      <c r="F107" s="37"/>
      <c r="G107" s="37"/>
      <c r="H107" s="37"/>
      <c r="I107" s="37"/>
    </row>
    <row r="108" spans="1:9" ht="14.25" customHeight="1" x14ac:dyDescent="0.3">
      <c r="A108" s="36" t="s">
        <v>978</v>
      </c>
      <c r="B108" s="36" t="s">
        <v>917</v>
      </c>
      <c r="C108" s="36" t="s">
        <v>653</v>
      </c>
      <c r="D108" s="37"/>
      <c r="E108" s="37"/>
      <c r="F108" s="37"/>
      <c r="G108" s="37"/>
      <c r="H108" s="37"/>
      <c r="I108" s="37"/>
    </row>
    <row r="109" spans="1:9" ht="14.25" customHeight="1" x14ac:dyDescent="0.3">
      <c r="A109" s="36" t="s">
        <v>980</v>
      </c>
      <c r="B109" s="36" t="s">
        <v>917</v>
      </c>
      <c r="C109" s="36" t="s">
        <v>653</v>
      </c>
      <c r="D109" s="37"/>
      <c r="E109" s="37"/>
      <c r="F109" s="37"/>
      <c r="G109" s="37"/>
      <c r="H109" s="37"/>
      <c r="I109" s="37"/>
    </row>
    <row r="110" spans="1:9" ht="14.25" customHeight="1" x14ac:dyDescent="0.3">
      <c r="A110" s="36" t="s">
        <v>981</v>
      </c>
      <c r="B110" s="36" t="s">
        <v>982</v>
      </c>
      <c r="C110" s="36" t="s">
        <v>653</v>
      </c>
      <c r="D110" s="37"/>
      <c r="E110" s="37"/>
      <c r="F110" s="37"/>
      <c r="G110" s="37"/>
      <c r="H110" s="37"/>
      <c r="I110" s="37"/>
    </row>
    <row r="111" spans="1:9" ht="14.25" customHeight="1" x14ac:dyDescent="0.3">
      <c r="A111" s="36" t="s">
        <v>983</v>
      </c>
      <c r="B111" s="36" t="s">
        <v>982</v>
      </c>
      <c r="C111" s="36" t="s">
        <v>653</v>
      </c>
      <c r="D111" s="37"/>
      <c r="E111" s="37"/>
      <c r="F111" s="37"/>
      <c r="G111" s="37"/>
      <c r="H111" s="37"/>
      <c r="I111" s="37"/>
    </row>
    <row r="112" spans="1:9" ht="14.25" customHeight="1" x14ac:dyDescent="0.3">
      <c r="A112" s="36" t="s">
        <v>984</v>
      </c>
      <c r="B112" s="36" t="s">
        <v>982</v>
      </c>
      <c r="C112" s="36" t="s">
        <v>653</v>
      </c>
      <c r="D112" s="37"/>
      <c r="E112" s="37"/>
      <c r="F112" s="37"/>
      <c r="G112" s="37"/>
      <c r="H112" s="37"/>
      <c r="I112" s="37"/>
    </row>
    <row r="113" spans="1:9" ht="14.25" customHeight="1" x14ac:dyDescent="0.3">
      <c r="A113" s="36" t="s">
        <v>985</v>
      </c>
      <c r="B113" s="36" t="s">
        <v>982</v>
      </c>
      <c r="C113" s="36" t="s">
        <v>653</v>
      </c>
      <c r="D113" s="37"/>
      <c r="E113" s="37"/>
      <c r="F113" s="37"/>
      <c r="G113" s="37"/>
      <c r="H113" s="37"/>
      <c r="I113" s="37"/>
    </row>
    <row r="114" spans="1:9" ht="14.25" customHeight="1" x14ac:dyDescent="0.3">
      <c r="A114" s="36" t="s">
        <v>986</v>
      </c>
      <c r="B114" s="36" t="s">
        <v>982</v>
      </c>
      <c r="C114" s="36" t="s">
        <v>653</v>
      </c>
      <c r="D114" s="37"/>
      <c r="E114" s="37"/>
      <c r="F114" s="37"/>
      <c r="G114" s="37"/>
      <c r="H114" s="37"/>
      <c r="I114" s="37"/>
    </row>
    <row r="115" spans="1:9" ht="14.25" customHeight="1" x14ac:dyDescent="0.3">
      <c r="A115" s="36" t="s">
        <v>987</v>
      </c>
      <c r="B115" s="36" t="s">
        <v>982</v>
      </c>
      <c r="C115" s="36" t="s">
        <v>653</v>
      </c>
      <c r="D115" s="37"/>
      <c r="E115" s="37"/>
      <c r="F115" s="37"/>
      <c r="G115" s="37"/>
      <c r="H115" s="37"/>
      <c r="I115" s="37"/>
    </row>
    <row r="116" spans="1:9" ht="14.25" customHeight="1" x14ac:dyDescent="0.3">
      <c r="A116" s="36" t="s">
        <v>988</v>
      </c>
      <c r="B116" s="36" t="s">
        <v>982</v>
      </c>
      <c r="C116" s="36" t="s">
        <v>653</v>
      </c>
      <c r="D116" s="37"/>
      <c r="E116" s="37"/>
      <c r="F116" s="37"/>
      <c r="G116" s="37"/>
      <c r="H116" s="37"/>
      <c r="I116" s="37"/>
    </row>
    <row r="117" spans="1:9" ht="14.25" customHeight="1" x14ac:dyDescent="0.3">
      <c r="A117" s="36" t="s">
        <v>989</v>
      </c>
      <c r="B117" s="36" t="s">
        <v>315</v>
      </c>
      <c r="C117" s="36" t="s">
        <v>97</v>
      </c>
      <c r="D117" s="37"/>
      <c r="E117" s="37"/>
      <c r="F117" s="37"/>
      <c r="G117" s="37"/>
      <c r="H117" s="37"/>
      <c r="I117" s="37"/>
    </row>
    <row r="118" spans="1:9" ht="14.25" customHeight="1" x14ac:dyDescent="0.3">
      <c r="A118" s="36" t="s">
        <v>990</v>
      </c>
      <c r="B118" s="36" t="s">
        <v>766</v>
      </c>
      <c r="C118" s="36" t="s">
        <v>97</v>
      </c>
      <c r="D118" s="37"/>
      <c r="E118" s="37"/>
      <c r="F118" s="37"/>
      <c r="G118" s="37"/>
      <c r="H118" s="37"/>
      <c r="I118" s="37"/>
    </row>
    <row r="119" spans="1:9" ht="14.25" customHeight="1" x14ac:dyDescent="0.3">
      <c r="A119" s="36" t="s">
        <v>765</v>
      </c>
      <c r="B119" s="36" t="s">
        <v>766</v>
      </c>
      <c r="C119" s="36" t="s">
        <v>97</v>
      </c>
      <c r="D119" s="37"/>
      <c r="E119" s="37"/>
      <c r="F119" s="37"/>
      <c r="G119" s="37"/>
      <c r="H119" s="37"/>
      <c r="I119" s="37"/>
    </row>
    <row r="120" spans="1:9" ht="14.25" customHeight="1" x14ac:dyDescent="0.3">
      <c r="A120" s="36" t="s">
        <v>991</v>
      </c>
      <c r="B120" s="36" t="s">
        <v>766</v>
      </c>
      <c r="C120" s="36" t="s">
        <v>97</v>
      </c>
      <c r="D120" s="37"/>
      <c r="E120" s="37"/>
      <c r="F120" s="37"/>
      <c r="G120" s="37"/>
      <c r="H120" s="37"/>
      <c r="I120" s="37"/>
    </row>
    <row r="121" spans="1:9" ht="14.25" customHeight="1" x14ac:dyDescent="0.3">
      <c r="A121" s="36" t="s">
        <v>992</v>
      </c>
      <c r="B121" s="36" t="s">
        <v>766</v>
      </c>
      <c r="C121" s="36" t="s">
        <v>97</v>
      </c>
      <c r="D121" s="37"/>
      <c r="E121" s="37"/>
      <c r="F121" s="37"/>
      <c r="G121" s="37"/>
      <c r="H121" s="37"/>
      <c r="I121" s="37"/>
    </row>
    <row r="122" spans="1:9" ht="14.25" customHeight="1" x14ac:dyDescent="0.3">
      <c r="A122" s="36" t="s">
        <v>316</v>
      </c>
      <c r="B122" s="36" t="s">
        <v>205</v>
      </c>
      <c r="C122" s="36" t="s">
        <v>97</v>
      </c>
      <c r="D122" s="37"/>
      <c r="E122" s="37"/>
      <c r="F122" s="37"/>
      <c r="G122" s="37"/>
      <c r="H122" s="37"/>
      <c r="I122" s="37"/>
    </row>
    <row r="123" spans="1:9" ht="14.25" customHeight="1" x14ac:dyDescent="0.3">
      <c r="A123" s="36" t="s">
        <v>993</v>
      </c>
      <c r="B123" s="36" t="s">
        <v>205</v>
      </c>
      <c r="C123" s="36" t="s">
        <v>97</v>
      </c>
      <c r="D123" s="37"/>
      <c r="E123" s="37"/>
      <c r="F123" s="37"/>
      <c r="G123" s="37"/>
      <c r="H123" s="37"/>
      <c r="I123" s="37"/>
    </row>
    <row r="124" spans="1:9" ht="14.25" customHeight="1" x14ac:dyDescent="0.3">
      <c r="A124" s="36" t="s">
        <v>994</v>
      </c>
      <c r="B124" s="36" t="s">
        <v>205</v>
      </c>
      <c r="C124" s="36" t="s">
        <v>97</v>
      </c>
      <c r="D124" s="37"/>
      <c r="E124" s="37"/>
      <c r="F124" s="37"/>
      <c r="G124" s="37"/>
      <c r="H124" s="37"/>
      <c r="I124" s="37"/>
    </row>
    <row r="125" spans="1:9" ht="14.25" customHeight="1" x14ac:dyDescent="0.3">
      <c r="A125" s="36" t="s">
        <v>995</v>
      </c>
      <c r="B125" s="36" t="s">
        <v>996</v>
      </c>
      <c r="C125" s="36" t="s">
        <v>97</v>
      </c>
      <c r="D125" s="37"/>
      <c r="E125" s="37"/>
      <c r="F125" s="37"/>
      <c r="G125" s="37"/>
      <c r="H125" s="37"/>
      <c r="I125" s="37"/>
    </row>
    <row r="126" spans="1:9" ht="14.25" customHeight="1" x14ac:dyDescent="0.3">
      <c r="A126" s="36" t="s">
        <v>997</v>
      </c>
      <c r="B126" s="36" t="s">
        <v>996</v>
      </c>
      <c r="C126" s="36" t="s">
        <v>97</v>
      </c>
      <c r="D126" s="37"/>
      <c r="E126" s="37"/>
      <c r="F126" s="37"/>
      <c r="G126" s="37"/>
      <c r="H126" s="37"/>
      <c r="I126" s="37"/>
    </row>
    <row r="127" spans="1:9" ht="14.25" customHeight="1" x14ac:dyDescent="0.3">
      <c r="A127" s="36" t="s">
        <v>998</v>
      </c>
      <c r="B127" s="36" t="s">
        <v>996</v>
      </c>
      <c r="C127" s="36" t="s">
        <v>97</v>
      </c>
      <c r="D127" s="37"/>
      <c r="E127" s="37"/>
      <c r="F127" s="37"/>
      <c r="G127" s="37"/>
      <c r="H127" s="37"/>
      <c r="I127" s="37"/>
    </row>
    <row r="128" spans="1:9" ht="14.25" customHeight="1" x14ac:dyDescent="0.3">
      <c r="A128" s="36" t="s">
        <v>999</v>
      </c>
      <c r="B128" s="36" t="s">
        <v>996</v>
      </c>
      <c r="C128" s="36" t="s">
        <v>97</v>
      </c>
      <c r="D128" s="37"/>
      <c r="E128" s="37"/>
      <c r="F128" s="37"/>
      <c r="G128" s="37"/>
      <c r="H128" s="37"/>
      <c r="I128" s="37"/>
    </row>
    <row r="129" spans="1:9" ht="14.25" customHeight="1" x14ac:dyDescent="0.3">
      <c r="A129" s="36" t="s">
        <v>1000</v>
      </c>
      <c r="B129" s="36" t="s">
        <v>996</v>
      </c>
      <c r="C129" s="36" t="s">
        <v>97</v>
      </c>
      <c r="D129" s="37"/>
      <c r="E129" s="37"/>
      <c r="F129" s="37"/>
      <c r="G129" s="37"/>
      <c r="H129" s="37"/>
      <c r="I129" s="37"/>
    </row>
    <row r="130" spans="1:9" ht="14.25" customHeight="1" x14ac:dyDescent="0.3">
      <c r="A130" s="36" t="s">
        <v>1001</v>
      </c>
      <c r="B130" s="36" t="s">
        <v>1002</v>
      </c>
      <c r="C130" s="36" t="s">
        <v>97</v>
      </c>
      <c r="D130" s="37"/>
      <c r="E130" s="37"/>
      <c r="F130" s="37"/>
      <c r="G130" s="37"/>
      <c r="H130" s="37"/>
      <c r="I130" s="37"/>
    </row>
    <row r="131" spans="1:9" ht="14.25" customHeight="1" x14ac:dyDescent="0.3">
      <c r="A131" s="36" t="s">
        <v>1003</v>
      </c>
      <c r="B131" s="36" t="s">
        <v>1002</v>
      </c>
      <c r="C131" s="36" t="s">
        <v>97</v>
      </c>
      <c r="D131" s="37"/>
      <c r="E131" s="37"/>
      <c r="F131" s="37"/>
      <c r="G131" s="37"/>
      <c r="H131" s="37"/>
      <c r="I131" s="37"/>
    </row>
    <row r="132" spans="1:9" ht="14.25" customHeight="1" x14ac:dyDescent="0.3">
      <c r="A132" s="36" t="s">
        <v>1004</v>
      </c>
      <c r="B132" s="36" t="s">
        <v>1002</v>
      </c>
      <c r="C132" s="36" t="s">
        <v>97</v>
      </c>
      <c r="D132" s="37"/>
      <c r="E132" s="37"/>
      <c r="F132" s="37"/>
      <c r="G132" s="37"/>
      <c r="H132" s="37"/>
      <c r="I132" s="37"/>
    </row>
    <row r="133" spans="1:9" ht="14.25" customHeight="1" x14ac:dyDescent="0.3">
      <c r="A133" s="36" t="s">
        <v>1005</v>
      </c>
      <c r="B133" s="36" t="s">
        <v>1002</v>
      </c>
      <c r="C133" s="36" t="s">
        <v>97</v>
      </c>
      <c r="D133" s="37"/>
      <c r="E133" s="37"/>
      <c r="F133" s="37"/>
      <c r="G133" s="37"/>
      <c r="H133" s="37"/>
      <c r="I133" s="37"/>
    </row>
    <row r="134" spans="1:9" ht="14.25" customHeight="1" x14ac:dyDescent="0.3">
      <c r="A134" s="36" t="s">
        <v>1006</v>
      </c>
      <c r="B134" s="36" t="s">
        <v>1002</v>
      </c>
      <c r="C134" s="36" t="s">
        <v>97</v>
      </c>
      <c r="D134" s="37"/>
      <c r="E134" s="37"/>
      <c r="F134" s="37"/>
      <c r="G134" s="37"/>
      <c r="H134" s="37"/>
      <c r="I134" s="37"/>
    </row>
    <row r="135" spans="1:9" ht="14.25" customHeight="1" x14ac:dyDescent="0.3">
      <c r="A135" s="36" t="s">
        <v>1007</v>
      </c>
      <c r="B135" s="36" t="s">
        <v>1002</v>
      </c>
      <c r="C135" s="36" t="s">
        <v>97</v>
      </c>
      <c r="D135" s="37"/>
      <c r="E135" s="37"/>
      <c r="F135" s="37"/>
      <c r="G135" s="37"/>
      <c r="H135" s="37"/>
      <c r="I135" s="37"/>
    </row>
    <row r="136" spans="1:9" ht="14.25" customHeight="1" x14ac:dyDescent="0.3">
      <c r="A136" s="36" t="s">
        <v>1008</v>
      </c>
      <c r="B136" s="36" t="s">
        <v>1009</v>
      </c>
      <c r="C136" s="36" t="s">
        <v>685</v>
      </c>
      <c r="D136" s="37"/>
      <c r="E136" s="37"/>
      <c r="F136" s="37"/>
      <c r="G136" s="37"/>
      <c r="H136" s="37"/>
      <c r="I136" s="37"/>
    </row>
    <row r="137" spans="1:9" ht="14.25" customHeight="1" x14ac:dyDescent="0.3">
      <c r="A137" s="36" t="s">
        <v>1010</v>
      </c>
      <c r="B137" s="36" t="s">
        <v>1009</v>
      </c>
      <c r="C137" s="36" t="s">
        <v>685</v>
      </c>
      <c r="D137" s="37"/>
      <c r="E137" s="37"/>
      <c r="F137" s="37"/>
      <c r="G137" s="37"/>
      <c r="H137" s="37"/>
      <c r="I137" s="37"/>
    </row>
    <row r="138" spans="1:9" ht="14.25" customHeight="1" x14ac:dyDescent="0.3">
      <c r="A138" s="36" t="s">
        <v>1011</v>
      </c>
      <c r="B138" s="36" t="s">
        <v>1009</v>
      </c>
      <c r="C138" s="36" t="s">
        <v>685</v>
      </c>
      <c r="D138" s="37"/>
      <c r="E138" s="37"/>
      <c r="F138" s="37"/>
      <c r="G138" s="37"/>
      <c r="H138" s="37"/>
      <c r="I138" s="37"/>
    </row>
    <row r="139" spans="1:9" ht="14.25" customHeight="1" x14ac:dyDescent="0.3">
      <c r="A139" s="36" t="s">
        <v>1012</v>
      </c>
      <c r="B139" s="36" t="s">
        <v>613</v>
      </c>
      <c r="C139" s="36" t="s">
        <v>685</v>
      </c>
      <c r="D139" s="37"/>
      <c r="E139" s="37"/>
      <c r="F139" s="37"/>
      <c r="G139" s="37"/>
      <c r="H139" s="37"/>
      <c r="I139" s="37"/>
    </row>
    <row r="140" spans="1:9" ht="14.25" customHeight="1" x14ac:dyDescent="0.3">
      <c r="A140" s="36" t="s">
        <v>1013</v>
      </c>
      <c r="B140" s="36" t="s">
        <v>613</v>
      </c>
      <c r="C140" s="36" t="s">
        <v>685</v>
      </c>
      <c r="D140" s="37"/>
      <c r="E140" s="37"/>
      <c r="F140" s="37"/>
      <c r="G140" s="37"/>
      <c r="H140" s="37"/>
      <c r="I140" s="37"/>
    </row>
    <row r="141" spans="1:9" ht="14.25" customHeight="1" x14ac:dyDescent="0.3">
      <c r="A141" s="36" t="s">
        <v>1014</v>
      </c>
      <c r="B141" s="36" t="s">
        <v>613</v>
      </c>
      <c r="C141" s="36" t="s">
        <v>685</v>
      </c>
      <c r="D141" s="37"/>
      <c r="E141" s="37"/>
      <c r="F141" s="37"/>
      <c r="G141" s="37"/>
      <c r="H141" s="37"/>
      <c r="I141" s="37"/>
    </row>
    <row r="142" spans="1:9" ht="14.25" customHeight="1" x14ac:dyDescent="0.3">
      <c r="A142" s="36" t="s">
        <v>1015</v>
      </c>
      <c r="B142" s="36" t="s">
        <v>613</v>
      </c>
      <c r="C142" s="36" t="s">
        <v>685</v>
      </c>
      <c r="D142" s="37"/>
      <c r="E142" s="37"/>
      <c r="F142" s="37"/>
      <c r="G142" s="37"/>
      <c r="H142" s="37"/>
      <c r="I142" s="37"/>
    </row>
    <row r="143" spans="1:9" ht="14.25" customHeight="1" x14ac:dyDescent="0.3">
      <c r="A143" s="36" t="s">
        <v>1016</v>
      </c>
      <c r="B143" s="36" t="s">
        <v>613</v>
      </c>
      <c r="C143" s="36" t="s">
        <v>685</v>
      </c>
      <c r="D143" s="37"/>
      <c r="E143" s="37"/>
      <c r="F143" s="37"/>
      <c r="G143" s="37"/>
      <c r="H143" s="37"/>
      <c r="I143" s="37"/>
    </row>
    <row r="144" spans="1:9" ht="14.25" customHeight="1" x14ac:dyDescent="0.3">
      <c r="A144" s="36" t="s">
        <v>1017</v>
      </c>
      <c r="B144" s="36" t="s">
        <v>613</v>
      </c>
      <c r="C144" s="36" t="s">
        <v>685</v>
      </c>
      <c r="D144" s="37"/>
      <c r="E144" s="37"/>
      <c r="F144" s="37"/>
      <c r="G144" s="37"/>
      <c r="H144" s="37"/>
      <c r="I144" s="37"/>
    </row>
    <row r="145" spans="1:9" ht="14.25" customHeight="1" x14ac:dyDescent="0.3">
      <c r="A145" s="36" t="s">
        <v>1018</v>
      </c>
      <c r="B145" s="36" t="s">
        <v>613</v>
      </c>
      <c r="C145" s="36" t="s">
        <v>685</v>
      </c>
      <c r="D145" s="37"/>
      <c r="E145" s="37"/>
      <c r="F145" s="37"/>
      <c r="G145" s="37"/>
      <c r="H145" s="37"/>
      <c r="I145" s="37"/>
    </row>
    <row r="146" spans="1:9" ht="14.25" customHeight="1" x14ac:dyDescent="0.3">
      <c r="A146" s="36" t="s">
        <v>687</v>
      </c>
      <c r="B146" s="36" t="s">
        <v>613</v>
      </c>
      <c r="C146" s="36" t="s">
        <v>685</v>
      </c>
      <c r="D146" s="37"/>
      <c r="E146" s="37"/>
      <c r="F146" s="37"/>
      <c r="G146" s="37"/>
      <c r="H146" s="37"/>
      <c r="I146" s="37"/>
    </row>
    <row r="147" spans="1:9" ht="14.25" customHeight="1" x14ac:dyDescent="0.3">
      <c r="A147" s="36" t="s">
        <v>1019</v>
      </c>
      <c r="B147" s="36" t="s">
        <v>613</v>
      </c>
      <c r="C147" s="36" t="s">
        <v>685</v>
      </c>
      <c r="D147" s="37"/>
      <c r="E147" s="37"/>
      <c r="F147" s="37"/>
      <c r="G147" s="37"/>
      <c r="H147" s="37"/>
      <c r="I147" s="37"/>
    </row>
    <row r="148" spans="1:9" ht="14.25" customHeight="1" x14ac:dyDescent="0.3">
      <c r="A148" s="36" t="s">
        <v>1020</v>
      </c>
      <c r="B148" s="36" t="s">
        <v>613</v>
      </c>
      <c r="C148" s="36" t="s">
        <v>685</v>
      </c>
      <c r="D148" s="37"/>
      <c r="E148" s="37"/>
      <c r="F148" s="37"/>
      <c r="G148" s="37"/>
      <c r="H148" s="37"/>
      <c r="I148" s="37"/>
    </row>
    <row r="149" spans="1:9" ht="14.25" customHeight="1" x14ac:dyDescent="0.3">
      <c r="A149" s="36" t="s">
        <v>1021</v>
      </c>
      <c r="B149" s="36" t="s">
        <v>613</v>
      </c>
      <c r="C149" s="36" t="s">
        <v>685</v>
      </c>
      <c r="D149" s="37"/>
      <c r="E149" s="37"/>
      <c r="F149" s="37"/>
      <c r="G149" s="37"/>
      <c r="H149" s="37"/>
      <c r="I149" s="37"/>
    </row>
    <row r="150" spans="1:9" ht="14.25" customHeight="1" x14ac:dyDescent="0.3">
      <c r="A150" s="36" t="s">
        <v>1022</v>
      </c>
      <c r="B150" s="36" t="s">
        <v>613</v>
      </c>
      <c r="C150" s="36" t="s">
        <v>685</v>
      </c>
      <c r="D150" s="37"/>
      <c r="E150" s="37"/>
      <c r="F150" s="37"/>
      <c r="G150" s="37"/>
      <c r="H150" s="37"/>
      <c r="I150" s="37"/>
    </row>
    <row r="151" spans="1:9" ht="14.25" customHeight="1" x14ac:dyDescent="0.3">
      <c r="A151" s="36" t="s">
        <v>1023</v>
      </c>
      <c r="B151" s="36" t="s">
        <v>613</v>
      </c>
      <c r="C151" s="36" t="s">
        <v>685</v>
      </c>
      <c r="D151" s="37"/>
      <c r="E151" s="37"/>
      <c r="F151" s="37"/>
      <c r="G151" s="37"/>
      <c r="H151" s="37"/>
      <c r="I151" s="37"/>
    </row>
    <row r="152" spans="1:9" ht="14.25" customHeight="1" x14ac:dyDescent="0.3">
      <c r="A152" s="36" t="s">
        <v>1024</v>
      </c>
      <c r="B152" s="36" t="s">
        <v>613</v>
      </c>
      <c r="C152" s="36" t="s">
        <v>685</v>
      </c>
      <c r="D152" s="37"/>
      <c r="E152" s="37"/>
      <c r="F152" s="37"/>
      <c r="G152" s="37"/>
      <c r="H152" s="37"/>
      <c r="I152" s="37"/>
    </row>
    <row r="153" spans="1:9" ht="14.25" customHeight="1" x14ac:dyDescent="0.3">
      <c r="A153" s="36" t="s">
        <v>1025</v>
      </c>
      <c r="B153" s="36" t="s">
        <v>1026</v>
      </c>
      <c r="C153" s="36" t="s">
        <v>685</v>
      </c>
      <c r="D153" s="37"/>
      <c r="E153" s="37"/>
      <c r="F153" s="37"/>
      <c r="G153" s="37"/>
      <c r="H153" s="37"/>
      <c r="I153" s="37"/>
    </row>
    <row r="154" spans="1:9" ht="14.25" customHeight="1" x14ac:dyDescent="0.3">
      <c r="A154" s="36" t="s">
        <v>1025</v>
      </c>
      <c r="B154" s="36" t="s">
        <v>1026</v>
      </c>
      <c r="C154" s="36" t="s">
        <v>685</v>
      </c>
      <c r="D154" s="37"/>
      <c r="E154" s="37"/>
      <c r="F154" s="37"/>
      <c r="G154" s="37"/>
      <c r="H154" s="37"/>
      <c r="I154" s="37"/>
    </row>
    <row r="155" spans="1:9" ht="14.25" customHeight="1" x14ac:dyDescent="0.3">
      <c r="A155" s="36" t="s">
        <v>1027</v>
      </c>
      <c r="B155" s="36" t="s">
        <v>1026</v>
      </c>
      <c r="C155" s="36" t="s">
        <v>685</v>
      </c>
      <c r="D155" s="37"/>
      <c r="E155" s="37"/>
      <c r="F155" s="37"/>
      <c r="G155" s="37"/>
      <c r="H155" s="37"/>
      <c r="I155" s="37"/>
    </row>
    <row r="156" spans="1:9" ht="14.25" customHeight="1" x14ac:dyDescent="0.3">
      <c r="A156" s="36" t="s">
        <v>1028</v>
      </c>
      <c r="B156" s="36" t="s">
        <v>1026</v>
      </c>
      <c r="C156" s="36" t="s">
        <v>685</v>
      </c>
      <c r="D156" s="37"/>
      <c r="E156" s="37"/>
      <c r="F156" s="37"/>
      <c r="G156" s="37"/>
      <c r="H156" s="37"/>
      <c r="I156" s="37"/>
    </row>
    <row r="157" spans="1:9" ht="14.25" customHeight="1" x14ac:dyDescent="0.3">
      <c r="A157" s="36" t="s">
        <v>1029</v>
      </c>
      <c r="B157" s="36" t="s">
        <v>1026</v>
      </c>
      <c r="C157" s="36" t="s">
        <v>685</v>
      </c>
      <c r="D157" s="37"/>
      <c r="E157" s="37"/>
      <c r="F157" s="37"/>
      <c r="G157" s="37"/>
      <c r="H157" s="37"/>
      <c r="I157" s="37"/>
    </row>
    <row r="158" spans="1:9" ht="14.25" customHeight="1" x14ac:dyDescent="0.3">
      <c r="A158" s="36" t="s">
        <v>1030</v>
      </c>
      <c r="B158" s="36" t="s">
        <v>1026</v>
      </c>
      <c r="C158" s="36" t="s">
        <v>685</v>
      </c>
      <c r="D158" s="37"/>
      <c r="E158" s="37"/>
      <c r="F158" s="37"/>
      <c r="G158" s="37"/>
      <c r="H158" s="37"/>
      <c r="I158" s="37"/>
    </row>
    <row r="159" spans="1:9" ht="14.25" customHeight="1" x14ac:dyDescent="0.3">
      <c r="A159" s="36" t="s">
        <v>1031</v>
      </c>
      <c r="B159" s="36" t="s">
        <v>1026</v>
      </c>
      <c r="C159" s="36" t="s">
        <v>685</v>
      </c>
      <c r="D159" s="37"/>
      <c r="E159" s="37"/>
      <c r="F159" s="37"/>
      <c r="G159" s="37"/>
      <c r="H159" s="37"/>
      <c r="I159" s="37"/>
    </row>
    <row r="160" spans="1:9" ht="14.25" customHeight="1" x14ac:dyDescent="0.3">
      <c r="A160" s="36" t="s">
        <v>1032</v>
      </c>
      <c r="B160" s="36" t="s">
        <v>1026</v>
      </c>
      <c r="C160" s="36" t="s">
        <v>685</v>
      </c>
      <c r="D160" s="37"/>
      <c r="E160" s="37"/>
      <c r="F160" s="37"/>
      <c r="G160" s="37"/>
      <c r="H160" s="37"/>
      <c r="I160" s="37"/>
    </row>
    <row r="161" spans="1:9" ht="14.25" customHeight="1" x14ac:dyDescent="0.3">
      <c r="A161" s="36" t="s">
        <v>1033</v>
      </c>
      <c r="B161" s="36" t="s">
        <v>212</v>
      </c>
      <c r="C161" s="36" t="s">
        <v>133</v>
      </c>
      <c r="D161" s="37"/>
      <c r="E161" s="37"/>
      <c r="F161" s="37"/>
      <c r="G161" s="37"/>
      <c r="H161" s="37"/>
      <c r="I161" s="37"/>
    </row>
    <row r="162" spans="1:9" ht="14.25" customHeight="1" x14ac:dyDescent="0.3">
      <c r="A162" s="36" t="s">
        <v>1034</v>
      </c>
      <c r="B162" s="36" t="s">
        <v>212</v>
      </c>
      <c r="C162" s="36" t="s">
        <v>133</v>
      </c>
      <c r="D162" s="37"/>
      <c r="E162" s="37"/>
      <c r="F162" s="37"/>
      <c r="G162" s="37"/>
      <c r="H162" s="37"/>
      <c r="I162" s="37"/>
    </row>
    <row r="163" spans="1:9" ht="14.25" customHeight="1" x14ac:dyDescent="0.3">
      <c r="A163" s="36" t="s">
        <v>1035</v>
      </c>
      <c r="B163" s="36" t="s">
        <v>212</v>
      </c>
      <c r="C163" s="36" t="s">
        <v>133</v>
      </c>
      <c r="D163" s="37"/>
      <c r="E163" s="37"/>
      <c r="F163" s="37"/>
      <c r="G163" s="37"/>
      <c r="H163" s="37"/>
      <c r="I163" s="37"/>
    </row>
    <row r="164" spans="1:9" ht="14.25" customHeight="1" x14ac:dyDescent="0.3">
      <c r="A164" s="36" t="s">
        <v>479</v>
      </c>
      <c r="B164" s="36" t="s">
        <v>212</v>
      </c>
      <c r="C164" s="36" t="s">
        <v>133</v>
      </c>
      <c r="D164" s="37"/>
      <c r="E164" s="37"/>
      <c r="F164" s="37"/>
      <c r="G164" s="37"/>
      <c r="H164" s="37"/>
      <c r="I164" s="37"/>
    </row>
    <row r="165" spans="1:9" ht="14.25" customHeight="1" x14ac:dyDescent="0.3">
      <c r="A165" s="36" t="s">
        <v>1036</v>
      </c>
      <c r="B165" s="36" t="s">
        <v>212</v>
      </c>
      <c r="C165" s="36" t="s">
        <v>133</v>
      </c>
      <c r="D165" s="37"/>
      <c r="E165" s="37"/>
      <c r="F165" s="37"/>
      <c r="G165" s="37"/>
      <c r="H165" s="37"/>
      <c r="I165" s="37"/>
    </row>
    <row r="166" spans="1:9" ht="14.25" customHeight="1" x14ac:dyDescent="0.3">
      <c r="A166" s="36" t="s">
        <v>1037</v>
      </c>
      <c r="B166" s="36" t="s">
        <v>212</v>
      </c>
      <c r="C166" s="36" t="s">
        <v>133</v>
      </c>
      <c r="D166" s="37"/>
      <c r="E166" s="37"/>
      <c r="F166" s="37"/>
      <c r="G166" s="37"/>
      <c r="H166" s="37"/>
      <c r="I166" s="37"/>
    </row>
    <row r="167" spans="1:9" ht="14.25" customHeight="1" x14ac:dyDescent="0.3">
      <c r="A167" s="36" t="s">
        <v>1038</v>
      </c>
      <c r="B167" s="36" t="s">
        <v>212</v>
      </c>
      <c r="C167" s="36" t="s">
        <v>133</v>
      </c>
      <c r="D167" s="37"/>
      <c r="E167" s="37"/>
      <c r="F167" s="37"/>
      <c r="G167" s="37"/>
      <c r="H167" s="37"/>
      <c r="I167" s="37"/>
    </row>
    <row r="168" spans="1:9" ht="14.25" customHeight="1" x14ac:dyDescent="0.3">
      <c r="A168" s="36" t="s">
        <v>1039</v>
      </c>
      <c r="B168" s="36" t="s">
        <v>212</v>
      </c>
      <c r="C168" s="36" t="s">
        <v>133</v>
      </c>
      <c r="D168" s="37"/>
      <c r="E168" s="37"/>
      <c r="F168" s="37"/>
      <c r="G168" s="37"/>
      <c r="H168" s="37"/>
      <c r="I168" s="37"/>
    </row>
    <row r="169" spans="1:9" ht="14.25" customHeight="1" x14ac:dyDescent="0.3">
      <c r="A169" s="36" t="s">
        <v>1040</v>
      </c>
      <c r="B169" s="36" t="s">
        <v>212</v>
      </c>
      <c r="C169" s="36" t="s">
        <v>133</v>
      </c>
      <c r="D169" s="37"/>
      <c r="E169" s="37"/>
      <c r="F169" s="37"/>
      <c r="G169" s="37"/>
      <c r="H169" s="37"/>
      <c r="I169" s="37"/>
    </row>
    <row r="170" spans="1:9" ht="14.25" customHeight="1" x14ac:dyDescent="0.3">
      <c r="A170" s="36" t="s">
        <v>1041</v>
      </c>
      <c r="B170" s="36" t="s">
        <v>465</v>
      </c>
      <c r="C170" s="36" t="s">
        <v>133</v>
      </c>
      <c r="D170" s="37"/>
      <c r="E170" s="37"/>
      <c r="F170" s="37"/>
      <c r="G170" s="37"/>
      <c r="H170" s="37"/>
      <c r="I170" s="37"/>
    </row>
    <row r="171" spans="1:9" ht="14.25" customHeight="1" x14ac:dyDescent="0.3">
      <c r="A171" s="36" t="s">
        <v>1042</v>
      </c>
      <c r="B171" s="36" t="s">
        <v>465</v>
      </c>
      <c r="C171" s="36" t="s">
        <v>133</v>
      </c>
      <c r="D171" s="37"/>
      <c r="E171" s="37"/>
      <c r="F171" s="37"/>
      <c r="G171" s="37"/>
      <c r="H171" s="37"/>
      <c r="I171" s="37"/>
    </row>
    <row r="172" spans="1:9" ht="14.25" customHeight="1" x14ac:dyDescent="0.3">
      <c r="A172" s="36" t="s">
        <v>1043</v>
      </c>
      <c r="B172" s="36" t="s">
        <v>465</v>
      </c>
      <c r="C172" s="36" t="s">
        <v>133</v>
      </c>
      <c r="D172" s="37"/>
      <c r="E172" s="37"/>
      <c r="F172" s="37"/>
      <c r="G172" s="37"/>
      <c r="H172" s="37"/>
      <c r="I172" s="37"/>
    </row>
    <row r="173" spans="1:9" ht="14.25" customHeight="1" x14ac:dyDescent="0.3">
      <c r="A173" s="36" t="s">
        <v>1044</v>
      </c>
      <c r="B173" s="36" t="s">
        <v>465</v>
      </c>
      <c r="C173" s="36" t="s">
        <v>133</v>
      </c>
      <c r="D173" s="37"/>
      <c r="E173" s="37"/>
      <c r="F173" s="37"/>
      <c r="G173" s="37"/>
      <c r="H173" s="37"/>
      <c r="I173" s="37"/>
    </row>
    <row r="174" spans="1:9" ht="14.25" customHeight="1" x14ac:dyDescent="0.3">
      <c r="A174" s="36" t="s">
        <v>1045</v>
      </c>
      <c r="B174" s="36" t="s">
        <v>465</v>
      </c>
      <c r="C174" s="36" t="s">
        <v>133</v>
      </c>
      <c r="D174" s="37"/>
      <c r="E174" s="37"/>
      <c r="F174" s="37"/>
      <c r="G174" s="37"/>
      <c r="H174" s="37"/>
      <c r="I174" s="37"/>
    </row>
    <row r="175" spans="1:9" ht="14.25" customHeight="1" x14ac:dyDescent="0.3">
      <c r="A175" s="36" t="s">
        <v>1046</v>
      </c>
      <c r="B175" s="36" t="s">
        <v>465</v>
      </c>
      <c r="C175" s="36" t="s">
        <v>133</v>
      </c>
      <c r="D175" s="37"/>
      <c r="E175" s="37"/>
      <c r="F175" s="37"/>
      <c r="G175" s="37"/>
      <c r="H175" s="37"/>
      <c r="I175" s="37"/>
    </row>
    <row r="176" spans="1:9" ht="14.25" customHeight="1" x14ac:dyDescent="0.3">
      <c r="A176" s="36" t="s">
        <v>1047</v>
      </c>
      <c r="B176" s="36" t="s">
        <v>465</v>
      </c>
      <c r="C176" s="36" t="s">
        <v>133</v>
      </c>
      <c r="D176" s="37"/>
      <c r="E176" s="37"/>
      <c r="F176" s="37"/>
      <c r="G176" s="37"/>
      <c r="H176" s="37"/>
      <c r="I176" s="37"/>
    </row>
    <row r="177" spans="1:9" ht="14.25" customHeight="1" x14ac:dyDescent="0.3">
      <c r="A177" s="36" t="s">
        <v>1048</v>
      </c>
      <c r="B177" s="36" t="s">
        <v>1049</v>
      </c>
      <c r="C177" s="36" t="s">
        <v>133</v>
      </c>
      <c r="D177" s="37"/>
      <c r="E177" s="37"/>
      <c r="F177" s="37"/>
      <c r="G177" s="37"/>
      <c r="H177" s="37"/>
      <c r="I177" s="37"/>
    </row>
    <row r="178" spans="1:9" ht="14.25" customHeight="1" x14ac:dyDescent="0.3">
      <c r="A178" s="36" t="s">
        <v>1050</v>
      </c>
      <c r="B178" s="36" t="s">
        <v>1049</v>
      </c>
      <c r="C178" s="36" t="s">
        <v>133</v>
      </c>
      <c r="D178" s="37"/>
      <c r="E178" s="37"/>
      <c r="F178" s="37"/>
      <c r="G178" s="37"/>
      <c r="H178" s="37"/>
      <c r="I178" s="37"/>
    </row>
    <row r="179" spans="1:9" ht="14.25" customHeight="1" x14ac:dyDescent="0.3">
      <c r="A179" s="36" t="s">
        <v>1051</v>
      </c>
      <c r="B179" s="36" t="s">
        <v>1052</v>
      </c>
      <c r="C179" s="36" t="s">
        <v>436</v>
      </c>
      <c r="D179" s="37"/>
      <c r="E179" s="37"/>
      <c r="F179" s="37"/>
      <c r="G179" s="37"/>
      <c r="H179" s="37"/>
      <c r="I179" s="37"/>
    </row>
    <row r="180" spans="1:9" ht="14.25" customHeight="1" x14ac:dyDescent="0.3">
      <c r="A180" s="36" t="s">
        <v>1053</v>
      </c>
      <c r="B180" s="36" t="s">
        <v>1052</v>
      </c>
      <c r="C180" s="36" t="s">
        <v>436</v>
      </c>
      <c r="D180" s="37"/>
      <c r="E180" s="37"/>
      <c r="F180" s="37"/>
      <c r="G180" s="37"/>
      <c r="H180" s="37"/>
      <c r="I180" s="37"/>
    </row>
    <row r="181" spans="1:9" ht="14.25" customHeight="1" x14ac:dyDescent="0.3">
      <c r="A181" s="36" t="s">
        <v>1054</v>
      </c>
      <c r="B181" s="36" t="s">
        <v>1052</v>
      </c>
      <c r="C181" s="36" t="s">
        <v>436</v>
      </c>
      <c r="D181" s="37"/>
      <c r="E181" s="37"/>
      <c r="F181" s="37"/>
      <c r="G181" s="37"/>
      <c r="H181" s="37"/>
      <c r="I181" s="37"/>
    </row>
    <row r="182" spans="1:9" ht="14.25" customHeight="1" x14ac:dyDescent="0.3">
      <c r="A182" s="36" t="s">
        <v>1055</v>
      </c>
      <c r="B182" s="36" t="s">
        <v>1052</v>
      </c>
      <c r="C182" s="36" t="s">
        <v>436</v>
      </c>
      <c r="D182" s="37"/>
      <c r="E182" s="37"/>
      <c r="F182" s="37"/>
      <c r="G182" s="37"/>
      <c r="H182" s="37"/>
      <c r="I182" s="37"/>
    </row>
    <row r="183" spans="1:9" ht="14.25" customHeight="1" x14ac:dyDescent="0.3">
      <c r="A183" s="36" t="s">
        <v>1056</v>
      </c>
      <c r="B183" s="36" t="s">
        <v>797</v>
      </c>
      <c r="C183" s="36" t="s">
        <v>436</v>
      </c>
      <c r="D183" s="37"/>
      <c r="E183" s="37"/>
      <c r="F183" s="37"/>
      <c r="G183" s="37"/>
      <c r="H183" s="37"/>
      <c r="I183" s="37"/>
    </row>
    <row r="184" spans="1:9" ht="14.25" customHeight="1" x14ac:dyDescent="0.3">
      <c r="A184" s="36" t="s">
        <v>1057</v>
      </c>
      <c r="B184" s="36" t="s">
        <v>797</v>
      </c>
      <c r="C184" s="36" t="s">
        <v>436</v>
      </c>
      <c r="D184" s="37"/>
      <c r="E184" s="37"/>
      <c r="F184" s="37"/>
      <c r="G184" s="37"/>
      <c r="H184" s="37"/>
      <c r="I184" s="37"/>
    </row>
    <row r="185" spans="1:9" ht="14.25" customHeight="1" x14ac:dyDescent="0.3">
      <c r="A185" s="36" t="s">
        <v>1058</v>
      </c>
      <c r="B185" s="36" t="s">
        <v>797</v>
      </c>
      <c r="C185" s="36" t="s">
        <v>436</v>
      </c>
      <c r="D185" s="37"/>
      <c r="E185" s="37"/>
      <c r="F185" s="37"/>
      <c r="G185" s="37"/>
      <c r="H185" s="37"/>
      <c r="I185" s="37"/>
    </row>
    <row r="186" spans="1:9" ht="14.25" customHeight="1" x14ac:dyDescent="0.3">
      <c r="A186" s="36" t="s">
        <v>1059</v>
      </c>
      <c r="B186" s="36" t="s">
        <v>797</v>
      </c>
      <c r="C186" s="36" t="s">
        <v>436</v>
      </c>
      <c r="D186" s="37"/>
      <c r="E186" s="37"/>
      <c r="F186" s="37"/>
      <c r="G186" s="37"/>
      <c r="H186" s="37"/>
      <c r="I186" s="37"/>
    </row>
    <row r="187" spans="1:9" ht="14.25" customHeight="1" x14ac:dyDescent="0.3">
      <c r="A187" s="36" t="s">
        <v>1060</v>
      </c>
      <c r="B187" s="36" t="s">
        <v>1061</v>
      </c>
      <c r="C187" s="36" t="s">
        <v>436</v>
      </c>
      <c r="D187" s="37"/>
      <c r="E187" s="37"/>
      <c r="F187" s="37"/>
      <c r="G187" s="37"/>
      <c r="H187" s="37"/>
      <c r="I187" s="37"/>
    </row>
    <row r="188" spans="1:9" ht="14.25" customHeight="1" x14ac:dyDescent="0.3">
      <c r="A188" s="36" t="s">
        <v>1062</v>
      </c>
      <c r="B188" s="36" t="s">
        <v>1061</v>
      </c>
      <c r="C188" s="36" t="s">
        <v>436</v>
      </c>
      <c r="D188" s="37"/>
      <c r="E188" s="37"/>
      <c r="F188" s="37"/>
      <c r="G188" s="37"/>
      <c r="H188" s="37"/>
      <c r="I188" s="37"/>
    </row>
    <row r="189" spans="1:9" ht="14.25" customHeight="1" x14ac:dyDescent="0.3">
      <c r="A189" s="36" t="s">
        <v>1063</v>
      </c>
      <c r="B189" s="36" t="s">
        <v>1061</v>
      </c>
      <c r="C189" s="36" t="s">
        <v>436</v>
      </c>
      <c r="D189" s="37"/>
      <c r="E189" s="37"/>
      <c r="F189" s="37"/>
      <c r="G189" s="37"/>
      <c r="H189" s="37"/>
      <c r="I189" s="37"/>
    </row>
    <row r="190" spans="1:9" ht="14.25" customHeight="1" x14ac:dyDescent="0.3">
      <c r="A190" s="36" t="s">
        <v>1064</v>
      </c>
      <c r="B190" s="36" t="s">
        <v>1061</v>
      </c>
      <c r="C190" s="36" t="s">
        <v>436</v>
      </c>
      <c r="D190" s="37"/>
      <c r="E190" s="37"/>
      <c r="F190" s="37"/>
      <c r="G190" s="37"/>
      <c r="H190" s="37"/>
      <c r="I190" s="37"/>
    </row>
    <row r="191" spans="1:9" ht="14.25" customHeight="1" x14ac:dyDescent="0.3">
      <c r="A191" s="36" t="s">
        <v>1065</v>
      </c>
      <c r="B191" s="36" t="s">
        <v>1066</v>
      </c>
      <c r="C191" s="36" t="s">
        <v>436</v>
      </c>
      <c r="D191" s="37"/>
      <c r="E191" s="37"/>
      <c r="F191" s="37"/>
      <c r="G191" s="37"/>
      <c r="H191" s="37"/>
      <c r="I191" s="37"/>
    </row>
    <row r="192" spans="1:9" ht="14.25" customHeight="1" x14ac:dyDescent="0.3">
      <c r="A192" s="36" t="s">
        <v>1067</v>
      </c>
      <c r="B192" s="36" t="s">
        <v>1066</v>
      </c>
      <c r="C192" s="36" t="s">
        <v>436</v>
      </c>
      <c r="D192" s="37"/>
      <c r="E192" s="37"/>
      <c r="F192" s="37"/>
      <c r="G192" s="37"/>
      <c r="H192" s="37"/>
      <c r="I192" s="37"/>
    </row>
    <row r="193" spans="1:9" ht="14.25" customHeight="1" x14ac:dyDescent="0.3">
      <c r="A193" s="36" t="s">
        <v>1068</v>
      </c>
      <c r="B193" s="36" t="s">
        <v>1066</v>
      </c>
      <c r="C193" s="36" t="s">
        <v>436</v>
      </c>
      <c r="D193" s="37"/>
      <c r="E193" s="37"/>
      <c r="F193" s="37"/>
      <c r="G193" s="37"/>
      <c r="H193" s="37"/>
      <c r="I193" s="37"/>
    </row>
    <row r="194" spans="1:9" ht="14.25" customHeight="1" x14ac:dyDescent="0.3">
      <c r="A194" s="36" t="s">
        <v>1069</v>
      </c>
      <c r="B194" s="36" t="s">
        <v>1066</v>
      </c>
      <c r="C194" s="36" t="s">
        <v>436</v>
      </c>
      <c r="D194" s="37"/>
      <c r="E194" s="37"/>
      <c r="F194" s="37"/>
      <c r="G194" s="37"/>
      <c r="H194" s="37"/>
      <c r="I194" s="37"/>
    </row>
    <row r="195" spans="1:9" ht="14.25" customHeight="1" x14ac:dyDescent="0.3">
      <c r="A195" s="37"/>
      <c r="B195" s="37"/>
      <c r="C195" s="37"/>
      <c r="D195" s="37"/>
      <c r="E195" s="37"/>
      <c r="F195" s="37"/>
      <c r="G195" s="37"/>
      <c r="H195" s="37"/>
      <c r="I195" s="37"/>
    </row>
    <row r="196" spans="1:9" ht="14.25" customHeight="1" x14ac:dyDescent="0.3">
      <c r="A196" s="35" t="s">
        <v>1070</v>
      </c>
      <c r="B196" s="35"/>
      <c r="C196" s="37"/>
      <c r="D196" s="37"/>
      <c r="E196" s="37"/>
      <c r="F196" s="37"/>
      <c r="G196" s="37"/>
      <c r="H196" s="37"/>
      <c r="I196" s="37"/>
    </row>
    <row r="197" spans="1:9" ht="14.25" customHeight="1" x14ac:dyDescent="0.3">
      <c r="A197" s="35" t="s">
        <v>903</v>
      </c>
      <c r="B197" s="35" t="s">
        <v>1071</v>
      </c>
      <c r="C197" s="37"/>
      <c r="D197" s="37"/>
      <c r="E197" s="37"/>
      <c r="F197" s="37"/>
      <c r="G197" s="37"/>
      <c r="H197" s="37"/>
      <c r="I197" s="37"/>
    </row>
    <row r="198" spans="1:9" ht="14.25" customHeight="1" x14ac:dyDescent="0.3">
      <c r="A198" s="36" t="s">
        <v>118</v>
      </c>
      <c r="B198" s="36" t="s">
        <v>317</v>
      </c>
      <c r="C198" s="37"/>
      <c r="D198" s="37"/>
      <c r="E198" s="37"/>
      <c r="F198" s="37"/>
      <c r="G198" s="37"/>
      <c r="H198" s="37"/>
      <c r="I198" s="37"/>
    </row>
    <row r="199" spans="1:9" ht="14.25" customHeight="1" x14ac:dyDescent="0.3">
      <c r="A199" s="36" t="s">
        <v>118</v>
      </c>
      <c r="B199" s="36" t="s">
        <v>480</v>
      </c>
      <c r="C199" s="37"/>
      <c r="D199" s="37"/>
      <c r="E199" s="37"/>
      <c r="F199" s="37"/>
      <c r="G199" s="37"/>
      <c r="H199" s="37"/>
      <c r="I199" s="37"/>
    </row>
    <row r="200" spans="1:9" ht="14.25" customHeight="1" x14ac:dyDescent="0.3">
      <c r="A200" s="36" t="s">
        <v>118</v>
      </c>
      <c r="B200" s="36" t="s">
        <v>1072</v>
      </c>
      <c r="C200" s="37"/>
      <c r="D200" s="37"/>
      <c r="E200" s="37"/>
      <c r="F200" s="37"/>
      <c r="G200" s="37"/>
      <c r="H200" s="37"/>
      <c r="I200" s="37"/>
    </row>
    <row r="201" spans="1:9" ht="14.25" customHeight="1" x14ac:dyDescent="0.3">
      <c r="A201" s="36" t="s">
        <v>118</v>
      </c>
      <c r="B201" s="36" t="s">
        <v>1073</v>
      </c>
      <c r="C201" s="37"/>
      <c r="D201" s="37"/>
      <c r="E201" s="37"/>
      <c r="F201" s="37"/>
      <c r="G201" s="37"/>
      <c r="H201" s="37"/>
      <c r="I201" s="37"/>
    </row>
    <row r="202" spans="1:9" ht="14.25" customHeight="1" x14ac:dyDescent="0.3">
      <c r="A202" s="36" t="s">
        <v>118</v>
      </c>
      <c r="B202" s="36" t="s">
        <v>1074</v>
      </c>
      <c r="C202" s="37"/>
      <c r="D202" s="37"/>
      <c r="E202" s="37"/>
      <c r="F202" s="37"/>
      <c r="G202" s="37"/>
      <c r="H202" s="37"/>
      <c r="I202" s="37"/>
    </row>
    <row r="203" spans="1:9" ht="14.25" customHeight="1" x14ac:dyDescent="0.3">
      <c r="A203" s="36" t="s">
        <v>195</v>
      </c>
      <c r="B203" s="36" t="s">
        <v>1075</v>
      </c>
      <c r="C203" s="37"/>
      <c r="D203" s="37"/>
      <c r="E203" s="37"/>
      <c r="F203" s="37"/>
      <c r="G203" s="37"/>
      <c r="H203" s="37"/>
      <c r="I203" s="37"/>
    </row>
    <row r="204" spans="1:9" ht="14.25" customHeight="1" x14ac:dyDescent="0.3">
      <c r="A204" s="36" t="s">
        <v>195</v>
      </c>
      <c r="B204" s="36" t="s">
        <v>1076</v>
      </c>
      <c r="C204" s="37"/>
      <c r="D204" s="37"/>
      <c r="E204" s="37"/>
      <c r="F204" s="37"/>
      <c r="G204" s="37"/>
      <c r="H204" s="37"/>
      <c r="I204" s="37"/>
    </row>
    <row r="205" spans="1:9" ht="14.25" customHeight="1" x14ac:dyDescent="0.3">
      <c r="A205" s="36" t="s">
        <v>195</v>
      </c>
      <c r="B205" s="36" t="s">
        <v>1077</v>
      </c>
      <c r="C205" s="37"/>
      <c r="D205" s="37"/>
      <c r="E205" s="37"/>
      <c r="F205" s="37"/>
      <c r="G205" s="37"/>
      <c r="H205" s="37"/>
      <c r="I205" s="37"/>
    </row>
    <row r="206" spans="1:9" ht="14.25" customHeight="1" x14ac:dyDescent="0.3">
      <c r="A206" s="36" t="s">
        <v>195</v>
      </c>
      <c r="B206" s="36" t="s">
        <v>1078</v>
      </c>
      <c r="C206" s="37"/>
      <c r="D206" s="37"/>
      <c r="E206" s="37"/>
      <c r="F206" s="37"/>
      <c r="G206" s="37"/>
      <c r="H206" s="37"/>
      <c r="I206" s="37"/>
    </row>
    <row r="207" spans="1:9" ht="14.25" customHeight="1" x14ac:dyDescent="0.3">
      <c r="A207" s="36" t="s">
        <v>195</v>
      </c>
      <c r="B207" s="36" t="s">
        <v>1079</v>
      </c>
      <c r="C207" s="37"/>
      <c r="D207" s="37"/>
      <c r="E207" s="37"/>
      <c r="F207" s="37"/>
      <c r="G207" s="37"/>
      <c r="H207" s="37"/>
      <c r="I207" s="37"/>
    </row>
    <row r="208" spans="1:9" ht="14.25" customHeight="1" x14ac:dyDescent="0.3">
      <c r="A208" s="36" t="s">
        <v>195</v>
      </c>
      <c r="B208" s="36" t="s">
        <v>1080</v>
      </c>
      <c r="C208" s="37"/>
      <c r="D208" s="37"/>
      <c r="E208" s="37"/>
      <c r="F208" s="37"/>
      <c r="G208" s="37"/>
      <c r="H208" s="37"/>
      <c r="I208" s="37"/>
    </row>
    <row r="209" spans="1:9" ht="14.25" customHeight="1" x14ac:dyDescent="0.3">
      <c r="A209" s="36" t="s">
        <v>195</v>
      </c>
      <c r="B209" s="36" t="s">
        <v>1081</v>
      </c>
      <c r="C209" s="37"/>
      <c r="D209" s="37"/>
      <c r="E209" s="37"/>
      <c r="F209" s="37"/>
      <c r="G209" s="37"/>
      <c r="H209" s="37"/>
      <c r="I209" s="37"/>
    </row>
    <row r="210" spans="1:9" ht="14.25" customHeight="1" x14ac:dyDescent="0.3">
      <c r="A210" s="36" t="s">
        <v>195</v>
      </c>
      <c r="B210" s="36" t="s">
        <v>1082</v>
      </c>
      <c r="C210" s="37"/>
      <c r="D210" s="37"/>
      <c r="E210" s="37"/>
      <c r="F210" s="37"/>
      <c r="G210" s="37"/>
      <c r="H210" s="37"/>
      <c r="I210" s="37"/>
    </row>
    <row r="211" spans="1:9" ht="14.25" customHeight="1" x14ac:dyDescent="0.3">
      <c r="A211" s="36" t="s">
        <v>195</v>
      </c>
      <c r="B211" s="36" t="s">
        <v>1083</v>
      </c>
      <c r="C211" s="37"/>
      <c r="D211" s="37"/>
      <c r="E211" s="37"/>
      <c r="F211" s="37"/>
      <c r="G211" s="37"/>
      <c r="H211" s="37"/>
      <c r="I211" s="37"/>
    </row>
    <row r="212" spans="1:9" ht="14.25" customHeight="1" x14ac:dyDescent="0.3">
      <c r="A212" s="36" t="s">
        <v>195</v>
      </c>
      <c r="B212" s="36" t="s">
        <v>1084</v>
      </c>
      <c r="C212" s="37"/>
      <c r="D212" s="37"/>
      <c r="E212" s="37"/>
      <c r="F212" s="37"/>
      <c r="G212" s="37"/>
      <c r="H212" s="37"/>
      <c r="I212" s="37"/>
    </row>
    <row r="213" spans="1:9" ht="14.25" customHeight="1" x14ac:dyDescent="0.3">
      <c r="A213" s="36" t="s">
        <v>195</v>
      </c>
      <c r="B213" s="36" t="s">
        <v>1085</v>
      </c>
      <c r="C213" s="37"/>
      <c r="D213" s="37"/>
      <c r="E213" s="37"/>
      <c r="F213" s="37"/>
      <c r="G213" s="37"/>
      <c r="H213" s="37"/>
      <c r="I213" s="37"/>
    </row>
    <row r="214" spans="1:9" ht="14.25" customHeight="1" x14ac:dyDescent="0.3">
      <c r="A214" s="36" t="s">
        <v>195</v>
      </c>
      <c r="B214" s="36" t="s">
        <v>1086</v>
      </c>
      <c r="C214" s="37"/>
      <c r="D214" s="37"/>
      <c r="E214" s="37"/>
      <c r="F214" s="37"/>
      <c r="G214" s="37"/>
      <c r="H214" s="37"/>
      <c r="I214" s="37"/>
    </row>
    <row r="215" spans="1:9" ht="14.25" customHeight="1" x14ac:dyDescent="0.3">
      <c r="A215" s="36" t="s">
        <v>195</v>
      </c>
      <c r="B215" s="36" t="s">
        <v>1087</v>
      </c>
      <c r="C215" s="37"/>
      <c r="D215" s="37"/>
      <c r="E215" s="37"/>
      <c r="F215" s="37"/>
      <c r="G215" s="37"/>
      <c r="H215" s="37"/>
      <c r="I215" s="37"/>
    </row>
    <row r="216" spans="1:9" ht="14.25" customHeight="1" x14ac:dyDescent="0.3">
      <c r="A216" s="36" t="s">
        <v>653</v>
      </c>
      <c r="B216" s="36" t="s">
        <v>599</v>
      </c>
      <c r="C216" s="37"/>
      <c r="D216" s="37"/>
      <c r="E216" s="37"/>
      <c r="F216" s="37"/>
      <c r="G216" s="37"/>
      <c r="H216" s="37"/>
      <c r="I216" s="37"/>
    </row>
    <row r="217" spans="1:9" ht="14.25" customHeight="1" x14ac:dyDescent="0.3">
      <c r="A217" s="36" t="s">
        <v>653</v>
      </c>
      <c r="B217" s="36" t="s">
        <v>711</v>
      </c>
      <c r="C217" s="37"/>
      <c r="D217" s="37"/>
      <c r="E217" s="37"/>
      <c r="F217" s="37"/>
      <c r="G217" s="37"/>
      <c r="H217" s="37"/>
      <c r="I217" s="37"/>
    </row>
    <row r="218" spans="1:9" ht="14.25" customHeight="1" x14ac:dyDescent="0.3">
      <c r="A218" s="36" t="s">
        <v>97</v>
      </c>
      <c r="B218" s="36" t="s">
        <v>769</v>
      </c>
      <c r="C218" s="37"/>
      <c r="D218" s="37"/>
      <c r="E218" s="37"/>
      <c r="F218" s="37"/>
      <c r="G218" s="37"/>
      <c r="H218" s="37"/>
      <c r="I218" s="37"/>
    </row>
    <row r="219" spans="1:9" ht="14.25" customHeight="1" x14ac:dyDescent="0.3">
      <c r="A219" s="36" t="s">
        <v>97</v>
      </c>
      <c r="B219" s="36" t="s">
        <v>1088</v>
      </c>
      <c r="C219" s="37"/>
      <c r="D219" s="37"/>
      <c r="E219" s="37"/>
      <c r="F219" s="37"/>
      <c r="G219" s="37"/>
      <c r="H219" s="37"/>
      <c r="I219" s="37"/>
    </row>
    <row r="220" spans="1:9" ht="14.25" customHeight="1" x14ac:dyDescent="0.3">
      <c r="A220" s="36" t="s">
        <v>97</v>
      </c>
      <c r="B220" s="36" t="s">
        <v>767</v>
      </c>
      <c r="C220" s="37"/>
      <c r="D220" s="37"/>
      <c r="E220" s="37"/>
      <c r="F220" s="37"/>
      <c r="G220" s="37"/>
      <c r="H220" s="37"/>
      <c r="I220" s="37"/>
    </row>
    <row r="221" spans="1:9" ht="14.25" customHeight="1" x14ac:dyDescent="0.3">
      <c r="A221" s="36" t="s">
        <v>97</v>
      </c>
      <c r="B221" s="36" t="s">
        <v>1089</v>
      </c>
      <c r="C221" s="37"/>
      <c r="D221" s="37"/>
      <c r="E221" s="37"/>
      <c r="F221" s="37"/>
      <c r="G221" s="37"/>
      <c r="H221" s="37"/>
      <c r="I221" s="37"/>
    </row>
    <row r="222" spans="1:9" ht="14.25" customHeight="1" x14ac:dyDescent="0.3">
      <c r="A222" s="36" t="s">
        <v>97</v>
      </c>
      <c r="B222" s="36" t="s">
        <v>1090</v>
      </c>
      <c r="C222" s="37"/>
      <c r="D222" s="37"/>
      <c r="E222" s="37"/>
      <c r="F222" s="37"/>
      <c r="G222" s="37"/>
      <c r="H222" s="37"/>
      <c r="I222" s="37"/>
    </row>
    <row r="223" spans="1:9" ht="14.25" customHeight="1" x14ac:dyDescent="0.3">
      <c r="A223" s="36" t="s">
        <v>685</v>
      </c>
      <c r="B223" s="36" t="s">
        <v>686</v>
      </c>
      <c r="C223" s="37"/>
      <c r="D223" s="37"/>
      <c r="E223" s="37"/>
      <c r="F223" s="37"/>
      <c r="G223" s="37"/>
      <c r="H223" s="37"/>
      <c r="I223" s="37"/>
    </row>
    <row r="224" spans="1:9" ht="14.25" customHeight="1" x14ac:dyDescent="0.3">
      <c r="A224" s="36" t="s">
        <v>685</v>
      </c>
      <c r="B224" s="36" t="s">
        <v>1091</v>
      </c>
      <c r="C224" s="37"/>
      <c r="D224" s="37"/>
      <c r="E224" s="37"/>
      <c r="F224" s="37"/>
      <c r="G224" s="37"/>
      <c r="H224" s="37"/>
      <c r="I224" s="37"/>
    </row>
    <row r="225" spans="1:9" ht="14.25" customHeight="1" x14ac:dyDescent="0.3">
      <c r="A225" s="36" t="s">
        <v>685</v>
      </c>
      <c r="B225" s="36" t="s">
        <v>688</v>
      </c>
      <c r="C225" s="37"/>
      <c r="D225" s="37"/>
      <c r="E225" s="37"/>
      <c r="F225" s="37"/>
      <c r="G225" s="37"/>
      <c r="H225" s="37"/>
      <c r="I225" s="37"/>
    </row>
    <row r="226" spans="1:9" ht="14.25" customHeight="1" x14ac:dyDescent="0.3">
      <c r="A226" s="36" t="s">
        <v>133</v>
      </c>
      <c r="B226" s="36" t="s">
        <v>1092</v>
      </c>
      <c r="C226" s="37"/>
      <c r="D226" s="37"/>
      <c r="E226" s="37"/>
      <c r="F226" s="37"/>
      <c r="G226" s="37"/>
      <c r="H226" s="37"/>
      <c r="I226" s="37"/>
    </row>
    <row r="227" spans="1:9" ht="14.25" customHeight="1" x14ac:dyDescent="0.3">
      <c r="A227" s="36" t="s">
        <v>133</v>
      </c>
      <c r="B227" s="36" t="s">
        <v>1093</v>
      </c>
      <c r="C227" s="37"/>
      <c r="D227" s="37"/>
      <c r="E227" s="37"/>
      <c r="F227" s="37"/>
      <c r="G227" s="37"/>
      <c r="H227" s="37"/>
      <c r="I227" s="37"/>
    </row>
    <row r="228" spans="1:9" ht="14.25" customHeight="1" x14ac:dyDescent="0.3">
      <c r="A228" s="36" t="s">
        <v>133</v>
      </c>
      <c r="B228" s="36" t="s">
        <v>1094</v>
      </c>
      <c r="C228" s="37"/>
      <c r="D228" s="37"/>
      <c r="E228" s="37"/>
      <c r="F228" s="37"/>
      <c r="G228" s="37"/>
      <c r="H228" s="37"/>
      <c r="I228" s="37"/>
    </row>
    <row r="229" spans="1:9" ht="14.25" customHeight="1" x14ac:dyDescent="0.3">
      <c r="A229" s="36" t="s">
        <v>133</v>
      </c>
      <c r="B229" s="36" t="s">
        <v>1095</v>
      </c>
      <c r="C229" s="37"/>
      <c r="D229" s="37"/>
      <c r="E229" s="37"/>
      <c r="F229" s="37"/>
      <c r="G229" s="37"/>
      <c r="H229" s="37"/>
      <c r="I229" s="37"/>
    </row>
    <row r="230" spans="1:9" ht="14.25" customHeight="1" x14ac:dyDescent="0.3">
      <c r="A230" s="36" t="s">
        <v>133</v>
      </c>
      <c r="B230" s="36" t="s">
        <v>1096</v>
      </c>
      <c r="C230" s="37"/>
      <c r="D230" s="37"/>
      <c r="E230" s="37"/>
      <c r="F230" s="37"/>
      <c r="G230" s="37"/>
      <c r="H230" s="37"/>
      <c r="I230" s="37"/>
    </row>
    <row r="231" spans="1:9" ht="14.25" customHeight="1" x14ac:dyDescent="0.3">
      <c r="A231" s="36" t="s">
        <v>436</v>
      </c>
      <c r="B231" s="36" t="s">
        <v>1097</v>
      </c>
      <c r="C231" s="37"/>
      <c r="D231" s="37"/>
      <c r="E231" s="37"/>
      <c r="F231" s="37"/>
      <c r="G231" s="37"/>
      <c r="H231" s="37"/>
      <c r="I231" s="37"/>
    </row>
    <row r="232" spans="1:9" ht="14.25" customHeight="1" x14ac:dyDescent="0.3">
      <c r="A232" s="36" t="s">
        <v>436</v>
      </c>
      <c r="B232" s="36" t="s">
        <v>1098</v>
      </c>
      <c r="C232" s="37"/>
      <c r="D232" s="37"/>
      <c r="E232" s="37"/>
      <c r="F232" s="37"/>
      <c r="G232" s="37"/>
      <c r="H232" s="37"/>
      <c r="I232" s="37"/>
    </row>
    <row r="233" spans="1:9" ht="14.25" customHeight="1" x14ac:dyDescent="0.3">
      <c r="A233" s="36" t="s">
        <v>436</v>
      </c>
      <c r="B233" s="36" t="s">
        <v>1099</v>
      </c>
      <c r="C233" s="37"/>
      <c r="D233" s="37"/>
      <c r="E233" s="37"/>
      <c r="F233" s="37"/>
      <c r="G233" s="37"/>
      <c r="H233" s="37"/>
      <c r="I233" s="37"/>
    </row>
    <row r="234" spans="1:9" ht="14.25" customHeight="1" x14ac:dyDescent="0.3">
      <c r="A234" s="36" t="s">
        <v>436</v>
      </c>
      <c r="B234" s="36" t="s">
        <v>1100</v>
      </c>
      <c r="C234" s="37"/>
      <c r="D234" s="37"/>
      <c r="E234" s="37"/>
      <c r="F234" s="37"/>
      <c r="G234" s="37"/>
      <c r="H234" s="37"/>
      <c r="I234" s="37"/>
    </row>
    <row r="235" spans="1:9" ht="14.25" customHeight="1" x14ac:dyDescent="0.3">
      <c r="A235" s="36" t="s">
        <v>436</v>
      </c>
      <c r="B235" s="36" t="s">
        <v>1101</v>
      </c>
      <c r="C235" s="37"/>
      <c r="D235" s="37"/>
      <c r="E235" s="37"/>
      <c r="F235" s="37"/>
      <c r="G235" s="37"/>
      <c r="H235" s="37"/>
      <c r="I235" s="37"/>
    </row>
    <row r="236" spans="1:9" ht="14.25" customHeight="1" x14ac:dyDescent="0.3">
      <c r="A236" s="36" t="s">
        <v>436</v>
      </c>
      <c r="B236" s="36" t="s">
        <v>1102</v>
      </c>
      <c r="C236" s="37"/>
      <c r="D236" s="37"/>
      <c r="E236" s="37"/>
      <c r="F236" s="37"/>
      <c r="G236" s="37"/>
      <c r="H236" s="37"/>
      <c r="I236" s="37"/>
    </row>
    <row r="237" spans="1:9" ht="14.25" customHeight="1" x14ac:dyDescent="0.3">
      <c r="A237" s="36" t="s">
        <v>436</v>
      </c>
      <c r="B237" s="36" t="s">
        <v>1103</v>
      </c>
      <c r="C237" s="37"/>
      <c r="D237" s="37"/>
      <c r="E237" s="37"/>
      <c r="F237" s="37"/>
      <c r="G237" s="37"/>
      <c r="H237" s="37"/>
      <c r="I237" s="37"/>
    </row>
    <row r="238" spans="1:9" ht="14.25" customHeight="1" x14ac:dyDescent="0.3">
      <c r="A238" s="36" t="s">
        <v>436</v>
      </c>
      <c r="B238" s="36" t="s">
        <v>1104</v>
      </c>
      <c r="C238" s="37"/>
      <c r="D238" s="37"/>
      <c r="E238" s="37"/>
      <c r="F238" s="37"/>
      <c r="G238" s="37"/>
      <c r="H238" s="37"/>
      <c r="I238" s="37"/>
    </row>
    <row r="239" spans="1:9" ht="14.25" customHeight="1" x14ac:dyDescent="0.3">
      <c r="A239" s="37"/>
      <c r="B239" s="37"/>
      <c r="C239" s="37"/>
      <c r="D239" s="37"/>
      <c r="E239" s="37"/>
      <c r="F239" s="37"/>
      <c r="G239" s="37"/>
      <c r="H239" s="37"/>
      <c r="I239" s="37"/>
    </row>
    <row r="240" spans="1:9" ht="14.25" customHeight="1" x14ac:dyDescent="0.3">
      <c r="A240" s="37"/>
      <c r="B240" s="37"/>
      <c r="C240" s="37"/>
      <c r="D240" s="37"/>
      <c r="E240" s="37"/>
      <c r="F240" s="37"/>
      <c r="G240" s="37"/>
      <c r="H240" s="37"/>
      <c r="I240" s="37"/>
    </row>
    <row r="241" spans="1:9" ht="14.25" customHeight="1" x14ac:dyDescent="0.3">
      <c r="A241" s="35" t="s">
        <v>1105</v>
      </c>
      <c r="B241" s="35" t="s">
        <v>1106</v>
      </c>
      <c r="C241" s="38"/>
      <c r="D241" s="37"/>
      <c r="E241" s="37"/>
      <c r="F241" s="37"/>
      <c r="G241" s="37"/>
      <c r="H241" s="37"/>
      <c r="I241" s="37"/>
    </row>
    <row r="242" spans="1:9" ht="14.25" customHeight="1" x14ac:dyDescent="0.3">
      <c r="A242" s="36">
        <v>1</v>
      </c>
      <c r="B242" s="36" t="s">
        <v>1107</v>
      </c>
      <c r="C242" s="36"/>
      <c r="D242" s="37"/>
      <c r="E242" s="37"/>
      <c r="F242" s="37"/>
      <c r="G242" s="37"/>
      <c r="H242" s="37"/>
      <c r="I242" s="37"/>
    </row>
    <row r="243" spans="1:9" ht="14.25" customHeight="1" x14ac:dyDescent="0.3">
      <c r="A243" s="36">
        <v>2</v>
      </c>
      <c r="B243" s="36" t="s">
        <v>1108</v>
      </c>
      <c r="C243" s="36"/>
      <c r="D243" s="37"/>
      <c r="E243" s="37"/>
      <c r="F243" s="37"/>
      <c r="G243" s="37"/>
      <c r="H243" s="37"/>
      <c r="I243" s="37"/>
    </row>
    <row r="244" spans="1:9" ht="14.25" customHeight="1" x14ac:dyDescent="0.3">
      <c r="A244" s="36">
        <v>3</v>
      </c>
      <c r="B244" s="36" t="s">
        <v>1109</v>
      </c>
      <c r="C244" s="36"/>
      <c r="D244" s="37"/>
      <c r="E244" s="37"/>
      <c r="F244" s="37"/>
      <c r="G244" s="37"/>
      <c r="H244" s="37"/>
      <c r="I244" s="37"/>
    </row>
    <row r="245" spans="1:9" ht="14.25" customHeight="1" x14ac:dyDescent="0.3">
      <c r="A245" s="36">
        <v>4</v>
      </c>
      <c r="B245" s="36" t="s">
        <v>1110</v>
      </c>
      <c r="C245" s="36"/>
      <c r="D245" s="37"/>
      <c r="E245" s="37"/>
      <c r="F245" s="37"/>
      <c r="G245" s="37"/>
      <c r="H245" s="37"/>
      <c r="I245" s="37"/>
    </row>
    <row r="246" spans="1:9" ht="14.25" customHeight="1" x14ac:dyDescent="0.3">
      <c r="A246" s="36">
        <v>5</v>
      </c>
      <c r="B246" s="36" t="s">
        <v>1111</v>
      </c>
      <c r="C246" s="36"/>
      <c r="D246" s="37"/>
      <c r="E246" s="37"/>
      <c r="F246" s="37"/>
      <c r="G246" s="37"/>
      <c r="H246" s="37"/>
      <c r="I246" s="37"/>
    </row>
    <row r="247" spans="1:9" ht="14.25" customHeight="1" x14ac:dyDescent="0.3">
      <c r="A247" s="36">
        <v>6</v>
      </c>
      <c r="B247" s="36" t="s">
        <v>1112</v>
      </c>
      <c r="C247" s="36"/>
      <c r="D247" s="37"/>
      <c r="E247" s="37"/>
      <c r="F247" s="37"/>
      <c r="G247" s="37"/>
      <c r="H247" s="37"/>
      <c r="I247" s="37"/>
    </row>
    <row r="248" spans="1:9" ht="14.25" customHeight="1" x14ac:dyDescent="0.3">
      <c r="A248" s="36">
        <v>7</v>
      </c>
      <c r="B248" s="36" t="s">
        <v>1113</v>
      </c>
      <c r="C248" s="36"/>
      <c r="D248" s="37"/>
      <c r="E248" s="37"/>
      <c r="F248" s="37"/>
      <c r="G248" s="37"/>
      <c r="H248" s="37"/>
      <c r="I248" s="37"/>
    </row>
    <row r="249" spans="1:9" ht="14.25" customHeight="1" x14ac:dyDescent="0.3">
      <c r="A249" s="36">
        <v>8</v>
      </c>
      <c r="B249" s="36" t="s">
        <v>1114</v>
      </c>
      <c r="C249" s="36" t="s">
        <v>1115</v>
      </c>
      <c r="D249" s="37"/>
      <c r="E249" s="37"/>
      <c r="F249" s="37"/>
      <c r="G249" s="37"/>
      <c r="H249" s="37"/>
      <c r="I249" s="37"/>
    </row>
    <row r="250" spans="1:9" ht="14.25" customHeight="1" x14ac:dyDescent="0.3">
      <c r="A250" s="36">
        <v>9</v>
      </c>
      <c r="B250" s="36" t="s">
        <v>1116</v>
      </c>
      <c r="C250" s="36" t="s">
        <v>1115</v>
      </c>
      <c r="D250" s="37"/>
      <c r="E250" s="37"/>
      <c r="F250" s="37"/>
      <c r="G250" s="37"/>
      <c r="H250" s="37"/>
      <c r="I250" s="37"/>
    </row>
    <row r="251" spans="1:9" ht="14.25" customHeight="1" x14ac:dyDescent="0.3">
      <c r="A251" s="36">
        <v>10</v>
      </c>
      <c r="B251" s="36" t="s">
        <v>1117</v>
      </c>
      <c r="C251" s="36" t="s">
        <v>1115</v>
      </c>
      <c r="D251" s="37"/>
      <c r="E251" s="37"/>
      <c r="F251" s="37"/>
      <c r="G251" s="37"/>
      <c r="H251" s="37"/>
      <c r="I251" s="37"/>
    </row>
    <row r="252" spans="1:9" ht="14.25" customHeight="1" x14ac:dyDescent="0.3">
      <c r="A252" s="36">
        <v>11</v>
      </c>
      <c r="B252" s="36" t="s">
        <v>1118</v>
      </c>
      <c r="C252" s="36" t="s">
        <v>1115</v>
      </c>
      <c r="D252" s="37"/>
      <c r="E252" s="37"/>
      <c r="F252" s="37"/>
      <c r="G252" s="37"/>
      <c r="H252" s="37"/>
      <c r="I252" s="37"/>
    </row>
    <row r="253" spans="1:9" ht="14.25" customHeight="1" x14ac:dyDescent="0.3">
      <c r="A253" s="36">
        <v>12</v>
      </c>
      <c r="B253" s="36" t="s">
        <v>1119</v>
      </c>
      <c r="C253" s="36" t="s">
        <v>1115</v>
      </c>
      <c r="D253" s="37"/>
      <c r="E253" s="37"/>
      <c r="F253" s="37"/>
      <c r="G253" s="37"/>
      <c r="H253" s="37"/>
      <c r="I253" s="37"/>
    </row>
    <row r="254" spans="1:9" ht="14.25" customHeight="1" x14ac:dyDescent="0.3">
      <c r="A254" s="36">
        <v>13</v>
      </c>
      <c r="B254" s="36" t="s">
        <v>1120</v>
      </c>
      <c r="C254" s="36" t="s">
        <v>1115</v>
      </c>
      <c r="D254" s="37"/>
      <c r="E254" s="37"/>
      <c r="F254" s="37"/>
      <c r="G254" s="37"/>
      <c r="H254" s="37"/>
      <c r="I254" s="37"/>
    </row>
    <row r="255" spans="1:9" ht="14.25" customHeight="1" x14ac:dyDescent="0.3">
      <c r="A255" s="36">
        <v>14</v>
      </c>
      <c r="B255" s="36" t="s">
        <v>1121</v>
      </c>
      <c r="C255" s="36" t="s">
        <v>1115</v>
      </c>
      <c r="D255" s="37"/>
      <c r="E255" s="37"/>
      <c r="F255" s="37"/>
      <c r="G255" s="37"/>
      <c r="H255" s="37"/>
      <c r="I255" s="37"/>
    </row>
    <row r="256" spans="1:9" ht="14.25" customHeight="1" x14ac:dyDescent="0.3">
      <c r="A256" s="36">
        <v>15</v>
      </c>
      <c r="B256" s="36" t="s">
        <v>1122</v>
      </c>
      <c r="C256" s="36" t="s">
        <v>1115</v>
      </c>
      <c r="D256" s="37"/>
      <c r="E256" s="37"/>
      <c r="F256" s="37"/>
      <c r="G256" s="37"/>
      <c r="H256" s="37"/>
      <c r="I256" s="37"/>
    </row>
    <row r="257" spans="1:9" ht="14.25" customHeight="1" x14ac:dyDescent="0.3">
      <c r="A257" s="36">
        <v>16</v>
      </c>
      <c r="B257" s="36" t="s">
        <v>1123</v>
      </c>
      <c r="C257" s="36" t="s">
        <v>1115</v>
      </c>
      <c r="D257" s="37"/>
      <c r="E257" s="37"/>
      <c r="F257" s="37"/>
      <c r="G257" s="37"/>
      <c r="H257" s="37"/>
      <c r="I257" s="37"/>
    </row>
    <row r="258" spans="1:9" ht="14.25" customHeight="1" x14ac:dyDescent="0.3">
      <c r="A258" s="36">
        <v>17</v>
      </c>
      <c r="B258" s="36" t="s">
        <v>1124</v>
      </c>
      <c r="C258" s="36" t="s">
        <v>1115</v>
      </c>
      <c r="D258" s="37"/>
      <c r="E258" s="37"/>
      <c r="F258" s="37"/>
      <c r="G258" s="37"/>
      <c r="H258" s="37"/>
      <c r="I258" s="37"/>
    </row>
    <row r="259" spans="1:9" ht="14.25" customHeight="1" x14ac:dyDescent="0.3">
      <c r="A259" s="36">
        <v>18</v>
      </c>
      <c r="B259" s="36" t="s">
        <v>1125</v>
      </c>
      <c r="C259" s="36" t="s">
        <v>1115</v>
      </c>
      <c r="D259" s="37"/>
      <c r="E259" s="37"/>
      <c r="F259" s="37"/>
      <c r="G259" s="37"/>
      <c r="H259" s="37"/>
      <c r="I259" s="37"/>
    </row>
    <row r="260" spans="1:9" ht="14.25" customHeight="1" x14ac:dyDescent="0.3">
      <c r="A260" s="36">
        <v>19</v>
      </c>
      <c r="B260" s="36" t="s">
        <v>1126</v>
      </c>
      <c r="C260" s="36" t="s">
        <v>1115</v>
      </c>
      <c r="D260" s="37"/>
      <c r="E260" s="37"/>
      <c r="F260" s="37"/>
      <c r="G260" s="37"/>
      <c r="H260" s="37"/>
      <c r="I260" s="37"/>
    </row>
    <row r="261" spans="1:9" ht="14.25" customHeight="1" x14ac:dyDescent="0.3">
      <c r="A261" s="36">
        <v>20</v>
      </c>
      <c r="B261" s="36" t="s">
        <v>1127</v>
      </c>
      <c r="C261" s="36" t="s">
        <v>714</v>
      </c>
      <c r="D261" s="37"/>
      <c r="E261" s="37"/>
      <c r="F261" s="37"/>
      <c r="G261" s="37"/>
      <c r="H261" s="37"/>
      <c r="I261" s="37"/>
    </row>
    <row r="262" spans="1:9" ht="14.25" customHeight="1" x14ac:dyDescent="0.3">
      <c r="A262" s="36">
        <v>21</v>
      </c>
      <c r="B262" s="36" t="s">
        <v>1128</v>
      </c>
      <c r="C262" s="36" t="s">
        <v>714</v>
      </c>
      <c r="D262" s="37"/>
      <c r="E262" s="37"/>
      <c r="F262" s="37"/>
      <c r="G262" s="37"/>
      <c r="H262" s="37"/>
      <c r="I262" s="37"/>
    </row>
    <row r="263" spans="1:9" ht="14.25" customHeight="1" x14ac:dyDescent="0.3">
      <c r="A263" s="36">
        <v>22</v>
      </c>
      <c r="B263" s="36" t="s">
        <v>1129</v>
      </c>
      <c r="C263" s="36" t="s">
        <v>714</v>
      </c>
      <c r="D263" s="37"/>
      <c r="E263" s="37"/>
      <c r="F263" s="37"/>
      <c r="G263" s="37"/>
      <c r="H263" s="37"/>
      <c r="I263" s="37"/>
    </row>
    <row r="264" spans="1:9" ht="14.25" customHeight="1" x14ac:dyDescent="0.3">
      <c r="A264" s="36">
        <v>23</v>
      </c>
      <c r="B264" s="36" t="s">
        <v>1130</v>
      </c>
      <c r="C264" s="36" t="s">
        <v>714</v>
      </c>
      <c r="D264" s="37"/>
      <c r="E264" s="37"/>
      <c r="F264" s="37"/>
      <c r="G264" s="37"/>
      <c r="H264" s="37"/>
      <c r="I264" s="37"/>
    </row>
    <row r="265" spans="1:9" ht="14.25" customHeight="1" x14ac:dyDescent="0.3">
      <c r="A265" s="36">
        <v>24</v>
      </c>
      <c r="B265" s="36" t="s">
        <v>1124</v>
      </c>
      <c r="C265" s="36" t="s">
        <v>714</v>
      </c>
      <c r="D265" s="37"/>
      <c r="E265" s="37"/>
      <c r="F265" s="37"/>
      <c r="G265" s="37"/>
      <c r="H265" s="37"/>
      <c r="I265" s="37"/>
    </row>
    <row r="266" spans="1:9" ht="14.25" customHeight="1" x14ac:dyDescent="0.3">
      <c r="A266" s="36">
        <v>25</v>
      </c>
      <c r="B266" s="36" t="s">
        <v>1131</v>
      </c>
      <c r="C266" s="36" t="s">
        <v>714</v>
      </c>
      <c r="D266" s="37"/>
      <c r="E266" s="37"/>
      <c r="F266" s="37"/>
      <c r="G266" s="37"/>
      <c r="H266" s="37"/>
      <c r="I266" s="37"/>
    </row>
    <row r="267" spans="1:9" ht="14.25" customHeight="1" x14ac:dyDescent="0.3">
      <c r="A267" s="36">
        <v>26</v>
      </c>
      <c r="B267" s="36" t="s">
        <v>1132</v>
      </c>
      <c r="C267" s="36" t="s">
        <v>714</v>
      </c>
      <c r="D267" s="37"/>
      <c r="E267" s="37"/>
      <c r="F267" s="37"/>
      <c r="G267" s="37"/>
      <c r="H267" s="37"/>
      <c r="I267" s="37"/>
    </row>
    <row r="268" spans="1:9" ht="14.25" customHeight="1" x14ac:dyDescent="0.3">
      <c r="A268" s="36">
        <v>27</v>
      </c>
      <c r="B268" s="36" t="s">
        <v>1133</v>
      </c>
      <c r="C268" s="36" t="s">
        <v>714</v>
      </c>
      <c r="D268" s="37"/>
      <c r="E268" s="37"/>
      <c r="F268" s="37"/>
      <c r="G268" s="37"/>
      <c r="H268" s="37"/>
      <c r="I268" s="37"/>
    </row>
    <row r="269" spans="1:9" ht="14.25" customHeight="1" x14ac:dyDescent="0.3">
      <c r="A269" s="36">
        <v>28</v>
      </c>
      <c r="B269" s="36" t="s">
        <v>1134</v>
      </c>
      <c r="C269" s="36" t="s">
        <v>714</v>
      </c>
      <c r="D269" s="37"/>
      <c r="E269" s="37"/>
      <c r="F269" s="37"/>
      <c r="G269" s="37"/>
      <c r="H269" s="37"/>
      <c r="I269" s="37"/>
    </row>
    <row r="270" spans="1:9" ht="14.25" customHeight="1" x14ac:dyDescent="0.3">
      <c r="A270" s="36">
        <v>29</v>
      </c>
      <c r="B270" s="36" t="s">
        <v>1135</v>
      </c>
      <c r="C270" s="36" t="s">
        <v>714</v>
      </c>
      <c r="D270" s="37"/>
      <c r="E270" s="37"/>
      <c r="F270" s="37"/>
      <c r="G270" s="37"/>
      <c r="H270" s="37"/>
      <c r="I270" s="37"/>
    </row>
    <row r="271" spans="1:9" ht="14.25" customHeight="1" x14ac:dyDescent="0.3">
      <c r="A271" s="36">
        <v>30</v>
      </c>
      <c r="B271" s="36" t="s">
        <v>1136</v>
      </c>
      <c r="C271" s="36" t="s">
        <v>1137</v>
      </c>
      <c r="D271" s="37"/>
      <c r="E271" s="37"/>
      <c r="F271" s="37"/>
      <c r="G271" s="37"/>
      <c r="H271" s="37"/>
      <c r="I271" s="37"/>
    </row>
    <row r="272" spans="1:9" ht="14.25" customHeight="1" x14ac:dyDescent="0.3">
      <c r="A272" s="36">
        <v>31</v>
      </c>
      <c r="B272" s="36" t="s">
        <v>1130</v>
      </c>
      <c r="C272" s="36" t="s">
        <v>1137</v>
      </c>
      <c r="D272" s="37"/>
      <c r="E272" s="37"/>
      <c r="F272" s="37"/>
      <c r="G272" s="37"/>
      <c r="H272" s="37"/>
      <c r="I272" s="37"/>
    </row>
    <row r="273" spans="1:9" ht="14.25" customHeight="1" x14ac:dyDescent="0.3">
      <c r="A273" s="36">
        <v>32</v>
      </c>
      <c r="B273" s="36" t="s">
        <v>1138</v>
      </c>
      <c r="C273" s="36" t="s">
        <v>1137</v>
      </c>
      <c r="D273" s="37"/>
      <c r="E273" s="37"/>
      <c r="F273" s="37"/>
      <c r="G273" s="37"/>
      <c r="H273" s="37"/>
      <c r="I273" s="37"/>
    </row>
    <row r="274" spans="1:9" ht="14.25" customHeight="1" x14ac:dyDescent="0.3">
      <c r="A274" s="36">
        <v>33</v>
      </c>
      <c r="B274" s="36" t="s">
        <v>1139</v>
      </c>
      <c r="C274" s="36" t="s">
        <v>1137</v>
      </c>
      <c r="D274" s="37"/>
      <c r="E274" s="37"/>
      <c r="F274" s="37"/>
      <c r="G274" s="37"/>
      <c r="H274" s="37"/>
      <c r="I274" s="37"/>
    </row>
    <row r="275" spans="1:9" ht="14.25" customHeight="1" x14ac:dyDescent="0.3">
      <c r="A275" s="36">
        <v>34</v>
      </c>
      <c r="B275" s="36" t="s">
        <v>1140</v>
      </c>
      <c r="C275" s="36" t="s">
        <v>1137</v>
      </c>
      <c r="D275" s="37"/>
      <c r="E275" s="37"/>
      <c r="F275" s="37"/>
      <c r="G275" s="37"/>
      <c r="H275" s="37"/>
      <c r="I275" s="37"/>
    </row>
    <row r="276" spans="1:9" ht="14.25" customHeight="1" x14ac:dyDescent="0.3">
      <c r="A276" s="36">
        <v>35</v>
      </c>
      <c r="B276" s="36" t="s">
        <v>1126</v>
      </c>
      <c r="C276" s="36" t="s">
        <v>1137</v>
      </c>
      <c r="D276" s="37"/>
      <c r="E276" s="37"/>
      <c r="F276" s="37"/>
      <c r="G276" s="37"/>
      <c r="H276" s="37"/>
      <c r="I276" s="37"/>
    </row>
    <row r="277" spans="1:9" ht="14.25" customHeight="1" x14ac:dyDescent="0.3">
      <c r="A277" s="36">
        <v>36</v>
      </c>
      <c r="B277" s="36" t="s">
        <v>1141</v>
      </c>
      <c r="C277" s="36" t="s">
        <v>1115</v>
      </c>
      <c r="D277" s="37"/>
      <c r="E277" s="37"/>
      <c r="F277" s="37"/>
      <c r="G277" s="37"/>
      <c r="H277" s="37"/>
      <c r="I277" s="37"/>
    </row>
    <row r="278" spans="1:9" ht="14.25" customHeight="1" x14ac:dyDescent="0.3">
      <c r="A278" s="36">
        <v>37</v>
      </c>
      <c r="B278" s="36" t="s">
        <v>1142</v>
      </c>
      <c r="C278" s="36" t="s">
        <v>1115</v>
      </c>
      <c r="D278" s="37"/>
      <c r="E278" s="37"/>
      <c r="F278" s="37"/>
      <c r="G278" s="37"/>
      <c r="H278" s="37"/>
      <c r="I278" s="37"/>
    </row>
    <row r="279" spans="1:9" ht="14.25" customHeight="1" x14ac:dyDescent="0.3">
      <c r="A279" s="36">
        <v>38</v>
      </c>
      <c r="B279" s="36" t="s">
        <v>1143</v>
      </c>
      <c r="C279" s="36" t="s">
        <v>714</v>
      </c>
      <c r="D279" s="37"/>
      <c r="E279" s="37"/>
      <c r="F279" s="37"/>
      <c r="G279" s="37"/>
      <c r="H279" s="37"/>
      <c r="I279" s="37"/>
    </row>
    <row r="280" spans="1:9" ht="14.25" customHeight="1" x14ac:dyDescent="0.3">
      <c r="A280" s="36">
        <v>39</v>
      </c>
      <c r="B280" s="36" t="s">
        <v>1144</v>
      </c>
      <c r="C280" s="36" t="s">
        <v>1137</v>
      </c>
      <c r="D280" s="37"/>
      <c r="E280" s="37"/>
      <c r="F280" s="37"/>
      <c r="G280" s="37"/>
      <c r="H280" s="37"/>
      <c r="I280" s="37"/>
    </row>
    <row r="281" spans="1:9" ht="14.25" customHeight="1" x14ac:dyDescent="0.3">
      <c r="A281" s="36">
        <v>40</v>
      </c>
      <c r="B281" s="36" t="s">
        <v>1145</v>
      </c>
      <c r="C281" s="36" t="s">
        <v>1137</v>
      </c>
      <c r="D281" s="37"/>
      <c r="E281" s="37"/>
      <c r="F281" s="37"/>
      <c r="G281" s="37"/>
      <c r="H281" s="37"/>
      <c r="I281" s="37"/>
    </row>
    <row r="282" spans="1:9" ht="14.25" customHeight="1" x14ac:dyDescent="0.3">
      <c r="A282" s="36">
        <v>41</v>
      </c>
      <c r="B282" s="36" t="s">
        <v>1146</v>
      </c>
      <c r="C282" s="36" t="s">
        <v>1137</v>
      </c>
      <c r="D282" s="37"/>
      <c r="E282" s="37"/>
      <c r="F282" s="37"/>
      <c r="G282" s="37"/>
      <c r="H282" s="37"/>
      <c r="I282" s="37"/>
    </row>
    <row r="283" spans="1:9" ht="14.25" customHeight="1" x14ac:dyDescent="0.3">
      <c r="A283" s="36">
        <v>42</v>
      </c>
      <c r="B283" s="36" t="s">
        <v>1143</v>
      </c>
      <c r="C283" s="36" t="s">
        <v>1137</v>
      </c>
      <c r="D283" s="37"/>
      <c r="E283" s="37"/>
      <c r="F283" s="37"/>
      <c r="G283" s="37"/>
      <c r="H283" s="37"/>
      <c r="I283" s="37"/>
    </row>
    <row r="284" spans="1:9" ht="14.25" customHeight="1" x14ac:dyDescent="0.3">
      <c r="A284" s="36">
        <v>43</v>
      </c>
      <c r="B284" s="36" t="s">
        <v>1147</v>
      </c>
      <c r="C284" s="36" t="s">
        <v>1137</v>
      </c>
      <c r="D284" s="37"/>
      <c r="E284" s="37"/>
      <c r="F284" s="37"/>
      <c r="G284" s="37"/>
      <c r="H284" s="37"/>
      <c r="I284" s="37"/>
    </row>
    <row r="285" spans="1:9" ht="14.25" customHeight="1" x14ac:dyDescent="0.3">
      <c r="A285" s="36">
        <v>44</v>
      </c>
      <c r="B285" s="36" t="s">
        <v>1148</v>
      </c>
      <c r="C285" s="36" t="s">
        <v>1137</v>
      </c>
      <c r="D285" s="37"/>
      <c r="E285" s="37"/>
      <c r="F285" s="37"/>
      <c r="G285" s="37"/>
      <c r="H285" s="37"/>
      <c r="I285" s="37"/>
    </row>
    <row r="286" spans="1:9" ht="14.25" customHeight="1" x14ac:dyDescent="0.3">
      <c r="A286" s="37"/>
      <c r="B286" s="37"/>
      <c r="C286" s="37"/>
      <c r="D286" s="37"/>
      <c r="E286" s="37"/>
      <c r="F286" s="37"/>
      <c r="G286" s="37"/>
      <c r="H286" s="37"/>
      <c r="I286" s="37"/>
    </row>
    <row r="287" spans="1:9" ht="14.25" customHeight="1" x14ac:dyDescent="0.3">
      <c r="A287" s="37"/>
      <c r="B287" s="37"/>
      <c r="C287" s="37"/>
      <c r="D287" s="37"/>
      <c r="E287" s="37"/>
      <c r="F287" s="37"/>
      <c r="G287" s="37"/>
      <c r="H287" s="37"/>
      <c r="I287" s="37"/>
    </row>
    <row r="288" spans="1:9" ht="14.25" customHeight="1" x14ac:dyDescent="0.3">
      <c r="A288" s="35" t="s">
        <v>1149</v>
      </c>
      <c r="B288" s="38"/>
      <c r="C288" s="37"/>
      <c r="D288" s="37"/>
      <c r="E288" s="37"/>
      <c r="F288" s="37"/>
      <c r="G288" s="37"/>
      <c r="H288" s="37"/>
      <c r="I288" s="37"/>
    </row>
    <row r="289" spans="1:9" ht="14.25" customHeight="1" x14ac:dyDescent="0.3">
      <c r="A289" s="36">
        <v>1</v>
      </c>
      <c r="B289" s="36" t="s">
        <v>1115</v>
      </c>
      <c r="C289" s="37"/>
      <c r="D289" s="37"/>
      <c r="E289" s="37"/>
      <c r="F289" s="37"/>
      <c r="G289" s="37"/>
      <c r="H289" s="37"/>
      <c r="I289" s="37"/>
    </row>
    <row r="290" spans="1:9" ht="14.25" customHeight="1" x14ac:dyDescent="0.3">
      <c r="A290" s="36">
        <v>2</v>
      </c>
      <c r="B290" s="36" t="s">
        <v>714</v>
      </c>
      <c r="C290" s="37"/>
      <c r="D290" s="37"/>
      <c r="E290" s="37"/>
      <c r="F290" s="37"/>
      <c r="G290" s="37"/>
      <c r="H290" s="37"/>
      <c r="I290" s="37"/>
    </row>
    <row r="291" spans="1:9" ht="14.25" customHeight="1" x14ac:dyDescent="0.3">
      <c r="A291" s="36">
        <v>3</v>
      </c>
      <c r="B291" s="36" t="s">
        <v>1137</v>
      </c>
      <c r="C291" s="37"/>
      <c r="D291" s="37"/>
      <c r="E291" s="37"/>
      <c r="F291" s="37"/>
      <c r="G291" s="37"/>
      <c r="H291" s="37"/>
      <c r="I291" s="37"/>
    </row>
    <row r="292" spans="1:9" ht="14.25" customHeight="1" x14ac:dyDescent="0.3">
      <c r="A292" s="37"/>
      <c r="B292" s="37"/>
      <c r="C292" s="37"/>
      <c r="D292" s="37"/>
      <c r="E292" s="37"/>
      <c r="F292" s="37"/>
      <c r="G292" s="37"/>
      <c r="H292" s="37"/>
      <c r="I292" s="37"/>
    </row>
    <row r="293" spans="1:9" ht="14.25" customHeight="1" x14ac:dyDescent="0.3">
      <c r="A293" s="35" t="s">
        <v>1150</v>
      </c>
      <c r="B293" s="38"/>
      <c r="C293" s="37"/>
      <c r="D293" s="37"/>
      <c r="E293" s="37"/>
      <c r="F293" s="37"/>
      <c r="G293" s="37"/>
      <c r="H293" s="37"/>
      <c r="I293" s="37"/>
    </row>
    <row r="294" spans="1:9" ht="14.25" customHeight="1" x14ac:dyDescent="0.3">
      <c r="A294" s="36">
        <v>1</v>
      </c>
      <c r="B294" s="36" t="s">
        <v>659</v>
      </c>
      <c r="C294" s="37"/>
      <c r="D294" s="37"/>
      <c r="E294" s="37"/>
      <c r="F294" s="37"/>
      <c r="G294" s="37"/>
      <c r="H294" s="37"/>
      <c r="I294" s="37"/>
    </row>
    <row r="295" spans="1:9" ht="14.25" customHeight="1" x14ac:dyDescent="0.3">
      <c r="A295" s="36">
        <v>2</v>
      </c>
      <c r="B295" s="36" t="s">
        <v>662</v>
      </c>
      <c r="C295" s="37"/>
      <c r="D295" s="37"/>
      <c r="E295" s="37"/>
      <c r="F295" s="37"/>
      <c r="G295" s="37"/>
      <c r="H295" s="37"/>
      <c r="I295" s="37"/>
    </row>
    <row r="296" spans="1:9" ht="14.25" customHeight="1" x14ac:dyDescent="0.3">
      <c r="A296" s="36">
        <v>3</v>
      </c>
      <c r="B296" s="36" t="s">
        <v>665</v>
      </c>
      <c r="C296" s="37"/>
      <c r="D296" s="37"/>
      <c r="E296" s="37"/>
      <c r="F296" s="37"/>
      <c r="G296" s="37"/>
      <c r="H296" s="37"/>
      <c r="I296" s="37"/>
    </row>
    <row r="297" spans="1:9" ht="14.25" customHeight="1" x14ac:dyDescent="0.3">
      <c r="A297" s="37"/>
      <c r="B297" s="37"/>
      <c r="C297" s="37"/>
      <c r="D297" s="37"/>
      <c r="E297" s="37"/>
      <c r="F297" s="37"/>
      <c r="G297" s="37"/>
      <c r="H297" s="37"/>
      <c r="I297" s="37"/>
    </row>
    <row r="298" spans="1:9" ht="14.25" customHeight="1" x14ac:dyDescent="0.3">
      <c r="A298" s="37"/>
      <c r="B298" s="37"/>
      <c r="C298" s="37"/>
      <c r="D298" s="37"/>
      <c r="E298" s="37"/>
      <c r="F298" s="37"/>
      <c r="G298" s="37"/>
      <c r="H298" s="37"/>
      <c r="I298" s="37"/>
    </row>
    <row r="299" spans="1:9" ht="14.25" customHeight="1" x14ac:dyDescent="0.3">
      <c r="A299" s="37" t="s">
        <v>1151</v>
      </c>
      <c r="B299" s="37"/>
      <c r="C299" s="37"/>
      <c r="D299" s="37"/>
      <c r="E299" s="37"/>
      <c r="F299" s="37"/>
      <c r="G299" s="37"/>
      <c r="H299" s="37"/>
      <c r="I299" s="37"/>
    </row>
    <row r="300" spans="1:9" ht="14.25" customHeight="1" x14ac:dyDescent="0.3">
      <c r="A300" s="37" t="s">
        <v>1152</v>
      </c>
      <c r="B300" s="37"/>
      <c r="C300" s="37"/>
      <c r="D300" s="37"/>
      <c r="E300" s="37"/>
      <c r="F300" s="37"/>
      <c r="G300" s="37"/>
      <c r="H300" s="37"/>
      <c r="I300" s="37"/>
    </row>
    <row r="301" spans="1:9" ht="14.25" customHeight="1" x14ac:dyDescent="0.3">
      <c r="A301" s="37"/>
      <c r="B301" s="37"/>
      <c r="C301" s="37"/>
      <c r="D301" s="37"/>
      <c r="E301" s="37"/>
      <c r="F301" s="37"/>
      <c r="G301" s="37"/>
      <c r="H301" s="37"/>
      <c r="I301" s="37"/>
    </row>
    <row r="302" spans="1:9" ht="14.25" customHeight="1" x14ac:dyDescent="0.3">
      <c r="A302" s="39" t="s">
        <v>1153</v>
      </c>
      <c r="B302" s="37"/>
      <c r="C302" s="37"/>
      <c r="D302" s="37"/>
      <c r="E302" s="37"/>
      <c r="F302" s="37"/>
      <c r="G302" s="37"/>
      <c r="H302" s="37"/>
      <c r="I302" s="37"/>
    </row>
    <row r="303" spans="1:9" ht="14.25" customHeight="1" x14ac:dyDescent="0.3">
      <c r="A303" s="39"/>
      <c r="B303" s="40" t="s">
        <v>1154</v>
      </c>
      <c r="C303" s="40" t="s">
        <v>1155</v>
      </c>
      <c r="D303" s="37"/>
      <c r="E303" s="37"/>
      <c r="F303" s="37"/>
      <c r="G303" s="37"/>
      <c r="H303" s="37"/>
      <c r="I303" s="37"/>
    </row>
    <row r="304" spans="1:9" ht="14.25" customHeight="1" x14ac:dyDescent="0.3">
      <c r="A304" s="37"/>
      <c r="B304" s="36" t="s">
        <v>1156</v>
      </c>
      <c r="C304" s="41" t="s">
        <v>1157</v>
      </c>
      <c r="D304" s="37"/>
      <c r="E304" s="37"/>
      <c r="F304" s="37"/>
      <c r="G304" s="37"/>
      <c r="H304" s="37"/>
      <c r="I304" s="37"/>
    </row>
    <row r="305" spans="1:9" ht="14.25" customHeight="1" x14ac:dyDescent="0.3">
      <c r="A305" s="37"/>
      <c r="B305" s="36" t="s">
        <v>1158</v>
      </c>
      <c r="C305" s="41" t="s">
        <v>1159</v>
      </c>
      <c r="D305" s="37"/>
      <c r="E305" s="37"/>
      <c r="F305" s="37"/>
      <c r="G305" s="37"/>
      <c r="H305" s="37"/>
      <c r="I305" s="37"/>
    </row>
    <row r="306" spans="1:9" ht="14.25" customHeight="1" x14ac:dyDescent="0.3">
      <c r="A306" s="37"/>
      <c r="B306" s="36" t="s">
        <v>1160</v>
      </c>
      <c r="C306" s="41" t="s">
        <v>1161</v>
      </c>
      <c r="D306" s="37"/>
      <c r="E306" s="37"/>
      <c r="F306" s="37"/>
      <c r="G306" s="37"/>
      <c r="H306" s="37"/>
      <c r="I306" s="37"/>
    </row>
    <row r="307" spans="1:9" ht="14.25" customHeight="1" x14ac:dyDescent="0.3">
      <c r="A307" s="37"/>
      <c r="B307" s="36" t="s">
        <v>1162</v>
      </c>
      <c r="C307" s="41" t="s">
        <v>1163</v>
      </c>
      <c r="D307" s="37"/>
      <c r="E307" s="37"/>
      <c r="F307" s="37"/>
      <c r="G307" s="37"/>
      <c r="H307" s="37"/>
      <c r="I307" s="37"/>
    </row>
    <row r="308" spans="1:9" ht="14.25" customHeight="1" x14ac:dyDescent="0.3">
      <c r="A308" s="37"/>
      <c r="B308" s="36" t="s">
        <v>1164</v>
      </c>
      <c r="C308" s="41" t="s">
        <v>1165</v>
      </c>
      <c r="D308" s="37"/>
      <c r="E308" s="37"/>
      <c r="F308" s="37"/>
      <c r="G308" s="37"/>
      <c r="H308" s="37"/>
      <c r="I308" s="37"/>
    </row>
    <row r="309" spans="1:9" ht="14.25" customHeight="1" x14ac:dyDescent="0.3">
      <c r="A309" s="37"/>
      <c r="B309" s="36" t="s">
        <v>1166</v>
      </c>
      <c r="C309" s="41" t="s">
        <v>1167</v>
      </c>
      <c r="D309" s="37"/>
      <c r="E309" s="37"/>
      <c r="F309" s="37"/>
      <c r="G309" s="37"/>
      <c r="H309" s="37"/>
      <c r="I309" s="37"/>
    </row>
    <row r="310" spans="1:9" ht="14.25" customHeight="1" x14ac:dyDescent="0.3">
      <c r="A310" s="37"/>
      <c r="B310" s="36" t="s">
        <v>1168</v>
      </c>
      <c r="C310" s="41" t="s">
        <v>1169</v>
      </c>
      <c r="D310" s="37"/>
      <c r="E310" s="37"/>
      <c r="F310" s="37"/>
      <c r="G310" s="37"/>
      <c r="H310" s="37"/>
      <c r="I310" s="37"/>
    </row>
    <row r="311" spans="1:9" ht="14.25" customHeight="1" x14ac:dyDescent="0.3">
      <c r="A311" s="37"/>
      <c r="B311" s="36" t="s">
        <v>1170</v>
      </c>
      <c r="C311" s="41" t="s">
        <v>1171</v>
      </c>
      <c r="D311" s="37"/>
      <c r="E311" s="37"/>
      <c r="F311" s="37"/>
      <c r="G311" s="37"/>
      <c r="H311" s="37"/>
      <c r="I311" s="37"/>
    </row>
    <row r="312" spans="1:9" ht="14.25" customHeight="1" x14ac:dyDescent="0.3">
      <c r="A312" s="37"/>
      <c r="B312" s="36" t="s">
        <v>1172</v>
      </c>
      <c r="C312" s="41" t="s">
        <v>1173</v>
      </c>
      <c r="D312" s="37"/>
      <c r="E312" s="37"/>
      <c r="F312" s="37"/>
      <c r="G312" s="37"/>
      <c r="H312" s="37"/>
      <c r="I312" s="37"/>
    </row>
    <row r="313" spans="1:9" ht="14.25" customHeight="1" x14ac:dyDescent="0.3">
      <c r="A313" s="37"/>
      <c r="B313" s="36" t="s">
        <v>1174</v>
      </c>
      <c r="C313" s="41" t="s">
        <v>1175</v>
      </c>
      <c r="D313" s="37"/>
      <c r="E313" s="37"/>
      <c r="F313" s="37"/>
      <c r="G313" s="37"/>
      <c r="H313" s="37"/>
      <c r="I313" s="37"/>
    </row>
    <row r="314" spans="1:9" ht="14.25" customHeight="1" x14ac:dyDescent="0.3">
      <c r="A314" s="37"/>
      <c r="B314" s="36" t="s">
        <v>1176</v>
      </c>
      <c r="C314" s="41" t="s">
        <v>1177</v>
      </c>
      <c r="D314" s="37"/>
      <c r="E314" s="37"/>
      <c r="F314" s="37"/>
      <c r="G314" s="37"/>
      <c r="H314" s="37"/>
      <c r="I314" s="37"/>
    </row>
    <row r="315" spans="1:9" ht="14.25" customHeight="1" x14ac:dyDescent="0.3">
      <c r="A315" s="37"/>
      <c r="B315" s="36" t="s">
        <v>1178</v>
      </c>
      <c r="C315" s="41" t="s">
        <v>1179</v>
      </c>
      <c r="D315" s="37"/>
      <c r="E315" s="37"/>
      <c r="F315" s="37"/>
      <c r="G315" s="37"/>
      <c r="H315" s="37"/>
      <c r="I315" s="37"/>
    </row>
    <row r="316" spans="1:9" ht="14.25" customHeight="1" x14ac:dyDescent="0.3">
      <c r="A316" s="37"/>
      <c r="B316" s="36" t="s">
        <v>1180</v>
      </c>
      <c r="C316" s="41" t="s">
        <v>1181</v>
      </c>
      <c r="D316" s="37"/>
      <c r="E316" s="37"/>
      <c r="F316" s="37"/>
      <c r="G316" s="37"/>
      <c r="H316" s="37"/>
      <c r="I316" s="37"/>
    </row>
    <row r="317" spans="1:9" ht="14.25" customHeight="1" x14ac:dyDescent="0.3">
      <c r="A317" s="37"/>
      <c r="B317" s="36" t="s">
        <v>1182</v>
      </c>
      <c r="C317" s="41" t="s">
        <v>1183</v>
      </c>
      <c r="D317" s="37"/>
      <c r="E317" s="37"/>
      <c r="F317" s="37"/>
      <c r="G317" s="37"/>
      <c r="H317" s="37"/>
      <c r="I317" s="37"/>
    </row>
    <row r="318" spans="1:9" ht="14.25" customHeight="1" x14ac:dyDescent="0.3">
      <c r="A318" s="37"/>
      <c r="B318" s="36" t="s">
        <v>1184</v>
      </c>
      <c r="C318" s="41" t="s">
        <v>1185</v>
      </c>
      <c r="D318" s="37"/>
      <c r="E318" s="37"/>
      <c r="F318" s="37"/>
      <c r="G318" s="37"/>
      <c r="H318" s="37"/>
      <c r="I318" s="37"/>
    </row>
    <row r="319" spans="1:9" ht="14.25" customHeight="1" x14ac:dyDescent="0.3">
      <c r="A319" s="37"/>
      <c r="B319" s="36" t="s">
        <v>1186</v>
      </c>
      <c r="C319" s="41" t="s">
        <v>1187</v>
      </c>
      <c r="D319" s="37"/>
      <c r="E319" s="37"/>
      <c r="F319" s="37"/>
      <c r="G319" s="37"/>
      <c r="H319" s="37"/>
      <c r="I319" s="37"/>
    </row>
    <row r="320" spans="1:9" ht="14.25" customHeight="1" x14ac:dyDescent="0.3">
      <c r="A320" s="37"/>
      <c r="B320" s="36" t="s">
        <v>1188</v>
      </c>
      <c r="C320" s="41" t="s">
        <v>1189</v>
      </c>
      <c r="D320" s="37"/>
      <c r="E320" s="37"/>
      <c r="F320" s="37"/>
      <c r="G320" s="37"/>
      <c r="H320" s="37"/>
      <c r="I320" s="37"/>
    </row>
    <row r="321" spans="1:9" ht="14.25" customHeight="1" x14ac:dyDescent="0.3">
      <c r="A321" s="37"/>
      <c r="B321" s="36" t="s">
        <v>1190</v>
      </c>
      <c r="C321" s="41" t="s">
        <v>1191</v>
      </c>
      <c r="D321" s="37"/>
      <c r="E321" s="37"/>
      <c r="F321" s="37"/>
      <c r="G321" s="37"/>
      <c r="H321" s="37"/>
      <c r="I321" s="37"/>
    </row>
    <row r="322" spans="1:9" ht="14.25" customHeight="1" x14ac:dyDescent="0.3">
      <c r="A322" s="37"/>
      <c r="B322" s="36" t="s">
        <v>1192</v>
      </c>
      <c r="C322" s="41" t="s">
        <v>1193</v>
      </c>
      <c r="D322" s="37"/>
      <c r="E322" s="37"/>
      <c r="F322" s="37"/>
      <c r="G322" s="37"/>
      <c r="H322" s="37"/>
      <c r="I322" s="37"/>
    </row>
    <row r="323" spans="1:9" ht="14.25" customHeight="1" x14ac:dyDescent="0.3">
      <c r="A323" s="37"/>
      <c r="B323" s="36" t="s">
        <v>1194</v>
      </c>
      <c r="C323" s="41" t="s">
        <v>1195</v>
      </c>
      <c r="D323" s="37"/>
      <c r="E323" s="37"/>
      <c r="F323" s="37"/>
      <c r="G323" s="37"/>
      <c r="H323" s="37"/>
      <c r="I323" s="37"/>
    </row>
    <row r="324" spans="1:9" ht="14.25" customHeight="1" x14ac:dyDescent="0.3">
      <c r="A324" s="37"/>
      <c r="B324" s="36" t="s">
        <v>1196</v>
      </c>
      <c r="C324" s="41" t="s">
        <v>1197</v>
      </c>
      <c r="D324" s="37"/>
      <c r="E324" s="37"/>
      <c r="F324" s="37"/>
      <c r="G324" s="37"/>
      <c r="H324" s="37"/>
      <c r="I324" s="37"/>
    </row>
    <row r="325" spans="1:9" ht="14.25" customHeight="1" x14ac:dyDescent="0.3">
      <c r="A325" s="37"/>
      <c r="B325" s="36" t="s">
        <v>1198</v>
      </c>
      <c r="C325" s="41" t="s">
        <v>1199</v>
      </c>
      <c r="D325" s="37"/>
      <c r="E325" s="37"/>
      <c r="F325" s="37"/>
      <c r="G325" s="37"/>
      <c r="H325" s="37"/>
      <c r="I325" s="37"/>
    </row>
    <row r="326" spans="1:9" ht="14.25" customHeight="1" x14ac:dyDescent="0.3">
      <c r="A326" s="37"/>
      <c r="B326" s="36" t="s">
        <v>1200</v>
      </c>
      <c r="C326" s="41" t="s">
        <v>1201</v>
      </c>
      <c r="D326" s="37"/>
      <c r="E326" s="37"/>
      <c r="F326" s="37"/>
      <c r="G326" s="37"/>
      <c r="H326" s="37"/>
      <c r="I326" s="37"/>
    </row>
    <row r="327" spans="1:9" ht="14.25" customHeight="1" x14ac:dyDescent="0.3">
      <c r="A327" s="37"/>
      <c r="B327" s="36" t="s">
        <v>1202</v>
      </c>
      <c r="C327" s="41" t="s">
        <v>1203</v>
      </c>
      <c r="D327" s="37"/>
      <c r="E327" s="37"/>
      <c r="F327" s="37"/>
      <c r="G327" s="37"/>
      <c r="H327" s="37"/>
      <c r="I327" s="37"/>
    </row>
    <row r="328" spans="1:9" ht="14.25" customHeight="1" x14ac:dyDescent="0.3">
      <c r="A328" s="37"/>
      <c r="B328" s="36" t="s">
        <v>1204</v>
      </c>
      <c r="C328" s="41" t="s">
        <v>1205</v>
      </c>
      <c r="D328" s="37"/>
      <c r="E328" s="37"/>
      <c r="F328" s="37"/>
      <c r="G328" s="37"/>
      <c r="H328" s="37"/>
      <c r="I328" s="37"/>
    </row>
    <row r="329" spans="1:9" ht="14.25" customHeight="1" x14ac:dyDescent="0.3">
      <c r="A329" s="37"/>
      <c r="B329" s="36" t="s">
        <v>1206</v>
      </c>
      <c r="C329" s="41" t="s">
        <v>1207</v>
      </c>
      <c r="D329" s="37"/>
      <c r="E329" s="37"/>
      <c r="F329" s="37"/>
      <c r="G329" s="37"/>
      <c r="H329" s="37"/>
      <c r="I329" s="37"/>
    </row>
    <row r="330" spans="1:9" ht="14.25" customHeight="1" x14ac:dyDescent="0.3">
      <c r="A330" s="37"/>
      <c r="B330" s="36" t="s">
        <v>1208</v>
      </c>
      <c r="C330" s="41" t="s">
        <v>1209</v>
      </c>
      <c r="D330" s="37"/>
      <c r="E330" s="37"/>
      <c r="F330" s="37"/>
      <c r="G330" s="37"/>
      <c r="H330" s="37"/>
      <c r="I330" s="37"/>
    </row>
    <row r="331" spans="1:9" ht="14.25" customHeight="1" x14ac:dyDescent="0.3">
      <c r="A331" s="37"/>
      <c r="B331" s="36" t="s">
        <v>1210</v>
      </c>
      <c r="C331" s="41" t="s">
        <v>1211</v>
      </c>
      <c r="D331" s="37"/>
      <c r="E331" s="37"/>
      <c r="F331" s="37"/>
      <c r="G331" s="37"/>
      <c r="H331" s="37"/>
      <c r="I331" s="37"/>
    </row>
    <row r="332" spans="1:9" ht="14.25" customHeight="1" x14ac:dyDescent="0.3">
      <c r="A332" s="37"/>
      <c r="B332" s="36" t="s">
        <v>1212</v>
      </c>
      <c r="C332" s="41" t="s">
        <v>1213</v>
      </c>
      <c r="D332" s="37"/>
      <c r="E332" s="37"/>
      <c r="F332" s="37"/>
      <c r="G332" s="37"/>
      <c r="H332" s="37"/>
      <c r="I332" s="37"/>
    </row>
    <row r="333" spans="1:9" ht="14.25" customHeight="1" x14ac:dyDescent="0.3">
      <c r="A333" s="37"/>
      <c r="B333" s="36" t="s">
        <v>1214</v>
      </c>
      <c r="C333" s="41" t="s">
        <v>1215</v>
      </c>
      <c r="D333" s="37"/>
      <c r="E333" s="37"/>
      <c r="F333" s="37"/>
      <c r="G333" s="37"/>
      <c r="H333" s="37"/>
      <c r="I333" s="37"/>
    </row>
    <row r="334" spans="1:9" ht="14.25" customHeight="1" x14ac:dyDescent="0.3">
      <c r="A334" s="37"/>
      <c r="B334" s="36" t="s">
        <v>1216</v>
      </c>
      <c r="C334" s="41" t="s">
        <v>1217</v>
      </c>
      <c r="D334" s="37"/>
      <c r="E334" s="37"/>
      <c r="F334" s="37"/>
      <c r="G334" s="37"/>
      <c r="H334" s="37"/>
      <c r="I334" s="37"/>
    </row>
    <row r="335" spans="1:9" ht="14.25" customHeight="1" x14ac:dyDescent="0.3">
      <c r="A335" s="37"/>
      <c r="B335" s="36" t="s">
        <v>1218</v>
      </c>
      <c r="C335" s="41" t="s">
        <v>1219</v>
      </c>
      <c r="D335" s="37"/>
      <c r="E335" s="37"/>
      <c r="F335" s="37"/>
      <c r="G335" s="37"/>
      <c r="H335" s="37"/>
      <c r="I335" s="37"/>
    </row>
    <row r="336" spans="1:9" ht="14.25" customHeight="1" x14ac:dyDescent="0.3">
      <c r="A336" s="37"/>
      <c r="B336" s="36" t="s">
        <v>1220</v>
      </c>
      <c r="C336" s="41" t="s">
        <v>1221</v>
      </c>
      <c r="D336" s="37"/>
      <c r="E336" s="37"/>
      <c r="F336" s="37"/>
      <c r="G336" s="37"/>
      <c r="H336" s="37"/>
      <c r="I336" s="37"/>
    </row>
    <row r="337" spans="1:9" ht="14.25" customHeight="1" x14ac:dyDescent="0.3">
      <c r="A337" s="37"/>
      <c r="B337" s="36" t="s">
        <v>1222</v>
      </c>
      <c r="C337" s="41" t="s">
        <v>1223</v>
      </c>
      <c r="D337" s="37"/>
      <c r="E337" s="37"/>
      <c r="F337" s="37"/>
      <c r="G337" s="37"/>
      <c r="H337" s="37"/>
      <c r="I337" s="37"/>
    </row>
    <row r="338" spans="1:9" ht="14.25" customHeight="1" x14ac:dyDescent="0.3">
      <c r="A338" s="37"/>
      <c r="B338" s="36" t="s">
        <v>1224</v>
      </c>
      <c r="C338" s="41" t="s">
        <v>1225</v>
      </c>
      <c r="D338" s="37"/>
      <c r="E338" s="37"/>
      <c r="F338" s="37"/>
      <c r="G338" s="37"/>
      <c r="H338" s="37"/>
      <c r="I338" s="37"/>
    </row>
    <row r="339" spans="1:9" ht="14.25" customHeight="1" x14ac:dyDescent="0.3">
      <c r="A339" s="37"/>
      <c r="B339" s="36" t="s">
        <v>1226</v>
      </c>
      <c r="C339" s="41" t="s">
        <v>1227</v>
      </c>
      <c r="D339" s="37"/>
      <c r="E339" s="37"/>
      <c r="F339" s="37"/>
      <c r="G339" s="37"/>
      <c r="H339" s="37"/>
      <c r="I339" s="37"/>
    </row>
    <row r="340" spans="1:9" ht="14.25" customHeight="1" x14ac:dyDescent="0.3">
      <c r="A340" s="37"/>
      <c r="B340" s="36" t="s">
        <v>1228</v>
      </c>
      <c r="C340" s="41" t="s">
        <v>1229</v>
      </c>
      <c r="D340" s="37"/>
      <c r="E340" s="37"/>
      <c r="F340" s="37"/>
      <c r="G340" s="37"/>
      <c r="H340" s="37"/>
      <c r="I340" s="37"/>
    </row>
    <row r="341" spans="1:9" ht="14.25" customHeight="1" x14ac:dyDescent="0.3">
      <c r="A341" s="37"/>
      <c r="B341" s="36" t="s">
        <v>1230</v>
      </c>
      <c r="C341" s="41" t="s">
        <v>1231</v>
      </c>
      <c r="D341" s="37"/>
      <c r="E341" s="37"/>
      <c r="F341" s="37"/>
      <c r="G341" s="37"/>
      <c r="H341" s="37"/>
      <c r="I341" s="37"/>
    </row>
    <row r="342" spans="1:9" ht="14.25" customHeight="1" x14ac:dyDescent="0.3">
      <c r="A342" s="37"/>
      <c r="B342" s="36" t="s">
        <v>1232</v>
      </c>
      <c r="C342" s="41" t="s">
        <v>1233</v>
      </c>
      <c r="D342" s="37"/>
      <c r="E342" s="37"/>
      <c r="F342" s="37"/>
      <c r="G342" s="37"/>
      <c r="H342" s="37"/>
      <c r="I342" s="37"/>
    </row>
    <row r="343" spans="1:9" ht="14.25" customHeight="1" x14ac:dyDescent="0.3">
      <c r="A343" s="37"/>
      <c r="B343" s="36" t="s">
        <v>1234</v>
      </c>
      <c r="C343" s="41" t="s">
        <v>1235</v>
      </c>
      <c r="D343" s="37"/>
      <c r="E343" s="37"/>
      <c r="F343" s="37"/>
      <c r="G343" s="37"/>
      <c r="H343" s="37"/>
      <c r="I343" s="37"/>
    </row>
    <row r="344" spans="1:9" ht="14.25" customHeight="1" x14ac:dyDescent="0.3">
      <c r="A344" s="37"/>
      <c r="B344" s="36" t="s">
        <v>1236</v>
      </c>
      <c r="C344" s="41" t="s">
        <v>1237</v>
      </c>
      <c r="D344" s="37"/>
      <c r="E344" s="37"/>
      <c r="F344" s="37"/>
      <c r="G344" s="37"/>
      <c r="H344" s="37"/>
      <c r="I344" s="37"/>
    </row>
    <row r="345" spans="1:9" ht="14.25" customHeight="1" x14ac:dyDescent="0.3">
      <c r="A345" s="37"/>
      <c r="B345" s="36" t="s">
        <v>1238</v>
      </c>
      <c r="C345" s="41" t="s">
        <v>1239</v>
      </c>
      <c r="D345" s="37"/>
      <c r="E345" s="37"/>
      <c r="F345" s="37"/>
      <c r="G345" s="37"/>
      <c r="H345" s="37"/>
      <c r="I345" s="37"/>
    </row>
    <row r="346" spans="1:9" ht="14.25" customHeight="1" x14ac:dyDescent="0.3">
      <c r="A346" s="37"/>
      <c r="B346" s="36" t="s">
        <v>1240</v>
      </c>
      <c r="C346" s="41" t="s">
        <v>1241</v>
      </c>
      <c r="D346" s="37"/>
      <c r="E346" s="37"/>
      <c r="F346" s="37"/>
      <c r="G346" s="37"/>
      <c r="H346" s="37"/>
      <c r="I346" s="37"/>
    </row>
    <row r="347" spans="1:9" ht="14.25" customHeight="1" x14ac:dyDescent="0.3">
      <c r="A347" s="37"/>
      <c r="B347" s="36" t="s">
        <v>1242</v>
      </c>
      <c r="C347" s="41" t="s">
        <v>1243</v>
      </c>
      <c r="D347" s="37"/>
      <c r="E347" s="37"/>
      <c r="F347" s="37"/>
      <c r="G347" s="37"/>
      <c r="H347" s="37"/>
      <c r="I347" s="37"/>
    </row>
    <row r="348" spans="1:9" ht="14.25" customHeight="1" x14ac:dyDescent="0.3">
      <c r="A348" s="37"/>
      <c r="B348" s="36" t="s">
        <v>1244</v>
      </c>
      <c r="C348" s="41" t="s">
        <v>1245</v>
      </c>
      <c r="D348" s="37"/>
      <c r="E348" s="37"/>
      <c r="F348" s="37"/>
      <c r="G348" s="37"/>
      <c r="H348" s="37"/>
      <c r="I348" s="37"/>
    </row>
    <row r="349" spans="1:9" ht="14.25" customHeight="1" x14ac:dyDescent="0.3">
      <c r="A349" s="37"/>
      <c r="B349" s="36" t="s">
        <v>1246</v>
      </c>
      <c r="C349" s="41" t="s">
        <v>1247</v>
      </c>
      <c r="D349" s="37"/>
      <c r="E349" s="37"/>
      <c r="F349" s="37"/>
      <c r="G349" s="37"/>
      <c r="H349" s="37"/>
      <c r="I349" s="37"/>
    </row>
    <row r="350" spans="1:9" ht="14.25" customHeight="1" x14ac:dyDescent="0.3">
      <c r="A350" s="37"/>
      <c r="B350" s="36" t="s">
        <v>1248</v>
      </c>
      <c r="C350" s="41" t="s">
        <v>1249</v>
      </c>
      <c r="D350" s="37"/>
      <c r="E350" s="37"/>
      <c r="F350" s="37"/>
      <c r="G350" s="37"/>
      <c r="H350" s="37"/>
      <c r="I350" s="37"/>
    </row>
    <row r="351" spans="1:9" ht="14.25" customHeight="1" x14ac:dyDescent="0.3">
      <c r="A351" s="37"/>
      <c r="B351" s="36" t="s">
        <v>1250</v>
      </c>
      <c r="C351" s="41" t="s">
        <v>1251</v>
      </c>
      <c r="D351" s="37"/>
      <c r="E351" s="37"/>
      <c r="F351" s="37"/>
      <c r="G351" s="37"/>
      <c r="H351" s="37"/>
      <c r="I351" s="37"/>
    </row>
    <row r="352" spans="1:9" ht="14.25" customHeight="1" x14ac:dyDescent="0.3">
      <c r="A352" s="37"/>
      <c r="B352" s="36" t="s">
        <v>1252</v>
      </c>
      <c r="C352" s="41" t="s">
        <v>1253</v>
      </c>
      <c r="D352" s="37"/>
      <c r="E352" s="37"/>
      <c r="F352" s="37"/>
      <c r="G352" s="37"/>
      <c r="H352" s="37"/>
      <c r="I352" s="37"/>
    </row>
    <row r="353" spans="1:9" ht="14.25" customHeight="1" x14ac:dyDescent="0.3">
      <c r="A353" s="37"/>
      <c r="B353" s="36" t="s">
        <v>1254</v>
      </c>
      <c r="C353" s="41" t="s">
        <v>1255</v>
      </c>
      <c r="D353" s="37"/>
      <c r="E353" s="37"/>
      <c r="F353" s="37"/>
      <c r="G353" s="37"/>
      <c r="H353" s="37"/>
      <c r="I353" s="37"/>
    </row>
    <row r="354" spans="1:9" ht="14.25" customHeight="1" x14ac:dyDescent="0.3">
      <c r="A354" s="37"/>
      <c r="B354" s="36" t="s">
        <v>1256</v>
      </c>
      <c r="C354" s="41" t="s">
        <v>1257</v>
      </c>
      <c r="D354" s="37"/>
      <c r="E354" s="37"/>
      <c r="F354" s="37"/>
      <c r="G354" s="37"/>
      <c r="H354" s="37"/>
      <c r="I354" s="37"/>
    </row>
    <row r="355" spans="1:9" ht="14.25" customHeight="1" x14ac:dyDescent="0.3">
      <c r="A355" s="37"/>
      <c r="B355" s="36" t="s">
        <v>1258</v>
      </c>
      <c r="C355" s="41" t="s">
        <v>1259</v>
      </c>
      <c r="D355" s="37"/>
      <c r="E355" s="37"/>
      <c r="F355" s="37"/>
      <c r="G355" s="37"/>
      <c r="H355" s="37"/>
      <c r="I355" s="37"/>
    </row>
    <row r="356" spans="1:9" ht="14.25" customHeight="1" x14ac:dyDescent="0.3">
      <c r="A356" s="37"/>
      <c r="B356" s="36" t="s">
        <v>1260</v>
      </c>
      <c r="C356" s="41" t="s">
        <v>1261</v>
      </c>
      <c r="D356" s="37"/>
      <c r="E356" s="37"/>
      <c r="F356" s="37"/>
      <c r="G356" s="37"/>
      <c r="H356" s="37"/>
      <c r="I356" s="37"/>
    </row>
    <row r="357" spans="1:9" ht="14.25" customHeight="1" x14ac:dyDescent="0.3">
      <c r="A357" s="37"/>
      <c r="B357" s="36" t="s">
        <v>1262</v>
      </c>
      <c r="C357" s="41" t="s">
        <v>1263</v>
      </c>
      <c r="D357" s="37"/>
      <c r="E357" s="37"/>
      <c r="F357" s="37"/>
      <c r="G357" s="37"/>
      <c r="H357" s="37"/>
      <c r="I357" s="37"/>
    </row>
    <row r="358" spans="1:9" ht="14.25" customHeight="1" x14ac:dyDescent="0.3">
      <c r="A358" s="37"/>
      <c r="B358" s="36" t="s">
        <v>1264</v>
      </c>
      <c r="C358" s="41" t="s">
        <v>1265</v>
      </c>
      <c r="D358" s="37"/>
      <c r="E358" s="37"/>
      <c r="F358" s="37"/>
      <c r="G358" s="37"/>
      <c r="H358" s="37"/>
      <c r="I358" s="37"/>
    </row>
    <row r="359" spans="1:9" ht="14.25" customHeight="1" x14ac:dyDescent="0.3">
      <c r="A359" s="37"/>
      <c r="B359" s="36" t="s">
        <v>1266</v>
      </c>
      <c r="C359" s="41" t="s">
        <v>1267</v>
      </c>
      <c r="D359" s="37"/>
      <c r="E359" s="37"/>
      <c r="F359" s="37"/>
      <c r="G359" s="37"/>
      <c r="H359" s="37"/>
      <c r="I359" s="37"/>
    </row>
    <row r="360" spans="1:9" ht="14.25" customHeight="1" x14ac:dyDescent="0.3">
      <c r="A360" s="37"/>
      <c r="B360" s="36" t="s">
        <v>1268</v>
      </c>
      <c r="C360" s="41" t="s">
        <v>1269</v>
      </c>
      <c r="D360" s="37"/>
      <c r="E360" s="37"/>
      <c r="F360" s="37"/>
      <c r="G360" s="37"/>
      <c r="H360" s="37"/>
      <c r="I360" s="37"/>
    </row>
    <row r="361" spans="1:9" ht="14.25" customHeight="1" x14ac:dyDescent="0.3">
      <c r="A361" s="37"/>
      <c r="B361" s="36" t="s">
        <v>1270</v>
      </c>
      <c r="C361" s="41" t="s">
        <v>1271</v>
      </c>
      <c r="D361" s="37"/>
      <c r="E361" s="37"/>
      <c r="F361" s="37"/>
      <c r="G361" s="37"/>
      <c r="H361" s="37"/>
      <c r="I361" s="37"/>
    </row>
    <row r="362" spans="1:9" ht="14.25" customHeight="1" x14ac:dyDescent="0.3">
      <c r="A362" s="37"/>
      <c r="B362" s="36" t="s">
        <v>1272</v>
      </c>
      <c r="C362" s="41" t="s">
        <v>1273</v>
      </c>
      <c r="D362" s="37"/>
      <c r="E362" s="37"/>
      <c r="F362" s="37"/>
      <c r="G362" s="37"/>
      <c r="H362" s="37"/>
      <c r="I362" s="37"/>
    </row>
    <row r="363" spans="1:9" ht="14.25" customHeight="1" x14ac:dyDescent="0.3">
      <c r="A363" s="37"/>
      <c r="B363" s="36" t="s">
        <v>1274</v>
      </c>
      <c r="C363" s="41" t="s">
        <v>1275</v>
      </c>
      <c r="D363" s="37"/>
      <c r="E363" s="37"/>
      <c r="F363" s="37"/>
      <c r="G363" s="37"/>
      <c r="H363" s="37"/>
      <c r="I363" s="37"/>
    </row>
    <row r="364" spans="1:9" ht="14.25" customHeight="1" x14ac:dyDescent="0.3">
      <c r="A364" s="37"/>
      <c r="B364" s="36" t="s">
        <v>1276</v>
      </c>
      <c r="C364" s="41" t="s">
        <v>1277</v>
      </c>
      <c r="D364" s="37"/>
      <c r="E364" s="37"/>
      <c r="F364" s="37"/>
      <c r="G364" s="37"/>
      <c r="H364" s="37"/>
      <c r="I364" s="37"/>
    </row>
    <row r="365" spans="1:9" ht="14.25" customHeight="1" x14ac:dyDescent="0.3">
      <c r="A365" s="37"/>
      <c r="B365" s="36" t="s">
        <v>1278</v>
      </c>
      <c r="C365" s="41" t="s">
        <v>1279</v>
      </c>
      <c r="D365" s="37"/>
      <c r="E365" s="37"/>
      <c r="F365" s="37"/>
      <c r="G365" s="37"/>
      <c r="H365" s="37"/>
      <c r="I365" s="37"/>
    </row>
    <row r="366" spans="1:9" ht="14.25" customHeight="1" x14ac:dyDescent="0.3">
      <c r="A366" s="37"/>
      <c r="B366" s="36" t="s">
        <v>1280</v>
      </c>
      <c r="C366" s="41" t="s">
        <v>1281</v>
      </c>
      <c r="D366" s="37"/>
      <c r="E366" s="37"/>
      <c r="F366" s="37"/>
      <c r="G366" s="37"/>
      <c r="H366" s="37"/>
      <c r="I366" s="37"/>
    </row>
    <row r="367" spans="1:9" ht="14.25" customHeight="1" x14ac:dyDescent="0.3">
      <c r="A367" s="37"/>
      <c r="B367" s="36" t="s">
        <v>1282</v>
      </c>
      <c r="C367" s="41" t="s">
        <v>1283</v>
      </c>
      <c r="D367" s="37"/>
      <c r="E367" s="37"/>
      <c r="F367" s="37"/>
      <c r="G367" s="37"/>
      <c r="H367" s="37"/>
      <c r="I367" s="37"/>
    </row>
    <row r="368" spans="1:9" ht="14.25" customHeight="1" x14ac:dyDescent="0.3">
      <c r="A368" s="37"/>
      <c r="B368" s="36" t="s">
        <v>1284</v>
      </c>
      <c r="C368" s="41" t="s">
        <v>1285</v>
      </c>
      <c r="D368" s="37"/>
      <c r="E368" s="37"/>
      <c r="F368" s="37"/>
      <c r="G368" s="37"/>
      <c r="H368" s="37"/>
      <c r="I368" s="37"/>
    </row>
    <row r="369" spans="1:9" ht="14.25" customHeight="1" x14ac:dyDescent="0.3">
      <c r="A369" s="37"/>
      <c r="B369" s="36" t="s">
        <v>1286</v>
      </c>
      <c r="C369" s="41" t="s">
        <v>1287</v>
      </c>
      <c r="D369" s="37"/>
      <c r="E369" s="37"/>
      <c r="F369" s="37"/>
      <c r="G369" s="37"/>
      <c r="H369" s="37"/>
      <c r="I369" s="37"/>
    </row>
    <row r="370" spans="1:9" ht="14.25" customHeight="1" x14ac:dyDescent="0.3">
      <c r="A370" s="37"/>
      <c r="B370" s="36" t="s">
        <v>1288</v>
      </c>
      <c r="C370" s="41" t="s">
        <v>1289</v>
      </c>
      <c r="D370" s="37"/>
      <c r="E370" s="37"/>
      <c r="F370" s="37"/>
      <c r="G370" s="37"/>
      <c r="H370" s="37"/>
      <c r="I370" s="37"/>
    </row>
    <row r="371" spans="1:9" ht="14.25" customHeight="1" x14ac:dyDescent="0.3">
      <c r="A371" s="37"/>
      <c r="B371" s="36" t="s">
        <v>1290</v>
      </c>
      <c r="C371" s="41" t="s">
        <v>1291</v>
      </c>
      <c r="D371" s="37"/>
      <c r="E371" s="37"/>
      <c r="F371" s="37"/>
      <c r="G371" s="37"/>
      <c r="H371" s="37"/>
      <c r="I371" s="37"/>
    </row>
    <row r="372" spans="1:9" ht="14.25" customHeight="1" x14ac:dyDescent="0.3">
      <c r="A372" s="37"/>
      <c r="B372" s="36" t="s">
        <v>1292</v>
      </c>
      <c r="C372" s="41" t="s">
        <v>1293</v>
      </c>
      <c r="D372" s="37"/>
      <c r="E372" s="37"/>
      <c r="F372" s="37"/>
      <c r="G372" s="37"/>
      <c r="H372" s="37"/>
      <c r="I372" s="37"/>
    </row>
    <row r="373" spans="1:9" ht="14.25" customHeight="1" x14ac:dyDescent="0.3">
      <c r="A373" s="37"/>
      <c r="B373" s="36" t="s">
        <v>1294</v>
      </c>
      <c r="C373" s="41" t="s">
        <v>1295</v>
      </c>
      <c r="D373" s="37"/>
      <c r="E373" s="37"/>
      <c r="F373" s="37"/>
      <c r="G373" s="37"/>
      <c r="H373" s="37"/>
      <c r="I373" s="37"/>
    </row>
    <row r="374" spans="1:9" ht="14.25" customHeight="1" x14ac:dyDescent="0.3">
      <c r="A374" s="37"/>
      <c r="B374" s="36" t="s">
        <v>1296</v>
      </c>
      <c r="C374" s="41" t="s">
        <v>1297</v>
      </c>
      <c r="D374" s="37"/>
      <c r="E374" s="37"/>
      <c r="F374" s="37"/>
      <c r="G374" s="37"/>
      <c r="H374" s="37"/>
      <c r="I374" s="37"/>
    </row>
    <row r="375" spans="1:9" ht="14.25" customHeight="1" x14ac:dyDescent="0.3">
      <c r="A375" s="37"/>
      <c r="B375" s="36" t="s">
        <v>1298</v>
      </c>
      <c r="C375" s="41" t="s">
        <v>1299</v>
      </c>
      <c r="D375" s="37"/>
      <c r="E375" s="37"/>
      <c r="F375" s="37"/>
      <c r="G375" s="37"/>
      <c r="H375" s="37"/>
      <c r="I375" s="37"/>
    </row>
    <row r="376" spans="1:9" ht="14.25" customHeight="1" x14ac:dyDescent="0.3">
      <c r="A376" s="37"/>
      <c r="B376" s="36" t="s">
        <v>1300</v>
      </c>
      <c r="C376" s="41" t="s">
        <v>1301</v>
      </c>
      <c r="D376" s="37"/>
      <c r="E376" s="37"/>
      <c r="F376" s="37"/>
      <c r="G376" s="37"/>
      <c r="H376" s="37"/>
      <c r="I376" s="37"/>
    </row>
    <row r="377" spans="1:9" ht="14.25" customHeight="1" x14ac:dyDescent="0.3">
      <c r="A377" s="37"/>
      <c r="B377" s="36" t="s">
        <v>1302</v>
      </c>
      <c r="C377" s="41" t="s">
        <v>1303</v>
      </c>
      <c r="D377" s="37"/>
      <c r="E377" s="37"/>
      <c r="F377" s="37"/>
      <c r="G377" s="37"/>
      <c r="H377" s="37"/>
      <c r="I377" s="37"/>
    </row>
    <row r="378" spans="1:9" ht="14.25" customHeight="1" x14ac:dyDescent="0.3">
      <c r="A378" s="37"/>
      <c r="B378" s="36" t="s">
        <v>1304</v>
      </c>
      <c r="C378" s="41" t="s">
        <v>1305</v>
      </c>
      <c r="D378" s="37"/>
      <c r="E378" s="37"/>
      <c r="F378" s="37"/>
      <c r="G378" s="37"/>
      <c r="H378" s="37"/>
      <c r="I378" s="37"/>
    </row>
    <row r="379" spans="1:9" ht="14.25" customHeight="1" x14ac:dyDescent="0.3">
      <c r="A379" s="37"/>
      <c r="B379" s="36" t="s">
        <v>1306</v>
      </c>
      <c r="C379" s="41" t="s">
        <v>1307</v>
      </c>
      <c r="D379" s="37"/>
      <c r="E379" s="37"/>
      <c r="F379" s="37"/>
      <c r="G379" s="37"/>
      <c r="H379" s="37"/>
      <c r="I379" s="37"/>
    </row>
    <row r="380" spans="1:9" ht="14.25" customHeight="1" x14ac:dyDescent="0.3">
      <c r="A380" s="37"/>
      <c r="B380" s="36" t="s">
        <v>725</v>
      </c>
      <c r="C380" s="41" t="s">
        <v>1308</v>
      </c>
      <c r="D380" s="37"/>
      <c r="E380" s="37"/>
      <c r="F380" s="37"/>
      <c r="G380" s="37"/>
      <c r="H380" s="37"/>
      <c r="I380" s="37"/>
    </row>
    <row r="381" spans="1:9" ht="14.25" customHeight="1" x14ac:dyDescent="0.3">
      <c r="A381" s="37"/>
      <c r="B381" s="36" t="s">
        <v>113</v>
      </c>
      <c r="C381" s="41" t="s">
        <v>114</v>
      </c>
      <c r="D381" s="37"/>
      <c r="E381" s="37"/>
      <c r="F381" s="37"/>
      <c r="G381" s="37"/>
      <c r="H381" s="37"/>
      <c r="I381" s="37"/>
    </row>
    <row r="382" spans="1:9" ht="14.25" customHeight="1" x14ac:dyDescent="0.3">
      <c r="A382" s="37"/>
      <c r="B382" s="36" t="s">
        <v>1309</v>
      </c>
      <c r="C382" s="41" t="s">
        <v>1310</v>
      </c>
      <c r="D382" s="37"/>
      <c r="E382" s="37"/>
      <c r="F382" s="37"/>
      <c r="G382" s="37"/>
      <c r="H382" s="37"/>
      <c r="I382" s="37"/>
    </row>
    <row r="383" spans="1:9" ht="14.25" customHeight="1" x14ac:dyDescent="0.3">
      <c r="A383" s="37"/>
      <c r="B383" s="36" t="s">
        <v>1311</v>
      </c>
      <c r="C383" s="41" t="s">
        <v>1312</v>
      </c>
      <c r="D383" s="37"/>
      <c r="E383" s="37"/>
      <c r="F383" s="37"/>
      <c r="G383" s="37"/>
      <c r="H383" s="37"/>
      <c r="I383" s="37"/>
    </row>
    <row r="384" spans="1:9" ht="14.25" customHeight="1" x14ac:dyDescent="0.3">
      <c r="A384" s="37"/>
      <c r="B384" s="36" t="s">
        <v>1313</v>
      </c>
      <c r="C384" s="41" t="s">
        <v>1314</v>
      </c>
      <c r="D384" s="37"/>
      <c r="E384" s="37"/>
      <c r="F384" s="37"/>
      <c r="G384" s="37"/>
      <c r="H384" s="37"/>
      <c r="I384" s="37"/>
    </row>
    <row r="385" spans="1:9" ht="14.25" customHeight="1" x14ac:dyDescent="0.3">
      <c r="A385" s="37"/>
      <c r="B385" s="36" t="s">
        <v>1315</v>
      </c>
      <c r="C385" s="41" t="s">
        <v>1316</v>
      </c>
      <c r="D385" s="37"/>
      <c r="E385" s="37"/>
      <c r="F385" s="37"/>
      <c r="G385" s="37"/>
      <c r="H385" s="37"/>
      <c r="I385" s="37"/>
    </row>
    <row r="386" spans="1:9" ht="14.25" customHeight="1" x14ac:dyDescent="0.3">
      <c r="A386" s="37"/>
      <c r="B386" s="36" t="s">
        <v>1317</v>
      </c>
      <c r="C386" s="41" t="s">
        <v>1318</v>
      </c>
      <c r="D386" s="37"/>
      <c r="E386" s="37"/>
      <c r="F386" s="37"/>
      <c r="G386" s="37"/>
      <c r="H386" s="37"/>
      <c r="I386" s="37"/>
    </row>
    <row r="387" spans="1:9" ht="14.25" customHeight="1" x14ac:dyDescent="0.3">
      <c r="A387" s="37"/>
      <c r="B387" s="36" t="s">
        <v>1319</v>
      </c>
      <c r="C387" s="41" t="s">
        <v>1320</v>
      </c>
      <c r="D387" s="37"/>
      <c r="E387" s="37"/>
      <c r="F387" s="37"/>
      <c r="G387" s="37"/>
      <c r="H387" s="37"/>
      <c r="I387" s="37"/>
    </row>
    <row r="388" spans="1:9" ht="14.25" customHeight="1" x14ac:dyDescent="0.3">
      <c r="A388" s="37"/>
      <c r="B388" s="36" t="s">
        <v>1321</v>
      </c>
      <c r="C388" s="41" t="s">
        <v>1322</v>
      </c>
      <c r="D388" s="37"/>
      <c r="E388" s="37"/>
      <c r="F388" s="37"/>
      <c r="G388" s="37"/>
      <c r="H388" s="37"/>
      <c r="I388" s="37"/>
    </row>
    <row r="389" spans="1:9" ht="14.25" customHeight="1" x14ac:dyDescent="0.3">
      <c r="A389" s="37"/>
      <c r="B389" s="36" t="s">
        <v>1323</v>
      </c>
      <c r="C389" s="41" t="s">
        <v>1324</v>
      </c>
      <c r="D389" s="37"/>
      <c r="E389" s="37"/>
      <c r="F389" s="37"/>
      <c r="G389" s="37"/>
      <c r="H389" s="37"/>
      <c r="I389" s="37"/>
    </row>
    <row r="390" spans="1:9" ht="14.25" customHeight="1" x14ac:dyDescent="0.3">
      <c r="A390" s="37"/>
      <c r="B390" s="36" t="s">
        <v>1325</v>
      </c>
      <c r="C390" s="41" t="s">
        <v>1326</v>
      </c>
      <c r="D390" s="37"/>
      <c r="E390" s="37"/>
      <c r="F390" s="37"/>
      <c r="G390" s="37"/>
      <c r="H390" s="37"/>
      <c r="I390" s="37"/>
    </row>
    <row r="391" spans="1:9" ht="14.25" customHeight="1" x14ac:dyDescent="0.3">
      <c r="A391" s="37"/>
      <c r="B391" s="36" t="s">
        <v>1327</v>
      </c>
      <c r="C391" s="41" t="s">
        <v>1328</v>
      </c>
      <c r="D391" s="37"/>
      <c r="E391" s="37"/>
      <c r="F391" s="37"/>
      <c r="G391" s="37"/>
      <c r="H391" s="37"/>
      <c r="I391" s="37"/>
    </row>
    <row r="392" spans="1:9" ht="14.25" customHeight="1" x14ac:dyDescent="0.3">
      <c r="A392" s="37"/>
      <c r="B392" s="42" t="s">
        <v>604</v>
      </c>
      <c r="C392" s="43" t="s">
        <v>605</v>
      </c>
      <c r="D392" s="37"/>
      <c r="E392" s="37"/>
      <c r="F392" s="37"/>
      <c r="G392" s="37"/>
      <c r="H392" s="37"/>
      <c r="I392" s="37"/>
    </row>
    <row r="393" spans="1:9" ht="14.25" customHeight="1" x14ac:dyDescent="0.3">
      <c r="A393" s="37"/>
      <c r="B393" s="36" t="s">
        <v>1329</v>
      </c>
      <c r="C393" s="41" t="s">
        <v>1330</v>
      </c>
      <c r="D393" s="37"/>
      <c r="E393" s="37"/>
      <c r="F393" s="37"/>
      <c r="G393" s="37"/>
      <c r="H393" s="37"/>
      <c r="I393" s="37"/>
    </row>
    <row r="394" spans="1:9" ht="14.25" customHeight="1" x14ac:dyDescent="0.3">
      <c r="A394" s="37"/>
      <c r="B394" s="36" t="s">
        <v>1331</v>
      </c>
      <c r="C394" s="41" t="s">
        <v>1332</v>
      </c>
      <c r="D394" s="37"/>
      <c r="E394" s="37"/>
      <c r="F394" s="37"/>
      <c r="G394" s="37"/>
      <c r="H394" s="37"/>
      <c r="I394" s="37"/>
    </row>
    <row r="395" spans="1:9" ht="14.25" customHeight="1" x14ac:dyDescent="0.3">
      <c r="A395" s="37"/>
      <c r="B395" s="36" t="s">
        <v>1333</v>
      </c>
      <c r="C395" s="41" t="s">
        <v>1334</v>
      </c>
      <c r="D395" s="37"/>
      <c r="E395" s="37"/>
      <c r="F395" s="37"/>
      <c r="G395" s="37"/>
      <c r="H395" s="37"/>
      <c r="I395" s="37"/>
    </row>
    <row r="396" spans="1:9" ht="14.25" customHeight="1" x14ac:dyDescent="0.3">
      <c r="A396" s="37"/>
      <c r="B396" s="36" t="s">
        <v>1335</v>
      </c>
      <c r="C396" s="41" t="s">
        <v>1336</v>
      </c>
      <c r="D396" s="37"/>
      <c r="E396" s="37"/>
      <c r="F396" s="37"/>
      <c r="G396" s="37"/>
      <c r="H396" s="37"/>
      <c r="I396" s="37"/>
    </row>
    <row r="397" spans="1:9" ht="14.25" customHeight="1" x14ac:dyDescent="0.3">
      <c r="A397" s="37"/>
      <c r="B397" s="36" t="s">
        <v>1337</v>
      </c>
      <c r="C397" s="41" t="s">
        <v>1338</v>
      </c>
      <c r="D397" s="37"/>
      <c r="E397" s="37"/>
      <c r="F397" s="37"/>
      <c r="G397" s="37"/>
      <c r="H397" s="37"/>
      <c r="I397" s="37"/>
    </row>
    <row r="398" spans="1:9" ht="14.25" customHeight="1" x14ac:dyDescent="0.3">
      <c r="A398" s="37"/>
      <c r="B398" s="36" t="s">
        <v>1339</v>
      </c>
      <c r="C398" s="41" t="s">
        <v>1340</v>
      </c>
      <c r="D398" s="37"/>
      <c r="E398" s="37"/>
      <c r="F398" s="37"/>
      <c r="G398" s="37"/>
      <c r="H398" s="37"/>
      <c r="I398" s="37"/>
    </row>
    <row r="399" spans="1:9" ht="14.25" customHeight="1" x14ac:dyDescent="0.3">
      <c r="A399" s="37"/>
      <c r="B399" s="36" t="s">
        <v>1341</v>
      </c>
      <c r="C399" s="41" t="s">
        <v>1342</v>
      </c>
      <c r="D399" s="37"/>
      <c r="E399" s="37"/>
      <c r="F399" s="37"/>
      <c r="G399" s="37"/>
      <c r="H399" s="37"/>
      <c r="I399" s="37"/>
    </row>
    <row r="400" spans="1:9" ht="14.25" customHeight="1" x14ac:dyDescent="0.3">
      <c r="A400" s="37"/>
      <c r="B400" s="36" t="s">
        <v>1343</v>
      </c>
      <c r="C400" s="41" t="s">
        <v>1344</v>
      </c>
      <c r="D400" s="37"/>
      <c r="E400" s="37"/>
      <c r="F400" s="37"/>
      <c r="G400" s="37"/>
      <c r="H400" s="37"/>
      <c r="I400" s="37"/>
    </row>
    <row r="401" spans="1:9" ht="14.25" customHeight="1" x14ac:dyDescent="0.3">
      <c r="A401" s="37"/>
      <c r="B401" s="36" t="s">
        <v>1345</v>
      </c>
      <c r="C401" s="41" t="s">
        <v>1346</v>
      </c>
      <c r="D401" s="37"/>
      <c r="E401" s="37"/>
      <c r="F401" s="37"/>
      <c r="G401" s="37"/>
      <c r="H401" s="37"/>
      <c r="I401" s="37"/>
    </row>
    <row r="402" spans="1:9" ht="14.25" customHeight="1" x14ac:dyDescent="0.3">
      <c r="A402" s="37"/>
      <c r="B402" s="36" t="s">
        <v>1347</v>
      </c>
      <c r="C402" s="41" t="s">
        <v>1348</v>
      </c>
      <c r="D402" s="37"/>
      <c r="E402" s="37"/>
      <c r="F402" s="37"/>
      <c r="G402" s="37"/>
      <c r="H402" s="37"/>
      <c r="I402" s="37"/>
    </row>
    <row r="403" spans="1:9" ht="14.25" customHeight="1" x14ac:dyDescent="0.3">
      <c r="A403" s="37"/>
      <c r="B403" s="36" t="s">
        <v>1349</v>
      </c>
      <c r="C403" s="41" t="s">
        <v>1350</v>
      </c>
      <c r="D403" s="37"/>
      <c r="E403" s="37"/>
      <c r="F403" s="37"/>
      <c r="G403" s="37"/>
      <c r="H403" s="37"/>
      <c r="I403" s="37"/>
    </row>
    <row r="404" spans="1:9" ht="14.25" customHeight="1" x14ac:dyDescent="0.3">
      <c r="A404" s="37"/>
      <c r="B404" s="36" t="s">
        <v>1351</v>
      </c>
      <c r="C404" s="41" t="s">
        <v>1352</v>
      </c>
      <c r="D404" s="37"/>
      <c r="E404" s="37"/>
      <c r="F404" s="37"/>
      <c r="G404" s="37"/>
      <c r="H404" s="37"/>
      <c r="I404" s="37"/>
    </row>
    <row r="405" spans="1:9" ht="14.25" customHeight="1" x14ac:dyDescent="0.3">
      <c r="A405" s="37"/>
      <c r="B405" s="36" t="s">
        <v>1353</v>
      </c>
      <c r="C405" s="41" t="s">
        <v>1354</v>
      </c>
      <c r="D405" s="37"/>
      <c r="E405" s="37"/>
      <c r="F405" s="37"/>
      <c r="G405" s="37"/>
      <c r="H405" s="37"/>
      <c r="I405" s="37"/>
    </row>
    <row r="406" spans="1:9" ht="14.25" customHeight="1" x14ac:dyDescent="0.3">
      <c r="A406" s="37"/>
      <c r="B406" s="36" t="s">
        <v>1355</v>
      </c>
      <c r="C406" s="41" t="s">
        <v>1356</v>
      </c>
      <c r="D406" s="37"/>
      <c r="E406" s="37"/>
      <c r="F406" s="37"/>
      <c r="G406" s="37"/>
      <c r="H406" s="37"/>
      <c r="I406" s="37"/>
    </row>
    <row r="407" spans="1:9" ht="14.25" customHeight="1" x14ac:dyDescent="0.3">
      <c r="A407" s="37"/>
      <c r="B407" s="36" t="s">
        <v>1357</v>
      </c>
      <c r="C407" s="41" t="s">
        <v>1358</v>
      </c>
      <c r="D407" s="37"/>
      <c r="E407" s="37"/>
      <c r="F407" s="37"/>
      <c r="G407" s="37"/>
      <c r="H407" s="37"/>
      <c r="I407" s="37"/>
    </row>
    <row r="408" spans="1:9" ht="14.25" customHeight="1" x14ac:dyDescent="0.3">
      <c r="A408" s="37"/>
      <c r="B408" s="36" t="s">
        <v>1359</v>
      </c>
      <c r="C408" s="41" t="s">
        <v>1360</v>
      </c>
      <c r="D408" s="37"/>
      <c r="E408" s="37"/>
      <c r="F408" s="37"/>
      <c r="G408" s="37"/>
      <c r="H408" s="37"/>
      <c r="I408" s="37"/>
    </row>
    <row r="409" spans="1:9" ht="14.25" customHeight="1" x14ac:dyDescent="0.3">
      <c r="A409" s="37"/>
      <c r="B409" s="36" t="s">
        <v>1361</v>
      </c>
      <c r="C409" s="41" t="s">
        <v>1362</v>
      </c>
      <c r="D409" s="37"/>
      <c r="E409" s="37"/>
      <c r="F409" s="37"/>
      <c r="G409" s="37"/>
      <c r="H409" s="37"/>
      <c r="I409" s="37"/>
    </row>
    <row r="410" spans="1:9" ht="14.25" customHeight="1" x14ac:dyDescent="0.3">
      <c r="A410" s="37"/>
      <c r="B410" s="36" t="s">
        <v>1363</v>
      </c>
      <c r="C410" s="41" t="s">
        <v>1364</v>
      </c>
      <c r="D410" s="37"/>
      <c r="E410" s="37"/>
      <c r="F410" s="37"/>
      <c r="G410" s="37"/>
      <c r="H410" s="37"/>
      <c r="I410" s="37"/>
    </row>
    <row r="411" spans="1:9" ht="14.25" customHeight="1" x14ac:dyDescent="0.3">
      <c r="A411" s="37"/>
      <c r="B411" s="36" t="s">
        <v>1365</v>
      </c>
      <c r="C411" s="41" t="s">
        <v>1366</v>
      </c>
      <c r="D411" s="37"/>
      <c r="E411" s="37"/>
      <c r="F411" s="37"/>
      <c r="G411" s="37"/>
      <c r="H411" s="37"/>
      <c r="I411" s="37"/>
    </row>
    <row r="412" spans="1:9" ht="14.25" customHeight="1" x14ac:dyDescent="0.3">
      <c r="A412" s="37"/>
      <c r="B412" s="36" t="s">
        <v>1367</v>
      </c>
      <c r="C412" s="41" t="s">
        <v>1368</v>
      </c>
      <c r="D412" s="37"/>
      <c r="E412" s="37"/>
      <c r="F412" s="37"/>
      <c r="G412" s="37"/>
      <c r="H412" s="37"/>
      <c r="I412" s="37"/>
    </row>
    <row r="413" spans="1:9" ht="14.25" customHeight="1" x14ac:dyDescent="0.3">
      <c r="A413" s="37"/>
      <c r="B413" s="36" t="s">
        <v>1369</v>
      </c>
      <c r="C413" s="41" t="s">
        <v>1370</v>
      </c>
      <c r="D413" s="37"/>
      <c r="E413" s="37"/>
      <c r="F413" s="37"/>
      <c r="G413" s="37"/>
      <c r="H413" s="37"/>
      <c r="I413" s="37"/>
    </row>
    <row r="414" spans="1:9" ht="14.25" customHeight="1" x14ac:dyDescent="0.3">
      <c r="A414" s="37"/>
      <c r="B414" s="36" t="s">
        <v>1371</v>
      </c>
      <c r="C414" s="41" t="s">
        <v>1372</v>
      </c>
      <c r="D414" s="37"/>
      <c r="E414" s="37"/>
      <c r="F414" s="37"/>
      <c r="G414" s="37"/>
      <c r="H414" s="37"/>
      <c r="I414" s="37"/>
    </row>
    <row r="415" spans="1:9" ht="14.25" customHeight="1" x14ac:dyDescent="0.3">
      <c r="A415" s="37"/>
      <c r="B415" s="36" t="s">
        <v>1373</v>
      </c>
      <c r="C415" s="41" t="s">
        <v>1374</v>
      </c>
      <c r="D415" s="37"/>
      <c r="E415" s="37"/>
      <c r="F415" s="37"/>
      <c r="G415" s="37"/>
      <c r="H415" s="37"/>
      <c r="I415" s="37"/>
    </row>
    <row r="416" spans="1:9" ht="14.25" customHeight="1" x14ac:dyDescent="0.3">
      <c r="A416" s="37"/>
      <c r="B416" s="36" t="s">
        <v>1375</v>
      </c>
      <c r="C416" s="41" t="s">
        <v>1376</v>
      </c>
      <c r="D416" s="37"/>
      <c r="E416" s="37"/>
      <c r="F416" s="37"/>
      <c r="G416" s="37"/>
      <c r="H416" s="37"/>
      <c r="I416" s="37"/>
    </row>
    <row r="417" spans="1:9" ht="14.25" customHeight="1" x14ac:dyDescent="0.3">
      <c r="A417" s="37"/>
      <c r="B417" s="36" t="s">
        <v>1377</v>
      </c>
      <c r="C417" s="41" t="s">
        <v>1378</v>
      </c>
      <c r="D417" s="37"/>
      <c r="E417" s="37"/>
      <c r="F417" s="37"/>
      <c r="G417" s="37"/>
      <c r="H417" s="37"/>
      <c r="I417" s="37"/>
    </row>
    <row r="418" spans="1:9" ht="14.25" customHeight="1" x14ac:dyDescent="0.3">
      <c r="A418" s="37"/>
      <c r="B418" s="36" t="s">
        <v>1379</v>
      </c>
      <c r="C418" s="41" t="s">
        <v>1380</v>
      </c>
      <c r="D418" s="37"/>
      <c r="E418" s="37"/>
      <c r="F418" s="37"/>
      <c r="G418" s="37"/>
      <c r="H418" s="37"/>
      <c r="I418" s="37"/>
    </row>
    <row r="419" spans="1:9" ht="14.25" customHeight="1" x14ac:dyDescent="0.3">
      <c r="A419" s="37"/>
      <c r="B419" s="36" t="s">
        <v>1381</v>
      </c>
      <c r="C419" s="41" t="s">
        <v>1382</v>
      </c>
      <c r="D419" s="37"/>
      <c r="E419" s="37"/>
      <c r="F419" s="37"/>
      <c r="G419" s="37"/>
      <c r="H419" s="37"/>
      <c r="I419" s="37"/>
    </row>
    <row r="420" spans="1:9" ht="14.25" customHeight="1" x14ac:dyDescent="0.3">
      <c r="A420" s="37"/>
      <c r="B420" s="36" t="s">
        <v>1383</v>
      </c>
      <c r="C420" s="41" t="s">
        <v>1384</v>
      </c>
      <c r="D420" s="37"/>
      <c r="E420" s="37"/>
      <c r="F420" s="37"/>
      <c r="G420" s="37"/>
      <c r="H420" s="37"/>
      <c r="I420" s="37"/>
    </row>
    <row r="421" spans="1:9" ht="14.25" customHeight="1" x14ac:dyDescent="0.3">
      <c r="A421" s="37"/>
      <c r="B421" s="36" t="s">
        <v>1385</v>
      </c>
      <c r="C421" s="41" t="s">
        <v>1386</v>
      </c>
      <c r="D421" s="37"/>
      <c r="E421" s="37"/>
      <c r="F421" s="37"/>
      <c r="G421" s="37"/>
      <c r="H421" s="37"/>
      <c r="I421" s="37"/>
    </row>
    <row r="422" spans="1:9" ht="14.25" customHeight="1" x14ac:dyDescent="0.3">
      <c r="A422" s="37"/>
      <c r="B422" s="36" t="s">
        <v>1387</v>
      </c>
      <c r="C422" s="41" t="s">
        <v>1388</v>
      </c>
      <c r="D422" s="37"/>
      <c r="E422" s="37"/>
      <c r="F422" s="37"/>
      <c r="G422" s="37"/>
      <c r="H422" s="37"/>
      <c r="I422" s="37"/>
    </row>
    <row r="423" spans="1:9" ht="14.25" customHeight="1" x14ac:dyDescent="0.3">
      <c r="A423" s="37"/>
      <c r="B423" s="36" t="s">
        <v>1389</v>
      </c>
      <c r="C423" s="41" t="s">
        <v>1390</v>
      </c>
      <c r="D423" s="37"/>
      <c r="E423" s="37"/>
      <c r="F423" s="37"/>
      <c r="G423" s="37"/>
      <c r="H423" s="37"/>
      <c r="I423" s="37"/>
    </row>
    <row r="424" spans="1:9" ht="14.25" customHeight="1" x14ac:dyDescent="0.3">
      <c r="A424" s="37"/>
      <c r="B424" s="36" t="s">
        <v>1391</v>
      </c>
      <c r="C424" s="41" t="s">
        <v>1392</v>
      </c>
      <c r="D424" s="37"/>
      <c r="E424" s="37"/>
      <c r="F424" s="37"/>
      <c r="G424" s="37"/>
      <c r="H424" s="37"/>
      <c r="I424" s="37"/>
    </row>
    <row r="425" spans="1:9" ht="14.25" customHeight="1" x14ac:dyDescent="0.3">
      <c r="A425" s="37"/>
      <c r="B425" s="36" t="s">
        <v>1393</v>
      </c>
      <c r="C425" s="41" t="s">
        <v>1394</v>
      </c>
      <c r="D425" s="37"/>
      <c r="E425" s="37"/>
      <c r="F425" s="37"/>
      <c r="G425" s="37"/>
      <c r="H425" s="37"/>
      <c r="I425" s="37"/>
    </row>
    <row r="426" spans="1:9" ht="14.25" customHeight="1" x14ac:dyDescent="0.3">
      <c r="A426" s="37"/>
      <c r="B426" s="36" t="s">
        <v>1395</v>
      </c>
      <c r="C426" s="41" t="s">
        <v>1396</v>
      </c>
      <c r="D426" s="37"/>
      <c r="E426" s="37"/>
      <c r="F426" s="37"/>
      <c r="G426" s="37"/>
      <c r="H426" s="37"/>
      <c r="I426" s="37"/>
    </row>
    <row r="427" spans="1:9" ht="14.25" customHeight="1" x14ac:dyDescent="0.3">
      <c r="A427" s="37"/>
      <c r="B427" s="36" t="s">
        <v>1397</v>
      </c>
      <c r="C427" s="41" t="s">
        <v>1398</v>
      </c>
      <c r="D427" s="37"/>
      <c r="E427" s="37"/>
      <c r="F427" s="37"/>
      <c r="G427" s="37"/>
      <c r="H427" s="37"/>
      <c r="I427" s="37"/>
    </row>
    <row r="428" spans="1:9" ht="14.25" customHeight="1" x14ac:dyDescent="0.3">
      <c r="A428" s="37"/>
      <c r="B428" s="36" t="s">
        <v>1399</v>
      </c>
      <c r="C428" s="41" t="s">
        <v>1400</v>
      </c>
      <c r="D428" s="37"/>
      <c r="E428" s="37"/>
      <c r="F428" s="37"/>
      <c r="G428" s="37"/>
      <c r="H428" s="37"/>
      <c r="I428" s="37"/>
    </row>
    <row r="429" spans="1:9" ht="14.25" customHeight="1" x14ac:dyDescent="0.3">
      <c r="A429" s="37"/>
      <c r="B429" s="36" t="s">
        <v>1401</v>
      </c>
      <c r="C429" s="41" t="s">
        <v>1402</v>
      </c>
      <c r="D429" s="37"/>
      <c r="E429" s="37"/>
      <c r="F429" s="37"/>
      <c r="G429" s="37"/>
      <c r="H429" s="37"/>
      <c r="I429" s="37"/>
    </row>
    <row r="430" spans="1:9" ht="14.25" customHeight="1" x14ac:dyDescent="0.3">
      <c r="A430" s="37"/>
      <c r="B430" s="36" t="s">
        <v>1403</v>
      </c>
      <c r="C430" s="41" t="s">
        <v>1404</v>
      </c>
      <c r="D430" s="37"/>
      <c r="E430" s="37"/>
      <c r="F430" s="37"/>
      <c r="G430" s="37"/>
      <c r="H430" s="37"/>
      <c r="I430" s="37"/>
    </row>
    <row r="431" spans="1:9" ht="14.25" customHeight="1" x14ac:dyDescent="0.3">
      <c r="A431" s="37"/>
      <c r="B431" s="36" t="s">
        <v>1405</v>
      </c>
      <c r="C431" s="41" t="s">
        <v>1406</v>
      </c>
      <c r="D431" s="37"/>
      <c r="E431" s="37"/>
      <c r="F431" s="37"/>
      <c r="G431" s="37"/>
      <c r="H431" s="37"/>
      <c r="I431" s="37"/>
    </row>
    <row r="432" spans="1:9" ht="14.25" customHeight="1" x14ac:dyDescent="0.3">
      <c r="A432" s="37"/>
      <c r="B432" s="36" t="s">
        <v>1407</v>
      </c>
      <c r="C432" s="41" t="s">
        <v>1408</v>
      </c>
      <c r="D432" s="37"/>
      <c r="E432" s="37"/>
      <c r="F432" s="37"/>
      <c r="G432" s="37"/>
      <c r="H432" s="37"/>
      <c r="I432" s="37"/>
    </row>
    <row r="433" spans="1:9" ht="14.25" customHeight="1" x14ac:dyDescent="0.3">
      <c r="A433" s="37"/>
      <c r="B433" s="36" t="s">
        <v>1409</v>
      </c>
      <c r="C433" s="41" t="s">
        <v>1410</v>
      </c>
      <c r="D433" s="37"/>
      <c r="E433" s="37"/>
      <c r="F433" s="37"/>
      <c r="G433" s="37"/>
      <c r="H433" s="37"/>
      <c r="I433" s="37"/>
    </row>
    <row r="434" spans="1:9" ht="14.25" customHeight="1" x14ac:dyDescent="0.3">
      <c r="A434" s="37"/>
      <c r="B434" s="36" t="s">
        <v>1411</v>
      </c>
      <c r="C434" s="41" t="s">
        <v>1412</v>
      </c>
      <c r="D434" s="37"/>
      <c r="E434" s="37"/>
      <c r="F434" s="37"/>
      <c r="G434" s="37"/>
      <c r="H434" s="37"/>
      <c r="I434" s="37"/>
    </row>
    <row r="435" spans="1:9" ht="14.25" customHeight="1" x14ac:dyDescent="0.3">
      <c r="A435" s="37"/>
      <c r="B435" s="36" t="s">
        <v>1413</v>
      </c>
      <c r="C435" s="41" t="s">
        <v>1414</v>
      </c>
      <c r="D435" s="37"/>
      <c r="E435" s="37"/>
      <c r="F435" s="37"/>
      <c r="G435" s="37"/>
      <c r="H435" s="37"/>
      <c r="I435" s="37"/>
    </row>
    <row r="436" spans="1:9" ht="14.25" customHeight="1" x14ac:dyDescent="0.3">
      <c r="A436" s="37"/>
      <c r="B436" s="36" t="s">
        <v>1415</v>
      </c>
      <c r="C436" s="41" t="s">
        <v>1416</v>
      </c>
      <c r="D436" s="37"/>
      <c r="E436" s="37"/>
      <c r="F436" s="37"/>
      <c r="G436" s="37"/>
      <c r="H436" s="37"/>
      <c r="I436" s="37"/>
    </row>
    <row r="437" spans="1:9" ht="14.25" customHeight="1" x14ac:dyDescent="0.3">
      <c r="A437" s="37"/>
      <c r="B437" s="36" t="s">
        <v>1417</v>
      </c>
      <c r="C437" s="41" t="s">
        <v>1418</v>
      </c>
      <c r="D437" s="37"/>
      <c r="E437" s="37"/>
      <c r="F437" s="37"/>
      <c r="G437" s="37"/>
      <c r="H437" s="37"/>
      <c r="I437" s="37"/>
    </row>
    <row r="438" spans="1:9" ht="14.25" customHeight="1" x14ac:dyDescent="0.3">
      <c r="A438" s="37"/>
      <c r="B438" s="36" t="s">
        <v>1419</v>
      </c>
      <c r="C438" s="41" t="s">
        <v>1420</v>
      </c>
      <c r="D438" s="37"/>
      <c r="E438" s="37"/>
      <c r="F438" s="37"/>
      <c r="G438" s="37"/>
      <c r="H438" s="37"/>
      <c r="I438" s="37"/>
    </row>
    <row r="439" spans="1:9" ht="14.25" customHeight="1" x14ac:dyDescent="0.3">
      <c r="A439" s="37"/>
      <c r="B439" s="36" t="s">
        <v>1421</v>
      </c>
      <c r="C439" s="41" t="s">
        <v>1422</v>
      </c>
      <c r="D439" s="37"/>
      <c r="E439" s="37"/>
      <c r="F439" s="37"/>
      <c r="G439" s="37"/>
      <c r="H439" s="37"/>
      <c r="I439" s="37"/>
    </row>
    <row r="440" spans="1:9" ht="14.25" customHeight="1" x14ac:dyDescent="0.3">
      <c r="A440" s="37"/>
      <c r="B440" s="36" t="s">
        <v>1423</v>
      </c>
      <c r="C440" s="41" t="s">
        <v>1424</v>
      </c>
      <c r="D440" s="37"/>
      <c r="E440" s="37"/>
      <c r="F440" s="37"/>
      <c r="G440" s="37"/>
      <c r="H440" s="37"/>
      <c r="I440" s="37"/>
    </row>
    <row r="441" spans="1:9" ht="14.25" customHeight="1" x14ac:dyDescent="0.3">
      <c r="A441" s="37"/>
      <c r="B441" s="36" t="s">
        <v>1425</v>
      </c>
      <c r="C441" s="41" t="s">
        <v>1426</v>
      </c>
      <c r="D441" s="37"/>
      <c r="E441" s="37"/>
      <c r="F441" s="37"/>
      <c r="G441" s="37"/>
      <c r="H441" s="37"/>
      <c r="I441" s="37"/>
    </row>
    <row r="442" spans="1:9" ht="14.25" customHeight="1" x14ac:dyDescent="0.3">
      <c r="A442" s="37"/>
      <c r="B442" s="36" t="s">
        <v>1427</v>
      </c>
      <c r="C442" s="41" t="s">
        <v>1428</v>
      </c>
      <c r="D442" s="37"/>
      <c r="E442" s="37"/>
      <c r="F442" s="37"/>
      <c r="G442" s="37"/>
      <c r="H442" s="37"/>
      <c r="I442" s="37"/>
    </row>
    <row r="443" spans="1:9" ht="14.25" customHeight="1" x14ac:dyDescent="0.3">
      <c r="A443" s="37"/>
      <c r="B443" s="36" t="s">
        <v>1429</v>
      </c>
      <c r="C443" s="41" t="s">
        <v>1430</v>
      </c>
      <c r="D443" s="37"/>
      <c r="E443" s="37"/>
      <c r="F443" s="37"/>
      <c r="G443" s="37"/>
      <c r="H443" s="37"/>
      <c r="I443" s="37"/>
    </row>
    <row r="444" spans="1:9" ht="14.25" customHeight="1" x14ac:dyDescent="0.3">
      <c r="A444" s="37"/>
      <c r="B444" s="36" t="s">
        <v>1431</v>
      </c>
      <c r="C444" s="41" t="s">
        <v>1432</v>
      </c>
      <c r="D444" s="37"/>
      <c r="E444" s="37"/>
      <c r="F444" s="37"/>
      <c r="G444" s="37"/>
      <c r="H444" s="37"/>
      <c r="I444" s="37"/>
    </row>
    <row r="445" spans="1:9" ht="14.25" customHeight="1" x14ac:dyDescent="0.3">
      <c r="A445" s="37"/>
      <c r="B445" s="36" t="s">
        <v>1433</v>
      </c>
      <c r="C445" s="41" t="s">
        <v>1434</v>
      </c>
      <c r="D445" s="37"/>
      <c r="E445" s="37"/>
      <c r="F445" s="37"/>
      <c r="G445" s="37"/>
      <c r="H445" s="37"/>
      <c r="I445" s="37"/>
    </row>
    <row r="446" spans="1:9" ht="14.25" customHeight="1" x14ac:dyDescent="0.3">
      <c r="A446" s="37"/>
      <c r="B446" s="36" t="s">
        <v>1435</v>
      </c>
      <c r="C446" s="41" t="s">
        <v>1436</v>
      </c>
      <c r="D446" s="37"/>
      <c r="E446" s="37"/>
      <c r="F446" s="37"/>
      <c r="G446" s="37"/>
      <c r="H446" s="37"/>
      <c r="I446" s="37"/>
    </row>
    <row r="447" spans="1:9" ht="14.25" customHeight="1" x14ac:dyDescent="0.3">
      <c r="A447" s="37"/>
      <c r="B447" s="36" t="s">
        <v>1437</v>
      </c>
      <c r="C447" s="41" t="s">
        <v>1438</v>
      </c>
      <c r="D447" s="37"/>
      <c r="E447" s="37"/>
      <c r="F447" s="37"/>
      <c r="G447" s="37"/>
      <c r="H447" s="37"/>
      <c r="I447" s="37"/>
    </row>
    <row r="448" spans="1:9" ht="14.25" customHeight="1" x14ac:dyDescent="0.3">
      <c r="A448" s="37"/>
      <c r="B448" s="36" t="s">
        <v>1439</v>
      </c>
      <c r="C448" s="41" t="s">
        <v>1440</v>
      </c>
      <c r="D448" s="37"/>
      <c r="E448" s="37"/>
      <c r="F448" s="37"/>
      <c r="G448" s="37"/>
      <c r="H448" s="37"/>
      <c r="I448" s="37"/>
    </row>
    <row r="449" spans="1:9" ht="14.25" customHeight="1" x14ac:dyDescent="0.3">
      <c r="A449" s="37"/>
      <c r="B449" s="36" t="s">
        <v>1441</v>
      </c>
      <c r="C449" s="41" t="s">
        <v>1442</v>
      </c>
      <c r="D449" s="37"/>
      <c r="E449" s="37"/>
      <c r="F449" s="37"/>
      <c r="G449" s="37"/>
      <c r="H449" s="37"/>
      <c r="I449" s="37"/>
    </row>
    <row r="450" spans="1:9" ht="14.25" customHeight="1" x14ac:dyDescent="0.3">
      <c r="A450" s="37"/>
      <c r="B450" s="36" t="s">
        <v>1443</v>
      </c>
      <c r="C450" s="41" t="s">
        <v>1444</v>
      </c>
      <c r="D450" s="37"/>
      <c r="E450" s="37"/>
      <c r="F450" s="37"/>
      <c r="G450" s="37"/>
      <c r="H450" s="37"/>
      <c r="I450" s="37"/>
    </row>
    <row r="451" spans="1:9" ht="14.25" customHeight="1" x14ac:dyDescent="0.3">
      <c r="A451" s="37"/>
      <c r="B451" s="36" t="s">
        <v>1445</v>
      </c>
      <c r="C451" s="41" t="s">
        <v>1446</v>
      </c>
      <c r="D451" s="37"/>
      <c r="E451" s="37"/>
      <c r="F451" s="37"/>
      <c r="G451" s="37"/>
      <c r="H451" s="37"/>
      <c r="I451" s="37"/>
    </row>
    <row r="452" spans="1:9" ht="14.25" customHeight="1" x14ac:dyDescent="0.3">
      <c r="A452" s="37"/>
      <c r="B452" s="36" t="s">
        <v>1447</v>
      </c>
      <c r="C452" s="41" t="s">
        <v>1448</v>
      </c>
      <c r="D452" s="37"/>
      <c r="E452" s="37"/>
      <c r="F452" s="37"/>
      <c r="G452" s="37"/>
      <c r="H452" s="37"/>
      <c r="I452" s="37"/>
    </row>
    <row r="453" spans="1:9" ht="14.25" customHeight="1" x14ac:dyDescent="0.3">
      <c r="A453" s="37"/>
      <c r="B453" s="36" t="s">
        <v>1449</v>
      </c>
      <c r="C453" s="41" t="s">
        <v>1450</v>
      </c>
      <c r="D453" s="37"/>
      <c r="E453" s="37"/>
      <c r="F453" s="37"/>
      <c r="G453" s="37"/>
      <c r="H453" s="37"/>
      <c r="I453" s="37"/>
    </row>
    <row r="454" spans="1:9" ht="14.25" customHeight="1" x14ac:dyDescent="0.3">
      <c r="A454" s="37"/>
      <c r="B454" s="36" t="s">
        <v>1451</v>
      </c>
      <c r="C454" s="41" t="s">
        <v>1452</v>
      </c>
      <c r="D454" s="37"/>
      <c r="E454" s="37"/>
      <c r="F454" s="37"/>
      <c r="G454" s="37"/>
      <c r="H454" s="37"/>
      <c r="I454" s="37"/>
    </row>
    <row r="455" spans="1:9" ht="14.25" customHeight="1" x14ac:dyDescent="0.3">
      <c r="A455" s="37"/>
      <c r="B455" s="36" t="s">
        <v>1453</v>
      </c>
      <c r="C455" s="41" t="s">
        <v>1454</v>
      </c>
      <c r="D455" s="37"/>
      <c r="E455" s="37"/>
      <c r="F455" s="37"/>
      <c r="G455" s="37"/>
      <c r="H455" s="37"/>
      <c r="I455" s="37"/>
    </row>
    <row r="456" spans="1:9" ht="14.25" customHeight="1" x14ac:dyDescent="0.3">
      <c r="A456" s="37"/>
      <c r="B456" s="36" t="s">
        <v>1455</v>
      </c>
      <c r="C456" s="41" t="s">
        <v>1456</v>
      </c>
      <c r="D456" s="37"/>
      <c r="E456" s="37"/>
      <c r="F456" s="37"/>
      <c r="G456" s="37"/>
      <c r="H456" s="37"/>
      <c r="I456" s="37"/>
    </row>
    <row r="457" spans="1:9" ht="14.25" customHeight="1" x14ac:dyDescent="0.3">
      <c r="A457" s="37"/>
      <c r="B457" s="36" t="s">
        <v>1457</v>
      </c>
      <c r="C457" s="41" t="s">
        <v>1458</v>
      </c>
      <c r="D457" s="37"/>
      <c r="E457" s="37"/>
      <c r="F457" s="37"/>
      <c r="G457" s="37"/>
      <c r="H457" s="37"/>
      <c r="I457" s="37"/>
    </row>
    <row r="458" spans="1:9" ht="14.25" customHeight="1" x14ac:dyDescent="0.3">
      <c r="A458" s="37"/>
      <c r="B458" s="36" t="s">
        <v>1459</v>
      </c>
      <c r="C458" s="41" t="s">
        <v>1460</v>
      </c>
      <c r="D458" s="37"/>
      <c r="E458" s="37"/>
      <c r="F458" s="37"/>
      <c r="G458" s="37"/>
      <c r="H458" s="37"/>
      <c r="I458" s="37"/>
    </row>
    <row r="459" spans="1:9" ht="14.25" customHeight="1" x14ac:dyDescent="0.3">
      <c r="A459" s="37"/>
      <c r="B459" s="36" t="s">
        <v>1461</v>
      </c>
      <c r="C459" s="41" t="s">
        <v>1462</v>
      </c>
      <c r="D459" s="37"/>
      <c r="E459" s="37"/>
      <c r="F459" s="37"/>
      <c r="G459" s="37"/>
      <c r="H459" s="37"/>
      <c r="I459" s="37"/>
    </row>
    <row r="460" spans="1:9" ht="14.25" customHeight="1" x14ac:dyDescent="0.3">
      <c r="A460" s="37"/>
      <c r="B460" s="36" t="s">
        <v>1463</v>
      </c>
      <c r="C460" s="41" t="s">
        <v>1464</v>
      </c>
      <c r="D460" s="37"/>
      <c r="E460" s="37"/>
      <c r="F460" s="37"/>
      <c r="G460" s="37"/>
      <c r="H460" s="37"/>
      <c r="I460" s="37"/>
    </row>
    <row r="461" spans="1:9" ht="14.25" customHeight="1" x14ac:dyDescent="0.3">
      <c r="A461" s="37"/>
      <c r="B461" s="36" t="s">
        <v>1465</v>
      </c>
      <c r="C461" s="41" t="s">
        <v>1466</v>
      </c>
      <c r="D461" s="37"/>
      <c r="E461" s="37"/>
      <c r="F461" s="37"/>
      <c r="G461" s="37"/>
      <c r="H461" s="37"/>
      <c r="I461" s="37"/>
    </row>
    <row r="462" spans="1:9" ht="14.25" customHeight="1" x14ac:dyDescent="0.3">
      <c r="A462" s="37"/>
      <c r="B462" s="36" t="s">
        <v>1467</v>
      </c>
      <c r="C462" s="41" t="s">
        <v>1468</v>
      </c>
      <c r="D462" s="37"/>
      <c r="E462" s="37"/>
      <c r="F462" s="37"/>
      <c r="G462" s="37"/>
      <c r="H462" s="37"/>
      <c r="I462" s="37"/>
    </row>
    <row r="463" spans="1:9" ht="14.25" customHeight="1" x14ac:dyDescent="0.3">
      <c r="A463" s="37"/>
      <c r="B463" s="36" t="s">
        <v>1469</v>
      </c>
      <c r="C463" s="41" t="s">
        <v>1470</v>
      </c>
      <c r="D463" s="37"/>
      <c r="E463" s="37"/>
      <c r="F463" s="37"/>
      <c r="G463" s="37"/>
      <c r="H463" s="37"/>
      <c r="I463" s="37"/>
    </row>
    <row r="464" spans="1:9" ht="14.25" customHeight="1" x14ac:dyDescent="0.3">
      <c r="A464" s="37"/>
      <c r="B464" s="36" t="s">
        <v>1471</v>
      </c>
      <c r="C464" s="41" t="s">
        <v>1472</v>
      </c>
      <c r="D464" s="37"/>
      <c r="E464" s="37"/>
      <c r="F464" s="37"/>
      <c r="G464" s="37"/>
      <c r="H464" s="37"/>
      <c r="I464" s="37"/>
    </row>
    <row r="465" spans="1:9" ht="14.25" customHeight="1" x14ac:dyDescent="0.3">
      <c r="A465" s="37"/>
      <c r="B465" s="36" t="s">
        <v>1473</v>
      </c>
      <c r="C465" s="41" t="s">
        <v>1474</v>
      </c>
      <c r="D465" s="37"/>
      <c r="E465" s="37"/>
      <c r="F465" s="37"/>
      <c r="G465" s="37"/>
      <c r="H465" s="37"/>
      <c r="I465" s="37"/>
    </row>
    <row r="466" spans="1:9" ht="14.25" customHeight="1" x14ac:dyDescent="0.3">
      <c r="A466" s="37"/>
      <c r="B466" s="36" t="s">
        <v>1475</v>
      </c>
      <c r="C466" s="41" t="s">
        <v>1476</v>
      </c>
      <c r="D466" s="37"/>
      <c r="E466" s="37"/>
      <c r="F466" s="37"/>
      <c r="G466" s="37"/>
      <c r="H466" s="37"/>
      <c r="I466" s="37"/>
    </row>
    <row r="467" spans="1:9" ht="14.25" customHeight="1" x14ac:dyDescent="0.3">
      <c r="A467" s="37"/>
      <c r="B467" s="36" t="s">
        <v>1477</v>
      </c>
      <c r="C467" s="41" t="s">
        <v>1478</v>
      </c>
      <c r="D467" s="37"/>
      <c r="E467" s="37"/>
      <c r="F467" s="37"/>
      <c r="G467" s="37"/>
      <c r="H467" s="37"/>
      <c r="I467" s="37"/>
    </row>
    <row r="468" spans="1:9" ht="14.25" customHeight="1" x14ac:dyDescent="0.3">
      <c r="A468" s="37"/>
      <c r="B468" s="36" t="s">
        <v>1479</v>
      </c>
      <c r="C468" s="41" t="s">
        <v>1480</v>
      </c>
      <c r="D468" s="37"/>
      <c r="E468" s="37"/>
      <c r="F468" s="37"/>
      <c r="G468" s="37"/>
      <c r="H468" s="37"/>
      <c r="I468" s="37"/>
    </row>
    <row r="469" spans="1:9" ht="14.25" customHeight="1" x14ac:dyDescent="0.3">
      <c r="A469" s="37"/>
      <c r="B469" s="36" t="s">
        <v>1481</v>
      </c>
      <c r="C469" s="41" t="s">
        <v>1482</v>
      </c>
      <c r="D469" s="37"/>
      <c r="E469" s="37"/>
      <c r="F469" s="37"/>
      <c r="G469" s="37"/>
      <c r="H469" s="37"/>
      <c r="I469" s="37"/>
    </row>
    <row r="470" spans="1:9" ht="14.25" customHeight="1" x14ac:dyDescent="0.3">
      <c r="A470" s="37"/>
      <c r="B470" s="36" t="s">
        <v>1483</v>
      </c>
      <c r="C470" s="41" t="s">
        <v>1484</v>
      </c>
      <c r="D470" s="37"/>
      <c r="E470" s="37"/>
      <c r="F470" s="37"/>
      <c r="G470" s="37"/>
      <c r="H470" s="37"/>
      <c r="I470" s="37"/>
    </row>
    <row r="471" spans="1:9" ht="14.25" customHeight="1" x14ac:dyDescent="0.3">
      <c r="A471" s="37"/>
      <c r="B471" s="36" t="s">
        <v>1485</v>
      </c>
      <c r="C471" s="41" t="s">
        <v>1486</v>
      </c>
      <c r="D471" s="37"/>
      <c r="E471" s="37"/>
      <c r="F471" s="37"/>
      <c r="G471" s="37"/>
      <c r="H471" s="37"/>
      <c r="I471" s="37"/>
    </row>
    <row r="472" spans="1:9" ht="14.25" customHeight="1" x14ac:dyDescent="0.3">
      <c r="A472" s="37"/>
      <c r="B472" s="36" t="s">
        <v>1487</v>
      </c>
      <c r="C472" s="41" t="s">
        <v>1488</v>
      </c>
      <c r="D472" s="37"/>
      <c r="E472" s="37"/>
      <c r="F472" s="37"/>
      <c r="G472" s="37"/>
      <c r="H472" s="37"/>
      <c r="I472" s="37"/>
    </row>
    <row r="473" spans="1:9" ht="14.25" customHeight="1" x14ac:dyDescent="0.3">
      <c r="A473" s="37"/>
      <c r="B473" s="36" t="s">
        <v>1489</v>
      </c>
      <c r="C473" s="41" t="s">
        <v>1490</v>
      </c>
      <c r="D473" s="37"/>
      <c r="E473" s="37"/>
      <c r="F473" s="37"/>
      <c r="G473" s="37"/>
      <c r="H473" s="37"/>
      <c r="I473" s="37"/>
    </row>
    <row r="474" spans="1:9" ht="14.25" customHeight="1" x14ac:dyDescent="0.3">
      <c r="A474" s="37"/>
      <c r="B474" s="36" t="s">
        <v>1491</v>
      </c>
      <c r="C474" s="41" t="s">
        <v>1492</v>
      </c>
      <c r="D474" s="37"/>
      <c r="E474" s="37"/>
      <c r="F474" s="37"/>
      <c r="G474" s="37"/>
      <c r="H474" s="37"/>
      <c r="I474" s="37"/>
    </row>
    <row r="475" spans="1:9" ht="14.25" customHeight="1" x14ac:dyDescent="0.3">
      <c r="A475" s="37"/>
      <c r="B475" s="36" t="s">
        <v>1493</v>
      </c>
      <c r="C475" s="41" t="s">
        <v>1494</v>
      </c>
      <c r="D475" s="37"/>
      <c r="E475" s="37"/>
      <c r="F475" s="37"/>
      <c r="G475" s="37"/>
      <c r="H475" s="37"/>
      <c r="I475" s="37"/>
    </row>
    <row r="476" spans="1:9" ht="14.25" customHeight="1" x14ac:dyDescent="0.3">
      <c r="A476" s="37"/>
      <c r="B476" s="36" t="s">
        <v>1495</v>
      </c>
      <c r="C476" s="41" t="s">
        <v>1496</v>
      </c>
      <c r="D476" s="37"/>
      <c r="E476" s="37"/>
      <c r="F476" s="37"/>
      <c r="G476" s="37"/>
      <c r="H476" s="37"/>
      <c r="I476" s="37"/>
    </row>
    <row r="477" spans="1:9" ht="14.25" customHeight="1" x14ac:dyDescent="0.3">
      <c r="A477" s="37"/>
      <c r="B477" s="36" t="s">
        <v>1497</v>
      </c>
      <c r="C477" s="41" t="s">
        <v>1498</v>
      </c>
      <c r="D477" s="37"/>
      <c r="E477" s="37"/>
      <c r="F477" s="37"/>
      <c r="G477" s="37"/>
      <c r="H477" s="37"/>
      <c r="I477" s="37"/>
    </row>
    <row r="478" spans="1:9" ht="14.25" customHeight="1" x14ac:dyDescent="0.3">
      <c r="A478" s="37"/>
      <c r="B478" s="36" t="s">
        <v>1499</v>
      </c>
      <c r="C478" s="41" t="s">
        <v>1500</v>
      </c>
      <c r="D478" s="37"/>
      <c r="E478" s="37"/>
      <c r="F478" s="37"/>
      <c r="G478" s="37"/>
      <c r="H478" s="37"/>
      <c r="I478" s="37"/>
    </row>
    <row r="479" spans="1:9" ht="14.25" customHeight="1" x14ac:dyDescent="0.3">
      <c r="A479" s="37"/>
      <c r="B479" s="36" t="s">
        <v>1501</v>
      </c>
      <c r="C479" s="41" t="s">
        <v>1502</v>
      </c>
      <c r="D479" s="37"/>
      <c r="E479" s="37"/>
      <c r="F479" s="37"/>
      <c r="G479" s="37"/>
      <c r="H479" s="37"/>
      <c r="I479" s="37"/>
    </row>
    <row r="480" spans="1:9" ht="14.25" customHeight="1" x14ac:dyDescent="0.3">
      <c r="A480" s="37"/>
      <c r="B480" s="36" t="s">
        <v>1503</v>
      </c>
      <c r="C480" s="41" t="s">
        <v>1504</v>
      </c>
      <c r="D480" s="37"/>
      <c r="E480" s="37"/>
      <c r="F480" s="37"/>
      <c r="G480" s="37"/>
      <c r="H480" s="37"/>
      <c r="I480" s="37"/>
    </row>
    <row r="481" spans="1:9" ht="14.25" customHeight="1" x14ac:dyDescent="0.3">
      <c r="A481" s="37"/>
      <c r="B481" s="36" t="s">
        <v>1505</v>
      </c>
      <c r="C481" s="41" t="s">
        <v>1506</v>
      </c>
      <c r="D481" s="37"/>
      <c r="E481" s="37"/>
      <c r="F481" s="37"/>
      <c r="G481" s="37"/>
      <c r="H481" s="37"/>
      <c r="I481" s="37"/>
    </row>
    <row r="482" spans="1:9" ht="14.25" customHeight="1" x14ac:dyDescent="0.3">
      <c r="A482" s="37"/>
      <c r="B482" s="36" t="s">
        <v>1507</v>
      </c>
      <c r="C482" s="41" t="s">
        <v>1508</v>
      </c>
      <c r="D482" s="37"/>
      <c r="E482" s="37"/>
      <c r="F482" s="37"/>
      <c r="G482" s="37"/>
      <c r="H482" s="37"/>
      <c r="I482" s="37"/>
    </row>
    <row r="483" spans="1:9" ht="14.25" customHeight="1" x14ac:dyDescent="0.3">
      <c r="A483" s="37"/>
      <c r="B483" s="36" t="s">
        <v>1509</v>
      </c>
      <c r="C483" s="41" t="s">
        <v>1510</v>
      </c>
      <c r="D483" s="37"/>
      <c r="E483" s="37"/>
      <c r="F483" s="37"/>
      <c r="G483" s="37"/>
      <c r="H483" s="37"/>
      <c r="I483" s="37"/>
    </row>
    <row r="484" spans="1:9" ht="14.25" customHeight="1" x14ac:dyDescent="0.3">
      <c r="A484" s="37"/>
      <c r="B484" s="36" t="s">
        <v>1511</v>
      </c>
      <c r="C484" s="41" t="s">
        <v>1512</v>
      </c>
      <c r="D484" s="37"/>
      <c r="E484" s="37"/>
      <c r="F484" s="37"/>
      <c r="G484" s="37"/>
      <c r="H484" s="37"/>
      <c r="I484" s="37"/>
    </row>
    <row r="485" spans="1:9" ht="14.25" customHeight="1" x14ac:dyDescent="0.3">
      <c r="A485" s="37"/>
      <c r="B485" s="36" t="s">
        <v>1513</v>
      </c>
      <c r="C485" s="41" t="s">
        <v>1514</v>
      </c>
      <c r="D485" s="37"/>
      <c r="E485" s="37"/>
      <c r="F485" s="37"/>
      <c r="G485" s="37"/>
      <c r="H485" s="37"/>
      <c r="I485" s="37"/>
    </row>
    <row r="486" spans="1:9" ht="14.25" customHeight="1" x14ac:dyDescent="0.3">
      <c r="A486" s="37"/>
      <c r="B486" s="36" t="s">
        <v>1515</v>
      </c>
      <c r="C486" s="41" t="s">
        <v>1516</v>
      </c>
      <c r="D486" s="37"/>
      <c r="E486" s="37"/>
      <c r="F486" s="37"/>
      <c r="G486" s="37"/>
      <c r="H486" s="37"/>
      <c r="I486" s="37"/>
    </row>
    <row r="487" spans="1:9" ht="14.25" customHeight="1" x14ac:dyDescent="0.3">
      <c r="A487" s="37"/>
      <c r="B487" s="36" t="s">
        <v>1517</v>
      </c>
      <c r="C487" s="41" t="s">
        <v>1518</v>
      </c>
      <c r="D487" s="37"/>
      <c r="E487" s="37"/>
      <c r="F487" s="37"/>
      <c r="G487" s="37"/>
      <c r="H487" s="37"/>
      <c r="I487" s="37"/>
    </row>
    <row r="488" spans="1:9" ht="14.25" customHeight="1" x14ac:dyDescent="0.3">
      <c r="A488" s="37"/>
      <c r="B488" s="36" t="s">
        <v>1519</v>
      </c>
      <c r="C488" s="41" t="s">
        <v>1520</v>
      </c>
      <c r="D488" s="37"/>
      <c r="E488" s="37"/>
      <c r="F488" s="37"/>
      <c r="G488" s="37"/>
      <c r="H488" s="37"/>
      <c r="I488" s="37"/>
    </row>
    <row r="489" spans="1:9" ht="14.25" customHeight="1" x14ac:dyDescent="0.3">
      <c r="A489" s="37"/>
      <c r="B489" s="36" t="s">
        <v>1521</v>
      </c>
      <c r="C489" s="41" t="s">
        <v>1522</v>
      </c>
      <c r="D489" s="37"/>
      <c r="E489" s="37"/>
      <c r="F489" s="37"/>
      <c r="G489" s="37"/>
      <c r="H489" s="37"/>
      <c r="I489" s="37"/>
    </row>
    <row r="490" spans="1:9" ht="14.25" customHeight="1" x14ac:dyDescent="0.3">
      <c r="A490" s="37"/>
      <c r="B490" s="36" t="s">
        <v>1523</v>
      </c>
      <c r="C490" s="41" t="s">
        <v>1524</v>
      </c>
      <c r="D490" s="37"/>
      <c r="E490" s="37"/>
      <c r="F490" s="37"/>
      <c r="G490" s="37"/>
      <c r="H490" s="37"/>
      <c r="I490" s="37"/>
    </row>
    <row r="491" spans="1:9" ht="14.25" customHeight="1" x14ac:dyDescent="0.3">
      <c r="A491" s="37"/>
      <c r="B491" s="36" t="s">
        <v>1525</v>
      </c>
      <c r="C491" s="41" t="s">
        <v>1526</v>
      </c>
      <c r="D491" s="37"/>
      <c r="E491" s="37"/>
      <c r="F491" s="37"/>
      <c r="G491" s="37"/>
      <c r="H491" s="37"/>
      <c r="I491" s="37"/>
    </row>
    <row r="492" spans="1:9" ht="14.25" customHeight="1" x14ac:dyDescent="0.3">
      <c r="A492" s="37"/>
      <c r="B492" s="36" t="s">
        <v>1527</v>
      </c>
      <c r="C492" s="41" t="s">
        <v>1528</v>
      </c>
      <c r="D492" s="37"/>
      <c r="E492" s="37"/>
      <c r="F492" s="37"/>
      <c r="G492" s="37"/>
      <c r="H492" s="37"/>
      <c r="I492" s="37"/>
    </row>
    <row r="493" spans="1:9" ht="14.25" customHeight="1" x14ac:dyDescent="0.3">
      <c r="A493" s="37"/>
      <c r="B493" s="36" t="s">
        <v>1529</v>
      </c>
      <c r="C493" s="41" t="s">
        <v>1530</v>
      </c>
      <c r="D493" s="37"/>
      <c r="E493" s="37"/>
      <c r="F493" s="37"/>
      <c r="G493" s="37"/>
      <c r="H493" s="37"/>
      <c r="I493" s="37"/>
    </row>
    <row r="494" spans="1:9" ht="14.25" customHeight="1" x14ac:dyDescent="0.3">
      <c r="A494" s="37"/>
      <c r="B494" s="36" t="s">
        <v>1531</v>
      </c>
      <c r="C494" s="41" t="s">
        <v>1532</v>
      </c>
      <c r="D494" s="37"/>
      <c r="E494" s="37"/>
      <c r="F494" s="37"/>
      <c r="G494" s="37"/>
      <c r="H494" s="37"/>
      <c r="I494" s="37"/>
    </row>
    <row r="495" spans="1:9" ht="14.25" customHeight="1" x14ac:dyDescent="0.3">
      <c r="A495" s="37"/>
      <c r="B495" s="36" t="s">
        <v>1533</v>
      </c>
      <c r="C495" s="41" t="s">
        <v>1534</v>
      </c>
      <c r="D495" s="37"/>
      <c r="E495" s="37"/>
      <c r="F495" s="37"/>
      <c r="G495" s="37"/>
      <c r="H495" s="37"/>
      <c r="I495" s="37"/>
    </row>
    <row r="496" spans="1:9" ht="14.25" customHeight="1" x14ac:dyDescent="0.3">
      <c r="A496" s="37"/>
      <c r="B496" s="36" t="s">
        <v>1535</v>
      </c>
      <c r="C496" s="41" t="s">
        <v>1536</v>
      </c>
      <c r="D496" s="37"/>
      <c r="E496" s="37"/>
      <c r="F496" s="37"/>
      <c r="G496" s="37"/>
      <c r="H496" s="37"/>
      <c r="I496" s="37"/>
    </row>
    <row r="497" spans="1:9" ht="14.25" customHeight="1" x14ac:dyDescent="0.3">
      <c r="A497" s="37"/>
      <c r="B497" s="36" t="s">
        <v>1537</v>
      </c>
      <c r="C497" s="41" t="s">
        <v>1538</v>
      </c>
      <c r="D497" s="37"/>
      <c r="E497" s="37"/>
      <c r="F497" s="37"/>
      <c r="G497" s="37"/>
      <c r="H497" s="37"/>
      <c r="I497" s="37"/>
    </row>
    <row r="498" spans="1:9" ht="14.25" customHeight="1" x14ac:dyDescent="0.3">
      <c r="A498" s="37"/>
      <c r="B498" s="36" t="s">
        <v>1539</v>
      </c>
      <c r="C498" s="41" t="s">
        <v>1540</v>
      </c>
      <c r="D498" s="37"/>
      <c r="E498" s="37"/>
      <c r="F498" s="37"/>
      <c r="G498" s="37"/>
      <c r="H498" s="37"/>
      <c r="I498" s="37"/>
    </row>
    <row r="499" spans="1:9" ht="14.25" customHeight="1" x14ac:dyDescent="0.3">
      <c r="A499" s="37"/>
      <c r="B499" s="36" t="s">
        <v>1541</v>
      </c>
      <c r="C499" s="41" t="s">
        <v>1542</v>
      </c>
      <c r="D499" s="37"/>
      <c r="E499" s="37"/>
      <c r="F499" s="37"/>
      <c r="G499" s="37"/>
      <c r="H499" s="37"/>
      <c r="I499" s="37"/>
    </row>
    <row r="500" spans="1:9" ht="14.25" customHeight="1" x14ac:dyDescent="0.3">
      <c r="A500" s="37"/>
      <c r="B500" s="36" t="s">
        <v>1543</v>
      </c>
      <c r="C500" s="41" t="s">
        <v>1544</v>
      </c>
      <c r="D500" s="37"/>
      <c r="E500" s="37"/>
      <c r="F500" s="37"/>
      <c r="G500" s="37"/>
      <c r="H500" s="37"/>
      <c r="I500" s="37"/>
    </row>
    <row r="501" spans="1:9" ht="14.25" customHeight="1" x14ac:dyDescent="0.3">
      <c r="A501" s="37"/>
      <c r="B501" s="36" t="s">
        <v>1545</v>
      </c>
      <c r="C501" s="41" t="s">
        <v>1546</v>
      </c>
      <c r="D501" s="37"/>
      <c r="E501" s="37"/>
      <c r="F501" s="37"/>
      <c r="G501" s="37"/>
      <c r="H501" s="37"/>
      <c r="I501" s="37"/>
    </row>
    <row r="502" spans="1:9" ht="14.25" customHeight="1" x14ac:dyDescent="0.3">
      <c r="A502" s="37"/>
      <c r="B502" s="36" t="s">
        <v>1547</v>
      </c>
      <c r="C502" s="41" t="s">
        <v>1548</v>
      </c>
      <c r="D502" s="37"/>
      <c r="E502" s="37"/>
      <c r="F502" s="37"/>
      <c r="G502" s="37"/>
      <c r="H502" s="37"/>
      <c r="I502" s="37"/>
    </row>
    <row r="503" spans="1:9" ht="14.25" customHeight="1" x14ac:dyDescent="0.3">
      <c r="A503" s="37"/>
      <c r="B503" s="36" t="s">
        <v>1549</v>
      </c>
      <c r="C503" s="41" t="s">
        <v>1550</v>
      </c>
      <c r="D503" s="37"/>
      <c r="E503" s="37"/>
      <c r="F503" s="37"/>
      <c r="G503" s="37"/>
      <c r="H503" s="37"/>
      <c r="I503" s="37"/>
    </row>
    <row r="504" spans="1:9" ht="14.25" customHeight="1" x14ac:dyDescent="0.3">
      <c r="A504" s="37"/>
      <c r="B504" s="36" t="s">
        <v>1551</v>
      </c>
      <c r="C504" s="41" t="s">
        <v>1552</v>
      </c>
      <c r="D504" s="37"/>
      <c r="E504" s="37"/>
      <c r="F504" s="37"/>
      <c r="G504" s="37"/>
      <c r="H504" s="37"/>
      <c r="I504" s="37"/>
    </row>
    <row r="505" spans="1:9" ht="14.25" customHeight="1" x14ac:dyDescent="0.3">
      <c r="A505" s="37"/>
      <c r="B505" s="36" t="s">
        <v>1553</v>
      </c>
      <c r="C505" s="41" t="s">
        <v>1554</v>
      </c>
      <c r="D505" s="37"/>
      <c r="E505" s="37"/>
      <c r="F505" s="37"/>
      <c r="G505" s="37"/>
      <c r="H505" s="37"/>
      <c r="I505" s="37"/>
    </row>
    <row r="506" spans="1:9" ht="14.25" customHeight="1" x14ac:dyDescent="0.3">
      <c r="A506" s="37"/>
      <c r="B506" s="36" t="s">
        <v>1555</v>
      </c>
      <c r="C506" s="41" t="s">
        <v>1556</v>
      </c>
      <c r="D506" s="37"/>
      <c r="E506" s="37"/>
      <c r="F506" s="37"/>
      <c r="G506" s="37"/>
      <c r="H506" s="37"/>
      <c r="I506" s="37"/>
    </row>
    <row r="507" spans="1:9" ht="14.25" customHeight="1" x14ac:dyDescent="0.3">
      <c r="A507" s="37"/>
      <c r="B507" s="44" t="s">
        <v>1557</v>
      </c>
      <c r="C507" s="41" t="s">
        <v>1558</v>
      </c>
      <c r="D507" s="37"/>
      <c r="E507" s="37"/>
      <c r="F507" s="37"/>
      <c r="G507" s="37"/>
      <c r="H507" s="37"/>
      <c r="I507" s="37"/>
    </row>
    <row r="508" spans="1:9" ht="14.25" customHeight="1" x14ac:dyDescent="0.3">
      <c r="A508" s="37"/>
      <c r="B508" s="36" t="s">
        <v>1559</v>
      </c>
      <c r="C508" s="41" t="s">
        <v>1560</v>
      </c>
      <c r="D508" s="37"/>
      <c r="E508" s="37"/>
      <c r="F508" s="37"/>
      <c r="G508" s="37"/>
      <c r="H508" s="37"/>
      <c r="I508" s="37"/>
    </row>
    <row r="509" spans="1:9" ht="14.25" customHeight="1" x14ac:dyDescent="0.3">
      <c r="A509" s="37"/>
      <c r="B509" s="36" t="s">
        <v>1561</v>
      </c>
      <c r="C509" s="41" t="s">
        <v>1562</v>
      </c>
      <c r="D509" s="37"/>
      <c r="E509" s="37"/>
      <c r="F509" s="37"/>
      <c r="G509" s="37"/>
      <c r="H509" s="37"/>
      <c r="I509" s="37"/>
    </row>
    <row r="510" spans="1:9" ht="14.25" customHeight="1" x14ac:dyDescent="0.3">
      <c r="A510" s="37"/>
      <c r="B510" s="36" t="s">
        <v>1563</v>
      </c>
      <c r="C510" s="41" t="s">
        <v>1564</v>
      </c>
      <c r="D510" s="37"/>
      <c r="E510" s="37"/>
      <c r="F510" s="37"/>
      <c r="G510" s="37"/>
      <c r="H510" s="37"/>
      <c r="I510" s="37"/>
    </row>
    <row r="511" spans="1:9" ht="14.25" customHeight="1" x14ac:dyDescent="0.3">
      <c r="A511" s="37"/>
      <c r="B511" s="36" t="s">
        <v>1565</v>
      </c>
      <c r="C511" s="41" t="s">
        <v>1566</v>
      </c>
      <c r="D511" s="37"/>
      <c r="E511" s="37"/>
      <c r="F511" s="37"/>
      <c r="G511" s="37"/>
      <c r="H511" s="37"/>
      <c r="I511" s="37"/>
    </row>
    <row r="512" spans="1:9" ht="14.25" customHeight="1" x14ac:dyDescent="0.3">
      <c r="A512" s="37"/>
      <c r="B512" s="36" t="s">
        <v>1567</v>
      </c>
      <c r="C512" s="41" t="s">
        <v>1568</v>
      </c>
      <c r="D512" s="37"/>
      <c r="E512" s="37"/>
      <c r="F512" s="37"/>
      <c r="G512" s="37"/>
      <c r="H512" s="37"/>
      <c r="I512" s="37"/>
    </row>
    <row r="513" spans="1:9" ht="14.25" customHeight="1" x14ac:dyDescent="0.3">
      <c r="A513" s="37"/>
      <c r="B513" s="36" t="s">
        <v>1569</v>
      </c>
      <c r="C513" s="41" t="s">
        <v>1570</v>
      </c>
      <c r="D513" s="37"/>
      <c r="E513" s="37"/>
      <c r="F513" s="37"/>
      <c r="G513" s="37"/>
      <c r="H513" s="37"/>
      <c r="I513" s="37"/>
    </row>
    <row r="514" spans="1:9" ht="14.25" customHeight="1" x14ac:dyDescent="0.3">
      <c r="A514" s="37"/>
      <c r="B514" s="36" t="s">
        <v>1571</v>
      </c>
      <c r="C514" s="41" t="s">
        <v>1572</v>
      </c>
      <c r="D514" s="37"/>
      <c r="E514" s="37"/>
      <c r="F514" s="37"/>
      <c r="G514" s="37"/>
      <c r="H514" s="37"/>
      <c r="I514" s="37"/>
    </row>
    <row r="515" spans="1:9" ht="14.25" customHeight="1" x14ac:dyDescent="0.3">
      <c r="A515" s="37"/>
      <c r="B515" s="36" t="s">
        <v>1573</v>
      </c>
      <c r="C515" s="41" t="s">
        <v>1574</v>
      </c>
      <c r="D515" s="37"/>
      <c r="E515" s="37"/>
      <c r="F515" s="37"/>
      <c r="G515" s="37"/>
      <c r="H515" s="37"/>
      <c r="I515" s="37"/>
    </row>
    <row r="516" spans="1:9" ht="14.25" customHeight="1" x14ac:dyDescent="0.3">
      <c r="A516" s="37"/>
      <c r="B516" s="36" t="s">
        <v>1575</v>
      </c>
      <c r="C516" s="41" t="s">
        <v>1576</v>
      </c>
      <c r="D516" s="37"/>
      <c r="E516" s="37"/>
      <c r="F516" s="37"/>
      <c r="G516" s="37"/>
      <c r="H516" s="37"/>
      <c r="I516" s="37"/>
    </row>
    <row r="517" spans="1:9" ht="14.25" customHeight="1" x14ac:dyDescent="0.3">
      <c r="A517" s="37"/>
      <c r="B517" s="36" t="s">
        <v>1577</v>
      </c>
      <c r="C517" s="41" t="s">
        <v>1578</v>
      </c>
      <c r="D517" s="37"/>
      <c r="E517" s="37"/>
      <c r="F517" s="37"/>
      <c r="G517" s="37"/>
      <c r="H517" s="37"/>
      <c r="I517" s="37"/>
    </row>
    <row r="518" spans="1:9" ht="14.25" customHeight="1" x14ac:dyDescent="0.3">
      <c r="A518" s="37"/>
      <c r="B518" s="36" t="s">
        <v>1579</v>
      </c>
      <c r="C518" s="41" t="s">
        <v>1580</v>
      </c>
      <c r="D518" s="37"/>
      <c r="E518" s="37"/>
      <c r="F518" s="37"/>
      <c r="G518" s="37"/>
      <c r="H518" s="37"/>
      <c r="I518" s="37"/>
    </row>
    <row r="519" spans="1:9" ht="14.25" customHeight="1" x14ac:dyDescent="0.3">
      <c r="A519" s="37"/>
      <c r="B519" s="36" t="s">
        <v>1581</v>
      </c>
      <c r="C519" s="41" t="s">
        <v>1582</v>
      </c>
      <c r="D519" s="37"/>
      <c r="E519" s="37"/>
      <c r="F519" s="37"/>
      <c r="G519" s="37"/>
      <c r="H519" s="37"/>
      <c r="I519" s="37"/>
    </row>
    <row r="520" spans="1:9" ht="14.25" customHeight="1" x14ac:dyDescent="0.3">
      <c r="A520" s="37"/>
      <c r="B520" s="36" t="s">
        <v>1583</v>
      </c>
      <c r="C520" s="43" t="s">
        <v>1584</v>
      </c>
      <c r="D520" s="37"/>
      <c r="E520" s="37"/>
      <c r="F520" s="37"/>
      <c r="G520" s="37"/>
      <c r="H520" s="37"/>
      <c r="I520" s="37"/>
    </row>
    <row r="521" spans="1:9" ht="14.25" customHeight="1" x14ac:dyDescent="0.3">
      <c r="A521" s="37"/>
      <c r="B521" s="36" t="s">
        <v>1585</v>
      </c>
      <c r="C521" s="41" t="s">
        <v>1586</v>
      </c>
      <c r="D521" s="37"/>
      <c r="E521" s="37"/>
      <c r="F521" s="37"/>
      <c r="G521" s="37"/>
      <c r="H521" s="37"/>
      <c r="I521" s="37"/>
    </row>
    <row r="522" spans="1:9" ht="14.25" customHeight="1" x14ac:dyDescent="0.3">
      <c r="A522" s="37"/>
      <c r="B522" s="36" t="s">
        <v>1587</v>
      </c>
      <c r="C522" s="41" t="s">
        <v>1588</v>
      </c>
      <c r="D522" s="37"/>
      <c r="E522" s="37"/>
      <c r="F522" s="37"/>
      <c r="G522" s="37"/>
      <c r="H522" s="37"/>
      <c r="I522" s="37"/>
    </row>
    <row r="523" spans="1:9" ht="14.25" customHeight="1" x14ac:dyDescent="0.3">
      <c r="A523" s="37"/>
      <c r="B523" s="36" t="s">
        <v>1589</v>
      </c>
      <c r="C523" s="41" t="s">
        <v>1590</v>
      </c>
      <c r="D523" s="37"/>
      <c r="E523" s="37"/>
      <c r="F523" s="37"/>
      <c r="G523" s="37"/>
      <c r="H523" s="37"/>
      <c r="I523" s="37"/>
    </row>
    <row r="524" spans="1:9" ht="14.25" customHeight="1" x14ac:dyDescent="0.3">
      <c r="A524" s="37"/>
      <c r="B524" s="36" t="s">
        <v>1591</v>
      </c>
      <c r="C524" s="41" t="s">
        <v>726</v>
      </c>
      <c r="D524" s="37"/>
      <c r="E524" s="37"/>
      <c r="F524" s="37"/>
      <c r="G524" s="37"/>
      <c r="H524" s="37"/>
      <c r="I524" s="37"/>
    </row>
    <row r="525" spans="1:9" ht="14.25" customHeight="1" x14ac:dyDescent="0.3">
      <c r="A525" s="37"/>
      <c r="B525" s="36" t="s">
        <v>1592</v>
      </c>
      <c r="C525" s="41" t="s">
        <v>1593</v>
      </c>
      <c r="D525" s="37"/>
      <c r="E525" s="37"/>
      <c r="F525" s="37"/>
      <c r="G525" s="37"/>
      <c r="H525" s="37"/>
      <c r="I525" s="37"/>
    </row>
    <row r="526" spans="1:9" ht="14.25" customHeight="1" x14ac:dyDescent="0.3">
      <c r="A526" s="37"/>
      <c r="B526" s="36" t="s">
        <v>1594</v>
      </c>
      <c r="C526" s="41" t="s">
        <v>1595</v>
      </c>
      <c r="D526" s="37"/>
      <c r="E526" s="37"/>
      <c r="F526" s="37"/>
      <c r="G526" s="37"/>
      <c r="H526" s="37"/>
      <c r="I526" s="37"/>
    </row>
    <row r="527" spans="1:9" ht="14.25" customHeight="1" x14ac:dyDescent="0.3">
      <c r="A527" s="37"/>
      <c r="B527" s="36" t="s">
        <v>1596</v>
      </c>
      <c r="C527" s="41" t="s">
        <v>1597</v>
      </c>
      <c r="D527" s="37"/>
      <c r="E527" s="37"/>
      <c r="F527" s="37"/>
      <c r="G527" s="37"/>
      <c r="H527" s="37"/>
      <c r="I527" s="37"/>
    </row>
    <row r="528" spans="1:9" ht="14.25" customHeight="1" x14ac:dyDescent="0.3">
      <c r="A528" s="37"/>
      <c r="B528" s="36" t="s">
        <v>1598</v>
      </c>
      <c r="C528" s="41" t="s">
        <v>1599</v>
      </c>
      <c r="D528" s="37"/>
      <c r="E528" s="37"/>
      <c r="F528" s="37"/>
      <c r="G528" s="37"/>
      <c r="H528" s="37"/>
      <c r="I528" s="37"/>
    </row>
    <row r="529" spans="1:9" ht="14.25" customHeight="1" x14ac:dyDescent="0.3">
      <c r="A529" s="37"/>
      <c r="B529" s="36" t="s">
        <v>1600</v>
      </c>
      <c r="C529" s="41" t="s">
        <v>1601</v>
      </c>
      <c r="D529" s="37"/>
      <c r="E529" s="37"/>
      <c r="F529" s="37"/>
      <c r="G529" s="37"/>
      <c r="H529" s="37"/>
      <c r="I529" s="37"/>
    </row>
    <row r="530" spans="1:9" ht="14.25" customHeight="1" x14ac:dyDescent="0.3">
      <c r="A530" s="37"/>
      <c r="B530" s="36" t="s">
        <v>1602</v>
      </c>
      <c r="C530" s="41" t="s">
        <v>1603</v>
      </c>
      <c r="D530" s="37"/>
      <c r="E530" s="37"/>
      <c r="F530" s="37"/>
      <c r="G530" s="37"/>
      <c r="H530" s="37"/>
      <c r="I530" s="37"/>
    </row>
    <row r="531" spans="1:9" ht="14.25" customHeight="1" x14ac:dyDescent="0.3">
      <c r="A531" s="37"/>
      <c r="B531" s="36" t="s">
        <v>1604</v>
      </c>
      <c r="C531" s="41" t="s">
        <v>1605</v>
      </c>
      <c r="D531" s="37"/>
      <c r="E531" s="37"/>
      <c r="F531" s="37"/>
      <c r="G531" s="37"/>
      <c r="H531" s="37"/>
      <c r="I531" s="37"/>
    </row>
    <row r="532" spans="1:9" ht="14.25" customHeight="1" x14ac:dyDescent="0.3">
      <c r="A532" s="37"/>
      <c r="B532" s="36" t="s">
        <v>1606</v>
      </c>
      <c r="C532" s="41" t="s">
        <v>1607</v>
      </c>
      <c r="D532" s="37"/>
      <c r="E532" s="37"/>
      <c r="F532" s="37"/>
      <c r="G532" s="37"/>
      <c r="H532" s="37"/>
      <c r="I532" s="37"/>
    </row>
    <row r="533" spans="1:9" ht="14.25" customHeight="1" x14ac:dyDescent="0.3">
      <c r="A533" s="37"/>
      <c r="B533" s="36" t="s">
        <v>1608</v>
      </c>
      <c r="C533" s="41" t="s">
        <v>1609</v>
      </c>
      <c r="D533" s="37"/>
      <c r="E533" s="37"/>
      <c r="F533" s="37"/>
      <c r="G533" s="37"/>
      <c r="H533" s="37"/>
      <c r="I533" s="37"/>
    </row>
    <row r="534" spans="1:9" ht="14.25" customHeight="1" x14ac:dyDescent="0.3">
      <c r="A534" s="37"/>
      <c r="B534" s="36" t="s">
        <v>1610</v>
      </c>
      <c r="C534" s="41" t="s">
        <v>1611</v>
      </c>
      <c r="D534" s="37"/>
      <c r="E534" s="37"/>
      <c r="F534" s="37"/>
      <c r="G534" s="37"/>
      <c r="H534" s="37"/>
      <c r="I534" s="37"/>
    </row>
    <row r="535" spans="1:9" ht="14.25" customHeight="1" x14ac:dyDescent="0.3">
      <c r="A535" s="37"/>
      <c r="B535" s="37"/>
      <c r="C535" s="45"/>
      <c r="D535" s="37"/>
      <c r="E535" s="37"/>
      <c r="F535" s="37"/>
      <c r="G535" s="37"/>
      <c r="H535" s="37"/>
      <c r="I535" s="37"/>
    </row>
    <row r="536" spans="1:9" ht="14.25" customHeight="1" x14ac:dyDescent="0.3">
      <c r="A536" s="37"/>
      <c r="B536" s="37"/>
      <c r="C536" s="37"/>
      <c r="D536" s="37"/>
      <c r="E536" s="37"/>
      <c r="F536" s="37"/>
      <c r="G536" s="37"/>
      <c r="H536" s="37"/>
      <c r="I536" s="37"/>
    </row>
    <row r="537" spans="1:9" ht="14.25" customHeight="1" x14ac:dyDescent="0.3">
      <c r="A537" s="35" t="s">
        <v>1612</v>
      </c>
      <c r="B537" s="35"/>
      <c r="C537" s="37"/>
      <c r="D537" s="37"/>
      <c r="E537" s="37"/>
      <c r="F537" s="37"/>
      <c r="G537" s="37"/>
      <c r="H537" s="37"/>
      <c r="I537" s="37"/>
    </row>
    <row r="538" spans="1:9" ht="14.25" customHeight="1" x14ac:dyDescent="0.3">
      <c r="A538" s="36"/>
      <c r="B538" s="36" t="s">
        <v>115</v>
      </c>
      <c r="C538" s="37"/>
      <c r="D538" s="37"/>
      <c r="E538" s="37"/>
      <c r="F538" s="37"/>
      <c r="G538" s="37"/>
      <c r="H538" s="37"/>
      <c r="I538" s="37"/>
    </row>
    <row r="539" spans="1:9" ht="14.25" customHeight="1" x14ac:dyDescent="0.3">
      <c r="A539" s="36"/>
      <c r="B539" s="36" t="s">
        <v>783</v>
      </c>
      <c r="C539" s="37"/>
      <c r="D539" s="37"/>
      <c r="E539" s="37"/>
      <c r="F539" s="37"/>
      <c r="G539" s="37"/>
      <c r="H539" s="37"/>
      <c r="I539" s="37"/>
    </row>
    <row r="540" spans="1:9" ht="14.25" customHeight="1" x14ac:dyDescent="0.3">
      <c r="A540" s="36"/>
      <c r="B540" s="36" t="s">
        <v>777</v>
      </c>
      <c r="C540" s="37"/>
      <c r="D540" s="37"/>
      <c r="E540" s="37"/>
      <c r="F540" s="37"/>
      <c r="G540" s="37"/>
      <c r="H540" s="37"/>
      <c r="I540" s="37"/>
    </row>
    <row r="541" spans="1:9" ht="14.25" customHeight="1" x14ac:dyDescent="0.3">
      <c r="A541" s="36"/>
      <c r="B541" s="36" t="s">
        <v>1613</v>
      </c>
      <c r="C541" s="37"/>
      <c r="D541" s="37"/>
      <c r="E541" s="37"/>
      <c r="F541" s="37"/>
      <c r="G541" s="37"/>
      <c r="H541" s="37"/>
      <c r="I541" s="37"/>
    </row>
    <row r="542" spans="1:9" ht="14.25" customHeight="1" x14ac:dyDescent="0.3">
      <c r="A542" s="36"/>
      <c r="B542" s="36" t="s">
        <v>683</v>
      </c>
      <c r="C542" s="37"/>
      <c r="D542" s="37"/>
      <c r="E542" s="37"/>
      <c r="F542" s="37"/>
      <c r="G542" s="37"/>
      <c r="H542" s="37"/>
      <c r="I542" s="37"/>
    </row>
    <row r="543" spans="1:9" ht="14.25" customHeight="1" x14ac:dyDescent="0.3">
      <c r="A543" s="36"/>
      <c r="B543" s="36" t="s">
        <v>1614</v>
      </c>
      <c r="C543" s="37"/>
      <c r="D543" s="37"/>
      <c r="E543" s="37"/>
      <c r="F543" s="37"/>
      <c r="G543" s="37"/>
      <c r="H543" s="37"/>
      <c r="I543" s="37"/>
    </row>
    <row r="544" spans="1:9" ht="14.25" customHeight="1" x14ac:dyDescent="0.3">
      <c r="A544" s="36"/>
      <c r="B544" s="36" t="s">
        <v>1615</v>
      </c>
      <c r="C544" s="37"/>
      <c r="D544" s="37"/>
      <c r="E544" s="37"/>
      <c r="F544" s="37"/>
      <c r="G544" s="37"/>
      <c r="H544" s="37"/>
      <c r="I544" s="37"/>
    </row>
    <row r="545" spans="1:9" ht="14.25" customHeight="1" x14ac:dyDescent="0.3">
      <c r="A545" s="36"/>
      <c r="B545" s="36" t="s">
        <v>533</v>
      </c>
      <c r="C545" s="37"/>
      <c r="D545" s="37"/>
      <c r="E545" s="37"/>
      <c r="F545" s="37"/>
      <c r="G545" s="37"/>
      <c r="H545" s="37"/>
      <c r="I545" s="37"/>
    </row>
    <row r="546" spans="1:9" ht="14.25" customHeight="1" x14ac:dyDescent="0.3">
      <c r="A546" s="36"/>
      <c r="B546" s="36" t="s">
        <v>508</v>
      </c>
      <c r="C546" s="37"/>
      <c r="D546" s="37"/>
      <c r="E546" s="37"/>
      <c r="F546" s="37"/>
      <c r="G546" s="37"/>
      <c r="H546" s="37"/>
      <c r="I546" s="37"/>
    </row>
    <row r="547" spans="1:9" ht="14.25" customHeight="1" x14ac:dyDescent="0.3">
      <c r="A547" s="36"/>
      <c r="B547" s="36" t="s">
        <v>1616</v>
      </c>
      <c r="C547" s="37"/>
      <c r="D547" s="37"/>
      <c r="E547" s="37"/>
      <c r="F547" s="37"/>
      <c r="G547" s="37"/>
      <c r="H547" s="37"/>
      <c r="I547" s="37"/>
    </row>
    <row r="548" spans="1:9" ht="14.25" customHeight="1" x14ac:dyDescent="0.3">
      <c r="A548" s="36"/>
      <c r="B548" s="36" t="s">
        <v>1617</v>
      </c>
      <c r="C548" s="37"/>
      <c r="D548" s="37"/>
      <c r="E548" s="37"/>
      <c r="F548" s="37"/>
      <c r="G548" s="37"/>
      <c r="H548" s="37"/>
      <c r="I548" s="37"/>
    </row>
    <row r="549" spans="1:9" ht="14.25" customHeight="1" x14ac:dyDescent="0.3">
      <c r="A549" s="36"/>
      <c r="B549" s="36" t="s">
        <v>1618</v>
      </c>
      <c r="C549" s="37"/>
      <c r="D549" s="37"/>
      <c r="E549" s="37"/>
      <c r="F549" s="37"/>
      <c r="G549" s="37"/>
      <c r="H549" s="37"/>
      <c r="I549" s="37"/>
    </row>
    <row r="550" spans="1:9" ht="14.25" customHeight="1" x14ac:dyDescent="0.3">
      <c r="A550" s="36"/>
      <c r="B550" s="36" t="s">
        <v>1619</v>
      </c>
      <c r="C550" s="37"/>
      <c r="D550" s="37"/>
      <c r="E550" s="37"/>
      <c r="F550" s="37"/>
      <c r="G550" s="37"/>
      <c r="H550" s="37"/>
      <c r="I550" s="37"/>
    </row>
    <row r="551" spans="1:9" ht="14.25" customHeight="1" x14ac:dyDescent="0.3">
      <c r="A551" s="36"/>
      <c r="B551" s="36" t="s">
        <v>1620</v>
      </c>
      <c r="C551" s="37"/>
      <c r="D551" s="37"/>
      <c r="E551" s="37"/>
      <c r="F551" s="37"/>
      <c r="G551" s="37"/>
      <c r="H551" s="37"/>
      <c r="I551" s="37"/>
    </row>
    <row r="552" spans="1:9" ht="14.25" customHeight="1" x14ac:dyDescent="0.3">
      <c r="A552" s="36"/>
      <c r="B552" s="36" t="s">
        <v>1621</v>
      </c>
      <c r="C552" s="37"/>
      <c r="D552" s="37"/>
      <c r="E552" s="37"/>
      <c r="F552" s="37"/>
      <c r="G552" s="37"/>
      <c r="H552" s="37"/>
      <c r="I552" s="37"/>
    </row>
    <row r="553" spans="1:9" ht="14.25" customHeight="1" x14ac:dyDescent="0.3">
      <c r="A553" s="36"/>
      <c r="B553" s="36" t="s">
        <v>1622</v>
      </c>
      <c r="C553" s="37"/>
      <c r="D553" s="37"/>
      <c r="E553" s="37"/>
      <c r="F553" s="37"/>
      <c r="G553" s="37"/>
      <c r="H553" s="37"/>
      <c r="I553" s="37"/>
    </row>
    <row r="554" spans="1:9" ht="14.25" customHeight="1" x14ac:dyDescent="0.3">
      <c r="A554" s="36"/>
      <c r="B554" s="36" t="s">
        <v>1623</v>
      </c>
      <c r="C554" s="37"/>
      <c r="D554" s="37"/>
      <c r="E554" s="37"/>
      <c r="F554" s="37"/>
      <c r="G554" s="37"/>
      <c r="H554" s="37"/>
      <c r="I554" s="37"/>
    </row>
    <row r="555" spans="1:9" ht="14.25" customHeight="1" x14ac:dyDescent="0.3">
      <c r="A555" s="36"/>
      <c r="B555" s="36" t="s">
        <v>1624</v>
      </c>
      <c r="C555" s="37"/>
      <c r="D555" s="37"/>
      <c r="E555" s="37"/>
      <c r="F555" s="37"/>
      <c r="G555" s="37"/>
      <c r="H555" s="37"/>
      <c r="I555" s="37"/>
    </row>
    <row r="556" spans="1:9" ht="14.25" customHeight="1" x14ac:dyDescent="0.3">
      <c r="A556" s="36"/>
      <c r="B556" s="36" t="s">
        <v>699</v>
      </c>
      <c r="C556" s="37"/>
      <c r="D556" s="37"/>
      <c r="E556" s="37"/>
      <c r="F556" s="37"/>
      <c r="G556" s="37"/>
      <c r="H556" s="37"/>
      <c r="I556" s="37"/>
    </row>
    <row r="557" spans="1:9" ht="14.25" customHeight="1" x14ac:dyDescent="0.3">
      <c r="A557" s="36"/>
      <c r="B557" s="36" t="s">
        <v>812</v>
      </c>
      <c r="C557" s="37"/>
      <c r="D557" s="37"/>
      <c r="E557" s="37"/>
      <c r="F557" s="37"/>
      <c r="G557" s="37"/>
      <c r="H557" s="37"/>
      <c r="I557" s="37"/>
    </row>
    <row r="558" spans="1:9" ht="14.25" customHeight="1" x14ac:dyDescent="0.3">
      <c r="A558" s="37"/>
      <c r="B558" s="37"/>
      <c r="C558" s="37"/>
      <c r="D558" s="37"/>
      <c r="E558" s="37"/>
      <c r="F558" s="37"/>
      <c r="G558" s="37"/>
      <c r="H558" s="37"/>
      <c r="I558" s="37"/>
    </row>
    <row r="559" spans="1:9" ht="14.25" customHeight="1" x14ac:dyDescent="0.3">
      <c r="A559" s="37"/>
      <c r="B559" s="37"/>
      <c r="C559" s="37"/>
      <c r="D559" s="37"/>
      <c r="E559" s="37"/>
      <c r="F559" s="37"/>
      <c r="G559" s="37"/>
      <c r="H559" s="37"/>
      <c r="I559" s="37"/>
    </row>
    <row r="560" spans="1:9" ht="14.25" customHeight="1" x14ac:dyDescent="0.3">
      <c r="A560" s="35" t="s">
        <v>1625</v>
      </c>
      <c r="B560" s="35" t="s">
        <v>1626</v>
      </c>
      <c r="C560" s="37"/>
      <c r="D560" s="37"/>
      <c r="E560" s="37"/>
      <c r="F560" s="37"/>
      <c r="G560" s="37"/>
      <c r="H560" s="37"/>
      <c r="I560" s="37"/>
    </row>
    <row r="561" spans="1:9" ht="14.25" customHeight="1" x14ac:dyDescent="0.3">
      <c r="A561" s="46"/>
      <c r="B561" s="47" t="s">
        <v>324</v>
      </c>
      <c r="C561" s="46"/>
      <c r="D561" s="37"/>
      <c r="E561" s="37"/>
      <c r="F561" s="37"/>
      <c r="G561" s="37"/>
      <c r="H561" s="37"/>
      <c r="I561" s="37"/>
    </row>
    <row r="562" spans="1:9" ht="14.25" customHeight="1" x14ac:dyDescent="0.3">
      <c r="A562" s="46"/>
      <c r="B562" s="47" t="s">
        <v>467</v>
      </c>
      <c r="C562" s="46"/>
      <c r="D562" s="37"/>
      <c r="E562" s="37"/>
      <c r="F562" s="37"/>
      <c r="G562" s="37"/>
      <c r="H562" s="37"/>
      <c r="I562" s="37"/>
    </row>
    <row r="563" spans="1:9" ht="14.25" customHeight="1" x14ac:dyDescent="0.3">
      <c r="A563" s="46"/>
      <c r="B563" s="47" t="s">
        <v>312</v>
      </c>
      <c r="C563" s="46"/>
      <c r="D563" s="37"/>
      <c r="E563" s="37"/>
      <c r="F563" s="37"/>
      <c r="G563" s="37"/>
      <c r="H563" s="37"/>
      <c r="I563" s="37"/>
    </row>
    <row r="564" spans="1:9" ht="14.25" customHeight="1" x14ac:dyDescent="0.3">
      <c r="A564" s="46"/>
      <c r="B564" s="47" t="s">
        <v>311</v>
      </c>
      <c r="C564" s="46"/>
      <c r="D564" s="37"/>
      <c r="E564" s="37"/>
      <c r="F564" s="37"/>
      <c r="G564" s="37"/>
      <c r="H564" s="37"/>
      <c r="I564" s="37"/>
    </row>
    <row r="565" spans="1:9" ht="14.25" customHeight="1" x14ac:dyDescent="0.3">
      <c r="A565" s="46"/>
      <c r="B565" s="47" t="s">
        <v>337</v>
      </c>
      <c r="C565" s="46"/>
      <c r="D565" s="37"/>
      <c r="E565" s="37"/>
      <c r="F565" s="37"/>
      <c r="G565" s="37"/>
      <c r="H565" s="37"/>
      <c r="I565" s="37"/>
    </row>
    <row r="566" spans="1:9" ht="14.25" customHeight="1" x14ac:dyDescent="0.3">
      <c r="A566" s="46"/>
      <c r="B566" s="47" t="s">
        <v>1627</v>
      </c>
      <c r="C566" s="46"/>
      <c r="D566" s="37"/>
      <c r="E566" s="37"/>
      <c r="F566" s="37"/>
      <c r="G566" s="37"/>
      <c r="H566" s="37"/>
      <c r="I566" s="37"/>
    </row>
    <row r="567" spans="1:9" ht="14.25" customHeight="1" x14ac:dyDescent="0.3">
      <c r="A567" s="46"/>
      <c r="B567" s="47" t="s">
        <v>1628</v>
      </c>
      <c r="C567" s="46"/>
      <c r="D567" s="37"/>
      <c r="E567" s="37"/>
      <c r="F567" s="37"/>
      <c r="G567" s="37"/>
      <c r="H567" s="37"/>
      <c r="I567" s="37"/>
    </row>
    <row r="568" spans="1:9" ht="14.25" customHeight="1" x14ac:dyDescent="0.3">
      <c r="A568" s="46"/>
      <c r="B568" s="47" t="s">
        <v>1629</v>
      </c>
      <c r="C568" s="46"/>
      <c r="D568" s="37"/>
      <c r="E568" s="37"/>
      <c r="F568" s="37"/>
      <c r="G568" s="37"/>
      <c r="H568" s="37"/>
      <c r="I568" s="37"/>
    </row>
    <row r="569" spans="1:9" ht="14.25" customHeight="1" x14ac:dyDescent="0.3">
      <c r="A569" s="46"/>
      <c r="B569" s="47" t="s">
        <v>173</v>
      </c>
      <c r="C569" s="46"/>
      <c r="D569" s="37"/>
      <c r="E569" s="37"/>
      <c r="F569" s="37"/>
      <c r="G569" s="37"/>
      <c r="H569" s="37"/>
      <c r="I569" s="37"/>
    </row>
    <row r="570" spans="1:9" ht="14.25" customHeight="1" x14ac:dyDescent="0.3">
      <c r="A570" s="46"/>
      <c r="B570" s="47" t="s">
        <v>285</v>
      </c>
      <c r="C570" s="46"/>
      <c r="D570" s="37"/>
      <c r="E570" s="37"/>
      <c r="F570" s="37"/>
      <c r="G570" s="37"/>
      <c r="H570" s="37"/>
      <c r="I570" s="37"/>
    </row>
    <row r="571" spans="1:9" ht="14.25" customHeight="1" x14ac:dyDescent="0.3">
      <c r="A571" s="46"/>
      <c r="B571" s="47" t="s">
        <v>400</v>
      </c>
      <c r="C571" s="46"/>
      <c r="D571" s="37"/>
      <c r="E571" s="37"/>
      <c r="F571" s="37"/>
      <c r="G571" s="37"/>
      <c r="H571" s="37"/>
      <c r="I571" s="37"/>
    </row>
    <row r="572" spans="1:9" ht="14.25" customHeight="1" x14ac:dyDescent="0.3">
      <c r="A572" s="46"/>
      <c r="B572" s="47" t="s">
        <v>295</v>
      </c>
      <c r="C572" s="46"/>
      <c r="D572" s="37"/>
      <c r="E572" s="37"/>
      <c r="F572" s="37"/>
      <c r="G572" s="37"/>
      <c r="H572" s="37"/>
      <c r="I572" s="37"/>
    </row>
    <row r="573" spans="1:9" ht="14.25" customHeight="1" x14ac:dyDescent="0.3">
      <c r="A573" s="46"/>
      <c r="B573" s="47" t="s">
        <v>1630</v>
      </c>
      <c r="C573" s="46"/>
      <c r="D573" s="37"/>
      <c r="E573" s="37"/>
      <c r="F573" s="37"/>
      <c r="G573" s="37"/>
      <c r="H573" s="37"/>
      <c r="I573" s="37"/>
    </row>
    <row r="574" spans="1:9" ht="14.25" customHeight="1" x14ac:dyDescent="0.3">
      <c r="A574" s="46"/>
      <c r="B574" s="47" t="s">
        <v>281</v>
      </c>
      <c r="C574" s="46"/>
      <c r="D574" s="37"/>
      <c r="E574" s="37"/>
      <c r="F574" s="37"/>
      <c r="G574" s="37"/>
      <c r="H574" s="37"/>
      <c r="I574" s="37"/>
    </row>
    <row r="575" spans="1:9" ht="14.25" customHeight="1" x14ac:dyDescent="0.3">
      <c r="A575" s="46"/>
      <c r="B575" s="47" t="s">
        <v>274</v>
      </c>
      <c r="C575" s="46"/>
      <c r="D575" s="37"/>
      <c r="E575" s="37"/>
      <c r="F575" s="37"/>
      <c r="G575" s="37"/>
      <c r="H575" s="37"/>
      <c r="I575" s="37"/>
    </row>
    <row r="576" spans="1:9" ht="14.25" customHeight="1" x14ac:dyDescent="0.3">
      <c r="A576" s="46"/>
      <c r="B576" s="47" t="s">
        <v>379</v>
      </c>
      <c r="C576" s="46"/>
      <c r="D576" s="37"/>
      <c r="E576" s="37"/>
      <c r="F576" s="37"/>
      <c r="G576" s="37"/>
      <c r="H576" s="37"/>
      <c r="I576" s="37"/>
    </row>
    <row r="577" spans="1:9" ht="14.25" customHeight="1" x14ac:dyDescent="0.3">
      <c r="A577" s="46"/>
      <c r="B577" s="47" t="s">
        <v>383</v>
      </c>
      <c r="C577" s="46"/>
      <c r="D577" s="37"/>
      <c r="E577" s="37"/>
      <c r="F577" s="37"/>
      <c r="G577" s="37"/>
      <c r="H577" s="37"/>
      <c r="I577" s="37"/>
    </row>
    <row r="578" spans="1:9" ht="14.25" customHeight="1" x14ac:dyDescent="0.3">
      <c r="A578" s="46"/>
      <c r="B578" s="47" t="s">
        <v>394</v>
      </c>
      <c r="C578" s="46"/>
      <c r="D578" s="37"/>
      <c r="E578" s="37"/>
      <c r="F578" s="37"/>
      <c r="G578" s="37"/>
      <c r="H578" s="37"/>
      <c r="I578" s="37"/>
    </row>
    <row r="579" spans="1:9" ht="14.25" customHeight="1" x14ac:dyDescent="0.3">
      <c r="A579" s="46"/>
      <c r="B579" s="47" t="s">
        <v>335</v>
      </c>
      <c r="C579" s="46"/>
      <c r="D579" s="37"/>
      <c r="E579" s="37"/>
      <c r="F579" s="37"/>
      <c r="G579" s="37"/>
      <c r="H579" s="37"/>
      <c r="I579" s="37"/>
    </row>
    <row r="580" spans="1:9" ht="14.25" customHeight="1" x14ac:dyDescent="0.3">
      <c r="A580" s="46"/>
      <c r="B580" s="47" t="s">
        <v>318</v>
      </c>
      <c r="C580" s="46"/>
      <c r="D580" s="37"/>
      <c r="E580" s="37"/>
      <c r="F580" s="37"/>
      <c r="G580" s="37"/>
      <c r="H580" s="37"/>
      <c r="I580" s="37"/>
    </row>
    <row r="581" spans="1:9" ht="14.25" customHeight="1" x14ac:dyDescent="0.3">
      <c r="A581" s="46"/>
      <c r="B581" s="47" t="s">
        <v>1631</v>
      </c>
      <c r="C581" s="46"/>
      <c r="D581" s="37"/>
      <c r="E581" s="37"/>
      <c r="F581" s="37"/>
      <c r="G581" s="37"/>
      <c r="H581" s="37"/>
      <c r="I581" s="37"/>
    </row>
    <row r="582" spans="1:9" ht="14.25" customHeight="1" x14ac:dyDescent="0.3">
      <c r="A582" s="46"/>
      <c r="B582" s="47" t="s">
        <v>1632</v>
      </c>
      <c r="C582" s="46"/>
      <c r="D582" s="37"/>
      <c r="E582" s="37"/>
      <c r="F582" s="37"/>
      <c r="G582" s="37"/>
      <c r="H582" s="37"/>
      <c r="I582" s="37"/>
    </row>
    <row r="583" spans="1:9" ht="14.25" customHeight="1" x14ac:dyDescent="0.3">
      <c r="A583" s="46"/>
      <c r="B583" s="47" t="s">
        <v>768</v>
      </c>
      <c r="C583" s="46"/>
      <c r="D583" s="37"/>
      <c r="E583" s="37"/>
      <c r="F583" s="37"/>
      <c r="G583" s="37"/>
      <c r="H583" s="37"/>
      <c r="I583" s="37"/>
    </row>
    <row r="584" spans="1:9" ht="14.25" customHeight="1" x14ac:dyDescent="0.3">
      <c r="A584" s="46"/>
      <c r="B584" s="47" t="s">
        <v>1633</v>
      </c>
      <c r="C584" s="46"/>
      <c r="D584" s="37"/>
      <c r="E584" s="37"/>
      <c r="F584" s="37"/>
      <c r="G584" s="37"/>
      <c r="H584" s="37"/>
      <c r="I584" s="37"/>
    </row>
    <row r="585" spans="1:9" ht="14.25" customHeight="1" x14ac:dyDescent="0.3">
      <c r="A585" s="46"/>
      <c r="B585" s="47" t="s">
        <v>1634</v>
      </c>
      <c r="C585" s="46"/>
      <c r="D585" s="37"/>
      <c r="E585" s="37"/>
      <c r="F585" s="37"/>
      <c r="G585" s="37"/>
      <c r="H585" s="37"/>
      <c r="I585" s="37"/>
    </row>
    <row r="586" spans="1:9" ht="14.25" customHeight="1" x14ac:dyDescent="0.3">
      <c r="A586" s="46"/>
      <c r="B586" s="47" t="s">
        <v>1635</v>
      </c>
      <c r="C586" s="46"/>
      <c r="D586" s="37"/>
      <c r="E586" s="37"/>
      <c r="F586" s="37"/>
      <c r="G586" s="37"/>
      <c r="H586" s="37"/>
      <c r="I586" s="37"/>
    </row>
    <row r="587" spans="1:9" ht="14.25" customHeight="1" x14ac:dyDescent="0.3">
      <c r="A587" s="46"/>
      <c r="B587" s="47" t="s">
        <v>1636</v>
      </c>
      <c r="C587" s="46"/>
      <c r="D587" s="37"/>
      <c r="E587" s="37"/>
      <c r="F587" s="37"/>
      <c r="G587" s="37"/>
      <c r="H587" s="37"/>
      <c r="I587" s="37"/>
    </row>
    <row r="588" spans="1:9" ht="14.25" customHeight="1" x14ac:dyDescent="0.3">
      <c r="A588" s="46"/>
      <c r="B588" s="47" t="s">
        <v>1637</v>
      </c>
      <c r="C588" s="46"/>
      <c r="D588" s="37"/>
      <c r="E588" s="37"/>
      <c r="F588" s="37"/>
      <c r="G588" s="37"/>
      <c r="H588" s="37"/>
      <c r="I588" s="37"/>
    </row>
    <row r="589" spans="1:9" ht="14.25" customHeight="1" x14ac:dyDescent="0.3">
      <c r="A589" s="46"/>
      <c r="B589" s="47" t="s">
        <v>1638</v>
      </c>
      <c r="C589" s="46"/>
      <c r="D589" s="37"/>
      <c r="E589" s="37"/>
      <c r="F589" s="37"/>
      <c r="G589" s="37"/>
      <c r="H589" s="37"/>
      <c r="I589" s="37"/>
    </row>
    <row r="590" spans="1:9" ht="14.25" customHeight="1" x14ac:dyDescent="0.3">
      <c r="A590" s="46"/>
      <c r="B590" s="47" t="s">
        <v>1639</v>
      </c>
      <c r="C590" s="46"/>
      <c r="D590" s="37"/>
      <c r="E590" s="37"/>
      <c r="F590" s="37"/>
      <c r="G590" s="37"/>
      <c r="H590" s="37"/>
      <c r="I590" s="37"/>
    </row>
    <row r="591" spans="1:9" ht="14.25" customHeight="1" x14ac:dyDescent="0.3">
      <c r="A591" s="46"/>
      <c r="B591" s="47" t="s">
        <v>1640</v>
      </c>
      <c r="C591" s="46"/>
      <c r="D591" s="37"/>
      <c r="E591" s="37"/>
      <c r="F591" s="37"/>
      <c r="G591" s="37"/>
      <c r="H591" s="37"/>
      <c r="I591" s="37"/>
    </row>
    <row r="592" spans="1:9" ht="14.25" customHeight="1" x14ac:dyDescent="0.3">
      <c r="A592" s="46"/>
      <c r="B592" s="47" t="s">
        <v>1641</v>
      </c>
      <c r="C592" s="46"/>
      <c r="D592" s="37"/>
      <c r="E592" s="37"/>
      <c r="F592" s="37"/>
      <c r="G592" s="37"/>
      <c r="H592" s="37"/>
      <c r="I592" s="37"/>
    </row>
    <row r="593" spans="1:9" ht="14.25" customHeight="1" x14ac:dyDescent="0.3">
      <c r="A593" s="46"/>
      <c r="B593" s="47" t="s">
        <v>1642</v>
      </c>
      <c r="C593" s="46"/>
      <c r="D593" s="37"/>
      <c r="E593" s="37"/>
      <c r="F593" s="37"/>
      <c r="G593" s="37"/>
      <c r="H593" s="37"/>
      <c r="I593" s="37"/>
    </row>
    <row r="594" spans="1:9" ht="14.25" customHeight="1" x14ac:dyDescent="0.3">
      <c r="A594" s="46"/>
      <c r="B594" s="47" t="s">
        <v>1643</v>
      </c>
      <c r="C594" s="46"/>
      <c r="D594" s="37"/>
      <c r="E594" s="37"/>
      <c r="F594" s="37"/>
      <c r="G594" s="37"/>
      <c r="H594" s="37"/>
      <c r="I594" s="37"/>
    </row>
    <row r="595" spans="1:9" ht="14.25" customHeight="1" x14ac:dyDescent="0.3">
      <c r="A595" s="46"/>
      <c r="B595" s="47" t="s">
        <v>1644</v>
      </c>
      <c r="C595" s="46"/>
      <c r="D595" s="37"/>
      <c r="E595" s="37"/>
      <c r="F595" s="37"/>
      <c r="G595" s="37"/>
      <c r="H595" s="37"/>
      <c r="I595" s="37"/>
    </row>
    <row r="596" spans="1:9" ht="14.25" customHeight="1" x14ac:dyDescent="0.3">
      <c r="A596" s="46"/>
      <c r="B596" s="47" t="s">
        <v>1645</v>
      </c>
      <c r="C596" s="46"/>
      <c r="D596" s="37"/>
      <c r="E596" s="37"/>
      <c r="F596" s="37"/>
      <c r="G596" s="37"/>
      <c r="H596" s="37"/>
      <c r="I596" s="37"/>
    </row>
    <row r="597" spans="1:9" ht="14.25" customHeight="1" x14ac:dyDescent="0.3">
      <c r="A597" s="46"/>
      <c r="B597" s="47" t="s">
        <v>1646</v>
      </c>
      <c r="C597" s="46"/>
      <c r="D597" s="37"/>
      <c r="E597" s="37"/>
      <c r="F597" s="37"/>
      <c r="G597" s="37"/>
      <c r="H597" s="37"/>
      <c r="I597" s="37"/>
    </row>
    <row r="598" spans="1:9" ht="14.25" customHeight="1" x14ac:dyDescent="0.3">
      <c r="A598" s="46"/>
      <c r="B598" s="47" t="s">
        <v>1647</v>
      </c>
      <c r="C598" s="46"/>
      <c r="D598" s="37"/>
      <c r="E598" s="37"/>
      <c r="F598" s="37"/>
      <c r="G598" s="37"/>
      <c r="H598" s="37"/>
      <c r="I598" s="37"/>
    </row>
    <row r="599" spans="1:9" ht="14.25" customHeight="1" x14ac:dyDescent="0.3">
      <c r="A599" s="46"/>
      <c r="B599" s="47" t="s">
        <v>1648</v>
      </c>
      <c r="C599" s="46"/>
      <c r="D599" s="37"/>
      <c r="E599" s="37"/>
      <c r="F599" s="37"/>
      <c r="G599" s="37"/>
      <c r="H599" s="37"/>
      <c r="I599" s="37"/>
    </row>
    <row r="600" spans="1:9" ht="14.25" customHeight="1" x14ac:dyDescent="0.3">
      <c r="A600" s="46"/>
      <c r="B600" s="47" t="s">
        <v>222</v>
      </c>
      <c r="C600" s="46"/>
      <c r="D600" s="37"/>
      <c r="E600" s="37"/>
      <c r="F600" s="37"/>
      <c r="G600" s="37"/>
      <c r="H600" s="37"/>
      <c r="I600" s="37"/>
    </row>
    <row r="601" spans="1:9" ht="14.25" customHeight="1" x14ac:dyDescent="0.3">
      <c r="A601" s="46"/>
      <c r="B601" s="47" t="s">
        <v>1649</v>
      </c>
      <c r="C601" s="46"/>
      <c r="D601" s="37"/>
      <c r="E601" s="37"/>
      <c r="F601" s="37"/>
      <c r="G601" s="37"/>
      <c r="H601" s="37"/>
      <c r="I601" s="37"/>
    </row>
    <row r="602" spans="1:9" ht="14.25" customHeight="1" x14ac:dyDescent="0.3">
      <c r="A602" s="46"/>
      <c r="B602" s="47" t="s">
        <v>1650</v>
      </c>
      <c r="C602" s="46"/>
      <c r="D602" s="37"/>
      <c r="E602" s="37"/>
      <c r="F602" s="37"/>
      <c r="G602" s="37"/>
      <c r="H602" s="37"/>
      <c r="I602" s="37"/>
    </row>
    <row r="603" spans="1:9" ht="14.25" customHeight="1" x14ac:dyDescent="0.3">
      <c r="A603" s="46"/>
      <c r="B603" s="47" t="s">
        <v>1651</v>
      </c>
      <c r="C603" s="46"/>
      <c r="D603" s="37"/>
      <c r="E603" s="37"/>
      <c r="F603" s="37"/>
      <c r="G603" s="37"/>
      <c r="H603" s="37"/>
      <c r="I603" s="37"/>
    </row>
    <row r="604" spans="1:9" ht="14.25" customHeight="1" x14ac:dyDescent="0.3">
      <c r="A604" s="46"/>
      <c r="B604" s="47" t="s">
        <v>1652</v>
      </c>
      <c r="C604" s="46"/>
      <c r="D604" s="37"/>
      <c r="E604" s="37"/>
      <c r="F604" s="37"/>
      <c r="G604" s="37"/>
      <c r="H604" s="37"/>
      <c r="I604" s="37"/>
    </row>
    <row r="605" spans="1:9" ht="14.25" customHeight="1" x14ac:dyDescent="0.3">
      <c r="A605" s="46"/>
      <c r="B605" s="47" t="s">
        <v>1653</v>
      </c>
      <c r="C605" s="46"/>
      <c r="D605" s="37"/>
      <c r="E605" s="37"/>
      <c r="F605" s="37"/>
      <c r="G605" s="37"/>
      <c r="H605" s="37"/>
      <c r="I605" s="37"/>
    </row>
    <row r="606" spans="1:9" ht="14.25" customHeight="1" x14ac:dyDescent="0.3">
      <c r="A606" s="46"/>
      <c r="B606" s="47" t="s">
        <v>1654</v>
      </c>
      <c r="C606" s="46"/>
      <c r="D606" s="37"/>
      <c r="E606" s="37"/>
      <c r="F606" s="37"/>
      <c r="G606" s="37"/>
      <c r="H606" s="37"/>
      <c r="I606" s="37"/>
    </row>
    <row r="607" spans="1:9" ht="14.25" customHeight="1" x14ac:dyDescent="0.3">
      <c r="A607" s="46"/>
      <c r="B607" s="47" t="s">
        <v>1655</v>
      </c>
      <c r="C607" s="46"/>
      <c r="D607" s="37"/>
      <c r="E607" s="37"/>
      <c r="F607" s="37"/>
      <c r="G607" s="37"/>
      <c r="H607" s="37"/>
      <c r="I607" s="37"/>
    </row>
    <row r="608" spans="1:9" ht="14.25" customHeight="1" x14ac:dyDescent="0.3">
      <c r="A608" s="46"/>
      <c r="B608" s="47" t="s">
        <v>1656</v>
      </c>
      <c r="C608" s="46"/>
      <c r="D608" s="37"/>
      <c r="E608" s="37"/>
      <c r="F608" s="37"/>
      <c r="G608" s="37"/>
      <c r="H608" s="37"/>
      <c r="I608" s="37"/>
    </row>
    <row r="609" spans="1:9" ht="14.25" customHeight="1" x14ac:dyDescent="0.3">
      <c r="A609" s="46"/>
      <c r="B609" s="47" t="s">
        <v>1657</v>
      </c>
      <c r="C609" s="46"/>
      <c r="D609" s="37"/>
      <c r="E609" s="37"/>
      <c r="F609" s="37"/>
      <c r="G609" s="37"/>
      <c r="H609" s="37"/>
      <c r="I609" s="37"/>
    </row>
    <row r="610" spans="1:9" ht="14.25" customHeight="1" x14ac:dyDescent="0.3">
      <c r="A610" s="46"/>
      <c r="B610" s="47" t="s">
        <v>234</v>
      </c>
      <c r="C610" s="46"/>
      <c r="D610" s="37"/>
      <c r="E610" s="37"/>
      <c r="F610" s="37"/>
      <c r="G610" s="37"/>
      <c r="H610" s="37"/>
      <c r="I610" s="37"/>
    </row>
    <row r="611" spans="1:9" ht="14.25" customHeight="1" x14ac:dyDescent="0.3">
      <c r="A611" s="46"/>
      <c r="B611" s="47" t="s">
        <v>1658</v>
      </c>
      <c r="C611" s="46"/>
      <c r="D611" s="37"/>
      <c r="E611" s="37"/>
      <c r="F611" s="37"/>
      <c r="G611" s="37"/>
      <c r="H611" s="37"/>
      <c r="I611" s="37"/>
    </row>
    <row r="612" spans="1:9" ht="14.25" customHeight="1" x14ac:dyDescent="0.3">
      <c r="A612" s="46"/>
      <c r="B612" s="47" t="s">
        <v>1659</v>
      </c>
      <c r="C612" s="46"/>
      <c r="D612" s="37"/>
      <c r="E612" s="37"/>
      <c r="F612" s="37"/>
      <c r="G612" s="37"/>
      <c r="H612" s="37"/>
      <c r="I612" s="37"/>
    </row>
    <row r="613" spans="1:9" ht="14.25" customHeight="1" x14ac:dyDescent="0.3">
      <c r="A613" s="46"/>
      <c r="B613" s="47" t="s">
        <v>1660</v>
      </c>
      <c r="C613" s="46"/>
      <c r="D613" s="37"/>
      <c r="E613" s="37"/>
      <c r="F613" s="37"/>
      <c r="G613" s="37"/>
      <c r="H613" s="37"/>
      <c r="I613" s="37"/>
    </row>
    <row r="614" spans="1:9" ht="14.25" customHeight="1" x14ac:dyDescent="0.3">
      <c r="A614" s="46"/>
      <c r="B614" s="47" t="s">
        <v>224</v>
      </c>
      <c r="C614" s="46"/>
      <c r="D614" s="37"/>
      <c r="E614" s="37"/>
      <c r="F614" s="37"/>
      <c r="G614" s="37"/>
      <c r="H614" s="37"/>
      <c r="I614" s="37"/>
    </row>
    <row r="615" spans="1:9" ht="14.25" customHeight="1" x14ac:dyDescent="0.3">
      <c r="A615" s="46"/>
      <c r="B615" s="47" t="s">
        <v>1661</v>
      </c>
      <c r="C615" s="46"/>
      <c r="D615" s="37"/>
      <c r="E615" s="37"/>
      <c r="F615" s="37"/>
      <c r="G615" s="37"/>
      <c r="H615" s="37"/>
      <c r="I615" s="37"/>
    </row>
    <row r="616" spans="1:9" ht="14.25" customHeight="1" x14ac:dyDescent="0.3">
      <c r="A616" s="46"/>
      <c r="B616" s="47" t="s">
        <v>1662</v>
      </c>
      <c r="C616" s="46"/>
      <c r="D616" s="37"/>
      <c r="E616" s="37"/>
      <c r="F616" s="37"/>
      <c r="G616" s="37"/>
      <c r="H616" s="37"/>
      <c r="I616" s="37"/>
    </row>
    <row r="617" spans="1:9" ht="14.25" customHeight="1" x14ac:dyDescent="0.3">
      <c r="A617" s="46"/>
      <c r="B617" s="47" t="s">
        <v>1663</v>
      </c>
      <c r="C617" s="46"/>
      <c r="D617" s="37"/>
      <c r="E617" s="37"/>
      <c r="F617" s="37"/>
      <c r="G617" s="37"/>
      <c r="H617" s="37"/>
      <c r="I617" s="37"/>
    </row>
    <row r="618" spans="1:9" ht="14.25" customHeight="1" x14ac:dyDescent="0.3">
      <c r="A618" s="46"/>
      <c r="B618" s="47" t="s">
        <v>1664</v>
      </c>
      <c r="C618" s="46"/>
      <c r="D618" s="37"/>
      <c r="E618" s="37"/>
      <c r="F618" s="37"/>
      <c r="G618" s="37"/>
      <c r="H618" s="37"/>
      <c r="I618" s="37"/>
    </row>
    <row r="619" spans="1:9" ht="14.25" customHeight="1" x14ac:dyDescent="0.3">
      <c r="A619" s="46"/>
      <c r="B619" s="47" t="s">
        <v>1665</v>
      </c>
      <c r="C619" s="46"/>
      <c r="D619" s="37"/>
      <c r="E619" s="37"/>
      <c r="F619" s="37"/>
      <c r="G619" s="37"/>
      <c r="H619" s="37"/>
      <c r="I619" s="37"/>
    </row>
    <row r="620" spans="1:9" ht="14.25" customHeight="1" x14ac:dyDescent="0.3">
      <c r="A620" s="46"/>
      <c r="B620" s="47" t="s">
        <v>1666</v>
      </c>
      <c r="C620" s="46"/>
      <c r="D620" s="37"/>
      <c r="E620" s="37"/>
      <c r="F620" s="37"/>
      <c r="G620" s="37"/>
      <c r="H620" s="37"/>
      <c r="I620" s="37"/>
    </row>
    <row r="621" spans="1:9" ht="14.25" customHeight="1" x14ac:dyDescent="0.3">
      <c r="A621" s="46"/>
      <c r="B621" s="47" t="s">
        <v>218</v>
      </c>
      <c r="C621" s="46"/>
      <c r="D621" s="37"/>
      <c r="E621" s="37"/>
      <c r="F621" s="37"/>
      <c r="G621" s="37"/>
      <c r="H621" s="37"/>
      <c r="I621" s="37"/>
    </row>
    <row r="622" spans="1:9" ht="14.25" customHeight="1" x14ac:dyDescent="0.3">
      <c r="A622" s="46"/>
      <c r="B622" s="47" t="s">
        <v>227</v>
      </c>
      <c r="C622" s="46"/>
      <c r="D622" s="37"/>
      <c r="E622" s="37"/>
      <c r="F622" s="37"/>
      <c r="G622" s="37"/>
      <c r="H622" s="37"/>
      <c r="I622" s="37"/>
    </row>
    <row r="623" spans="1:9" ht="14.25" customHeight="1" x14ac:dyDescent="0.3">
      <c r="A623" s="46"/>
      <c r="B623" s="47" t="s">
        <v>1667</v>
      </c>
      <c r="C623" s="46"/>
      <c r="D623" s="37"/>
      <c r="E623" s="37"/>
      <c r="F623" s="37"/>
      <c r="G623" s="37"/>
      <c r="H623" s="37"/>
      <c r="I623" s="37"/>
    </row>
    <row r="624" spans="1:9" ht="14.25" customHeight="1" x14ac:dyDescent="0.3">
      <c r="A624" s="46"/>
      <c r="B624" s="47" t="s">
        <v>1668</v>
      </c>
      <c r="C624" s="46"/>
      <c r="D624" s="37"/>
      <c r="E624" s="37"/>
      <c r="F624" s="37"/>
      <c r="G624" s="37"/>
      <c r="H624" s="37"/>
      <c r="I624" s="37"/>
    </row>
    <row r="625" spans="1:9" ht="14.25" customHeight="1" x14ac:dyDescent="0.3">
      <c r="A625" s="46"/>
      <c r="B625" s="47" t="s">
        <v>1669</v>
      </c>
      <c r="C625" s="46"/>
      <c r="D625" s="37"/>
      <c r="E625" s="37"/>
      <c r="F625" s="37"/>
      <c r="G625" s="37"/>
      <c r="H625" s="37"/>
      <c r="I625" s="37"/>
    </row>
    <row r="626" spans="1:9" ht="14.25" customHeight="1" x14ac:dyDescent="0.3">
      <c r="A626" s="46"/>
      <c r="B626" s="47" t="s">
        <v>1670</v>
      </c>
      <c r="C626" s="46"/>
      <c r="D626" s="37"/>
      <c r="E626" s="37"/>
      <c r="F626" s="37"/>
      <c r="G626" s="37"/>
      <c r="H626" s="37"/>
      <c r="I626" s="37"/>
    </row>
    <row r="627" spans="1:9" ht="14.25" customHeight="1" x14ac:dyDescent="0.3">
      <c r="A627" s="46"/>
      <c r="B627" s="47" t="s">
        <v>621</v>
      </c>
      <c r="C627" s="46"/>
      <c r="D627" s="37"/>
      <c r="E627" s="37"/>
      <c r="F627" s="37"/>
      <c r="G627" s="37"/>
      <c r="H627" s="37"/>
      <c r="I627" s="37"/>
    </row>
    <row r="628" spans="1:9" ht="14.25" customHeight="1" x14ac:dyDescent="0.3">
      <c r="A628" s="46"/>
      <c r="B628" s="47" t="s">
        <v>124</v>
      </c>
      <c r="C628" s="46"/>
      <c r="D628" s="37"/>
      <c r="E628" s="37"/>
      <c r="F628" s="37"/>
      <c r="G628" s="37"/>
      <c r="H628" s="37"/>
      <c r="I628" s="37"/>
    </row>
    <row r="629" spans="1:9" ht="14.25" customHeight="1" x14ac:dyDescent="0.3">
      <c r="A629" s="46"/>
      <c r="B629" s="47" t="s">
        <v>153</v>
      </c>
      <c r="C629" s="46"/>
      <c r="D629" s="37"/>
      <c r="E629" s="37"/>
      <c r="F629" s="37"/>
      <c r="G629" s="37"/>
      <c r="H629" s="37"/>
      <c r="I629" s="37"/>
    </row>
    <row r="630" spans="1:9" ht="14.25" customHeight="1" x14ac:dyDescent="0.3">
      <c r="A630" s="46"/>
      <c r="B630" s="47" t="s">
        <v>1671</v>
      </c>
      <c r="C630" s="46"/>
      <c r="D630" s="37"/>
      <c r="E630" s="37"/>
      <c r="F630" s="37"/>
      <c r="G630" s="37"/>
      <c r="H630" s="37"/>
      <c r="I630" s="37"/>
    </row>
    <row r="631" spans="1:9" ht="14.25" customHeight="1" x14ac:dyDescent="0.3">
      <c r="A631" s="46"/>
      <c r="B631" s="47" t="s">
        <v>1672</v>
      </c>
      <c r="C631" s="46"/>
      <c r="D631" s="37"/>
      <c r="E631" s="37"/>
      <c r="F631" s="37"/>
      <c r="G631" s="37"/>
      <c r="H631" s="37"/>
      <c r="I631" s="37"/>
    </row>
    <row r="632" spans="1:9" ht="14.25" customHeight="1" x14ac:dyDescent="0.3">
      <c r="A632" s="46"/>
      <c r="B632" s="47" t="s">
        <v>1673</v>
      </c>
      <c r="C632" s="46"/>
      <c r="D632" s="37"/>
      <c r="E632" s="37"/>
      <c r="F632" s="37"/>
      <c r="G632" s="37"/>
      <c r="H632" s="37"/>
      <c r="I632" s="37"/>
    </row>
    <row r="633" spans="1:9" ht="14.25" customHeight="1" x14ac:dyDescent="0.3">
      <c r="A633" s="46"/>
      <c r="B633" s="47" t="s">
        <v>1674</v>
      </c>
      <c r="C633" s="46"/>
      <c r="D633" s="37"/>
      <c r="E633" s="37"/>
      <c r="F633" s="37"/>
      <c r="G633" s="37"/>
      <c r="H633" s="37"/>
      <c r="I633" s="37"/>
    </row>
    <row r="634" spans="1:9" ht="14.25" customHeight="1" x14ac:dyDescent="0.3">
      <c r="A634" s="46"/>
      <c r="B634" s="36" t="s">
        <v>340</v>
      </c>
      <c r="C634" s="46"/>
      <c r="D634" s="37"/>
      <c r="E634" s="37"/>
      <c r="F634" s="37"/>
      <c r="G634" s="37"/>
      <c r="H634" s="37"/>
      <c r="I634" s="37"/>
    </row>
    <row r="635" spans="1:9" ht="14.25" customHeight="1" x14ac:dyDescent="0.3">
      <c r="A635" s="46"/>
      <c r="B635" s="36" t="s">
        <v>374</v>
      </c>
      <c r="C635" s="46"/>
      <c r="D635" s="37"/>
      <c r="E635" s="37"/>
      <c r="F635" s="37"/>
      <c r="G635" s="37"/>
      <c r="H635" s="37"/>
      <c r="I635" s="37"/>
    </row>
    <row r="636" spans="1:9" ht="14.25" customHeight="1" x14ac:dyDescent="0.3">
      <c r="A636" s="46"/>
      <c r="B636" s="47" t="s">
        <v>1675</v>
      </c>
      <c r="C636" s="46"/>
      <c r="D636" s="37"/>
      <c r="E636" s="37"/>
      <c r="F636" s="37"/>
      <c r="G636" s="37"/>
      <c r="H636" s="37"/>
      <c r="I636" s="37"/>
    </row>
    <row r="637" spans="1:9" ht="14.25" customHeight="1" x14ac:dyDescent="0.3">
      <c r="A637" s="46"/>
      <c r="B637" s="47" t="s">
        <v>451</v>
      </c>
      <c r="C637" s="46"/>
      <c r="D637" s="37"/>
      <c r="E637" s="37"/>
      <c r="F637" s="37"/>
      <c r="G637" s="37"/>
      <c r="H637" s="37"/>
      <c r="I637" s="37"/>
    </row>
    <row r="638" spans="1:9" ht="14.25" customHeight="1" x14ac:dyDescent="0.3">
      <c r="A638" s="46"/>
      <c r="B638" s="47" t="s">
        <v>1676</v>
      </c>
      <c r="C638" s="46"/>
      <c r="D638" s="37"/>
      <c r="E638" s="37"/>
      <c r="F638" s="37"/>
      <c r="G638" s="37"/>
      <c r="H638" s="37"/>
      <c r="I638" s="37"/>
    </row>
    <row r="639" spans="1:9" ht="14.25" customHeight="1" x14ac:dyDescent="0.3">
      <c r="A639" s="46"/>
      <c r="B639" s="47" t="s">
        <v>645</v>
      </c>
      <c r="C639" s="46"/>
      <c r="D639" s="37"/>
      <c r="E639" s="37"/>
      <c r="F639" s="37"/>
      <c r="G639" s="37"/>
      <c r="H639" s="37"/>
      <c r="I639" s="37"/>
    </row>
    <row r="640" spans="1:9" ht="14.25" customHeight="1" x14ac:dyDescent="0.3">
      <c r="A640" s="46"/>
      <c r="B640" s="47" t="s">
        <v>1677</v>
      </c>
      <c r="C640" s="46"/>
      <c r="D640" s="37"/>
      <c r="E640" s="37"/>
      <c r="F640" s="37"/>
      <c r="G640" s="37"/>
      <c r="H640" s="37"/>
      <c r="I640" s="37"/>
    </row>
    <row r="641" spans="1:9" ht="14.25" customHeight="1" x14ac:dyDescent="0.3">
      <c r="A641" s="46"/>
      <c r="B641" s="36" t="s">
        <v>1678</v>
      </c>
      <c r="C641" s="46"/>
      <c r="D641" s="37"/>
      <c r="E641" s="37"/>
      <c r="F641" s="37"/>
      <c r="G641" s="37"/>
      <c r="H641" s="37"/>
      <c r="I641" s="37"/>
    </row>
    <row r="642" spans="1:9" ht="14.25" customHeight="1" x14ac:dyDescent="0.3">
      <c r="A642" s="46"/>
      <c r="B642" s="47" t="s">
        <v>474</v>
      </c>
      <c r="C642" s="46"/>
      <c r="D642" s="37"/>
      <c r="E642" s="37"/>
      <c r="F642" s="37"/>
      <c r="G642" s="37"/>
      <c r="H642" s="37"/>
      <c r="I642" s="37"/>
    </row>
    <row r="643" spans="1:9" ht="14.25" customHeight="1" x14ac:dyDescent="0.3">
      <c r="A643" s="46"/>
      <c r="B643" s="47" t="s">
        <v>1679</v>
      </c>
      <c r="C643" s="46"/>
      <c r="D643" s="37"/>
      <c r="E643" s="37"/>
      <c r="F643" s="37"/>
      <c r="G643" s="37"/>
      <c r="H643" s="37"/>
      <c r="I643" s="37"/>
    </row>
    <row r="644" spans="1:9" ht="14.25" customHeight="1" x14ac:dyDescent="0.3">
      <c r="A644" s="46"/>
      <c r="B644" s="36" t="s">
        <v>346</v>
      </c>
      <c r="C644" s="46"/>
      <c r="D644" s="37"/>
      <c r="E644" s="37"/>
      <c r="F644" s="37"/>
      <c r="G644" s="37"/>
      <c r="H644" s="37"/>
      <c r="I644" s="37"/>
    </row>
    <row r="645" spans="1:9" ht="14.25" customHeight="1" x14ac:dyDescent="0.3">
      <c r="A645" s="46"/>
      <c r="B645" s="47" t="s">
        <v>639</v>
      </c>
      <c r="C645" s="46"/>
      <c r="D645" s="37"/>
      <c r="E645" s="37"/>
      <c r="F645" s="37"/>
      <c r="G645" s="37"/>
      <c r="H645" s="37"/>
      <c r="I645" s="37"/>
    </row>
    <row r="646" spans="1:9" ht="14.25" customHeight="1" x14ac:dyDescent="0.3">
      <c r="A646" s="46"/>
      <c r="B646" s="47" t="s">
        <v>1680</v>
      </c>
      <c r="C646" s="46"/>
      <c r="D646" s="37"/>
      <c r="E646" s="37"/>
      <c r="F646" s="37"/>
      <c r="G646" s="37"/>
      <c r="H646" s="37"/>
      <c r="I646" s="37"/>
    </row>
    <row r="647" spans="1:9" ht="14.25" customHeight="1" x14ac:dyDescent="0.3">
      <c r="A647" s="46"/>
      <c r="B647" s="47" t="s">
        <v>1681</v>
      </c>
      <c r="C647" s="46"/>
      <c r="D647" s="37"/>
      <c r="E647" s="37"/>
      <c r="F647" s="37"/>
      <c r="G647" s="37"/>
      <c r="H647" s="37"/>
      <c r="I647" s="37"/>
    </row>
    <row r="648" spans="1:9" ht="14.25" customHeight="1" x14ac:dyDescent="0.3">
      <c r="A648" s="46"/>
      <c r="B648" s="47" t="s">
        <v>210</v>
      </c>
      <c r="C648" s="46"/>
      <c r="D648" s="37"/>
      <c r="E648" s="37"/>
      <c r="F648" s="37"/>
      <c r="G648" s="37"/>
      <c r="H648" s="37"/>
      <c r="I648" s="37"/>
    </row>
    <row r="649" spans="1:9" ht="14.25" customHeight="1" x14ac:dyDescent="0.3">
      <c r="A649" s="46"/>
      <c r="B649" s="47" t="s">
        <v>1682</v>
      </c>
      <c r="C649" s="46"/>
      <c r="D649" s="37"/>
      <c r="E649" s="37"/>
      <c r="F649" s="37"/>
      <c r="G649" s="37"/>
      <c r="H649" s="37"/>
      <c r="I649" s="37"/>
    </row>
    <row r="650" spans="1:9" ht="14.25" customHeight="1" x14ac:dyDescent="0.3">
      <c r="A650" s="46"/>
      <c r="B650" s="47" t="s">
        <v>188</v>
      </c>
      <c r="C650" s="46"/>
      <c r="D650" s="37"/>
      <c r="E650" s="37"/>
      <c r="F650" s="37"/>
      <c r="G650" s="37"/>
      <c r="H650" s="37"/>
      <c r="I650" s="37"/>
    </row>
    <row r="651" spans="1:9" ht="14.25" customHeight="1" x14ac:dyDescent="0.3">
      <c r="A651" s="46"/>
      <c r="B651" s="47" t="s">
        <v>1683</v>
      </c>
      <c r="C651" s="46"/>
      <c r="D651" s="37"/>
      <c r="E651" s="37"/>
      <c r="F651" s="37"/>
      <c r="G651" s="37"/>
      <c r="H651" s="37"/>
      <c r="I651" s="37"/>
    </row>
    <row r="652" spans="1:9" ht="14.25" customHeight="1" x14ac:dyDescent="0.3">
      <c r="A652" s="46"/>
      <c r="B652" s="47" t="s">
        <v>1684</v>
      </c>
      <c r="C652" s="46"/>
      <c r="D652" s="37"/>
      <c r="E652" s="37"/>
      <c r="F652" s="37"/>
      <c r="G652" s="37"/>
      <c r="H652" s="37"/>
      <c r="I652" s="37"/>
    </row>
    <row r="653" spans="1:9" ht="14.25" customHeight="1" x14ac:dyDescent="0.3">
      <c r="A653" s="46"/>
      <c r="B653" s="47" t="s">
        <v>423</v>
      </c>
      <c r="C653" s="46"/>
      <c r="D653" s="37"/>
      <c r="E653" s="37"/>
      <c r="F653" s="37"/>
      <c r="G653" s="37"/>
      <c r="H653" s="37"/>
      <c r="I653" s="37"/>
    </row>
    <row r="654" spans="1:9" ht="14.25" customHeight="1" x14ac:dyDescent="0.3">
      <c r="A654" s="46"/>
      <c r="B654" s="47" t="s">
        <v>439</v>
      </c>
      <c r="C654" s="46"/>
      <c r="D654" s="37"/>
      <c r="E654" s="37"/>
      <c r="F654" s="37"/>
      <c r="G654" s="37"/>
      <c r="H654" s="37"/>
      <c r="I654" s="37"/>
    </row>
    <row r="655" spans="1:9" ht="14.25" customHeight="1" x14ac:dyDescent="0.3">
      <c r="A655" s="46"/>
      <c r="B655" s="47" t="s">
        <v>243</v>
      </c>
      <c r="C655" s="46"/>
      <c r="D655" s="37"/>
      <c r="E655" s="37"/>
      <c r="F655" s="37"/>
      <c r="G655" s="37"/>
      <c r="H655" s="37"/>
      <c r="I655" s="37"/>
    </row>
    <row r="656" spans="1:9" ht="14.25" customHeight="1" x14ac:dyDescent="0.3">
      <c r="A656" s="46"/>
      <c r="B656" s="47" t="s">
        <v>1685</v>
      </c>
      <c r="C656" s="46"/>
      <c r="D656" s="37"/>
      <c r="E656" s="37"/>
      <c r="F656" s="37"/>
      <c r="G656" s="37"/>
      <c r="H656" s="37"/>
      <c r="I656" s="37"/>
    </row>
    <row r="657" spans="1:9" ht="14.25" customHeight="1" x14ac:dyDescent="0.3">
      <c r="A657" s="46"/>
      <c r="B657" s="47" t="s">
        <v>254</v>
      </c>
      <c r="C657" s="46"/>
      <c r="D657" s="37"/>
      <c r="E657" s="37"/>
      <c r="F657" s="37"/>
      <c r="G657" s="37"/>
      <c r="H657" s="37"/>
      <c r="I657" s="37"/>
    </row>
    <row r="658" spans="1:9" ht="14.25" customHeight="1" x14ac:dyDescent="0.3">
      <c r="A658" s="46"/>
      <c r="B658" s="36" t="s">
        <v>103</v>
      </c>
      <c r="C658" s="46"/>
      <c r="D658" s="37"/>
      <c r="E658" s="37"/>
      <c r="F658" s="37"/>
      <c r="G658" s="37"/>
      <c r="H658" s="37"/>
      <c r="I658" s="37"/>
    </row>
    <row r="659" spans="1:9" ht="14.25" customHeight="1" x14ac:dyDescent="0.3">
      <c r="A659" s="46"/>
      <c r="B659" s="36" t="s">
        <v>413</v>
      </c>
      <c r="C659" s="46"/>
      <c r="D659" s="37"/>
      <c r="E659" s="37"/>
      <c r="F659" s="37"/>
      <c r="G659" s="37"/>
      <c r="H659" s="37"/>
      <c r="I659" s="37"/>
    </row>
    <row r="660" spans="1:9" ht="14.25" customHeight="1" x14ac:dyDescent="0.3">
      <c r="A660" s="46"/>
      <c r="B660" s="46"/>
      <c r="C660" s="46"/>
      <c r="D660" s="37"/>
      <c r="E660" s="37"/>
      <c r="F660" s="37"/>
      <c r="G660" s="37"/>
      <c r="H660" s="37"/>
      <c r="I660" s="37"/>
    </row>
    <row r="661" spans="1:9" ht="14.25" customHeight="1" x14ac:dyDescent="0.3">
      <c r="A661" s="46"/>
      <c r="B661" s="46"/>
      <c r="C661" s="46"/>
      <c r="D661" s="37"/>
      <c r="E661" s="37"/>
      <c r="F661" s="37"/>
      <c r="G661" s="37"/>
      <c r="H661" s="37"/>
      <c r="I661" s="37"/>
    </row>
    <row r="662" spans="1:9" ht="14.25" customHeight="1" x14ac:dyDescent="0.3">
      <c r="A662" s="35" t="s">
        <v>1686</v>
      </c>
      <c r="B662" s="35" t="s">
        <v>1687</v>
      </c>
      <c r="C662" s="35" t="s">
        <v>1688</v>
      </c>
      <c r="D662" s="35" t="s">
        <v>1689</v>
      </c>
      <c r="E662" s="37"/>
      <c r="F662" s="37"/>
      <c r="G662" s="37"/>
      <c r="H662" s="37"/>
      <c r="I662" s="37"/>
    </row>
    <row r="663" spans="1:9" ht="14.25" customHeight="1" x14ac:dyDescent="0.3">
      <c r="A663" s="37" t="s">
        <v>1690</v>
      </c>
      <c r="B663" s="48" t="s">
        <v>1691</v>
      </c>
      <c r="C663" s="49" t="s">
        <v>1692</v>
      </c>
      <c r="D663" s="37" t="s">
        <v>1693</v>
      </c>
      <c r="E663" s="37"/>
      <c r="F663" s="37"/>
      <c r="G663" s="37"/>
      <c r="H663" s="37"/>
      <c r="I663" s="37"/>
    </row>
    <row r="664" spans="1:9" ht="14.25" customHeight="1" x14ac:dyDescent="0.3">
      <c r="A664" s="37" t="s">
        <v>1690</v>
      </c>
      <c r="B664" s="48" t="s">
        <v>1691</v>
      </c>
      <c r="C664" s="49" t="s">
        <v>1692</v>
      </c>
      <c r="D664" s="37" t="s">
        <v>155</v>
      </c>
      <c r="E664" s="37"/>
      <c r="F664" s="37"/>
      <c r="G664" s="37"/>
      <c r="H664" s="37"/>
      <c r="I664" s="37"/>
    </row>
    <row r="665" spans="1:9" ht="14.25" customHeight="1" x14ac:dyDescent="0.3">
      <c r="A665" s="37" t="s">
        <v>1690</v>
      </c>
      <c r="B665" s="48" t="s">
        <v>1691</v>
      </c>
      <c r="C665" s="49" t="s">
        <v>1692</v>
      </c>
      <c r="D665" s="37" t="s">
        <v>562</v>
      </c>
      <c r="E665" s="37"/>
      <c r="F665" s="37"/>
      <c r="G665" s="37"/>
      <c r="H665" s="37"/>
      <c r="I665" s="37"/>
    </row>
    <row r="666" spans="1:9" ht="14.25" customHeight="1" x14ac:dyDescent="0.3">
      <c r="A666" s="37" t="s">
        <v>1694</v>
      </c>
      <c r="B666" s="50" t="s">
        <v>196</v>
      </c>
      <c r="C666" s="49" t="s">
        <v>907</v>
      </c>
      <c r="D666" s="37" t="s">
        <v>1695</v>
      </c>
      <c r="E666" s="37"/>
      <c r="F666" s="37"/>
      <c r="G666" s="37"/>
      <c r="H666" s="37"/>
      <c r="I666" s="37"/>
    </row>
    <row r="667" spans="1:9" ht="14.25" customHeight="1" x14ac:dyDescent="0.3">
      <c r="A667" s="37" t="s">
        <v>1694</v>
      </c>
      <c r="B667" s="50" t="s">
        <v>196</v>
      </c>
      <c r="C667" s="49" t="s">
        <v>907</v>
      </c>
      <c r="D667" s="37" t="s">
        <v>1696</v>
      </c>
      <c r="E667" s="37"/>
      <c r="F667" s="37"/>
      <c r="G667" s="37"/>
      <c r="H667" s="37"/>
      <c r="I667" s="37"/>
    </row>
    <row r="668" spans="1:9" ht="14.25" customHeight="1" x14ac:dyDescent="0.3">
      <c r="A668" s="37" t="s">
        <v>1694</v>
      </c>
      <c r="B668" s="50" t="s">
        <v>196</v>
      </c>
      <c r="C668" s="49" t="s">
        <v>907</v>
      </c>
      <c r="D668" s="37" t="s">
        <v>1697</v>
      </c>
      <c r="E668" s="37"/>
      <c r="F668" s="37"/>
      <c r="G668" s="37"/>
      <c r="H668" s="37"/>
      <c r="I668" s="37"/>
    </row>
    <row r="669" spans="1:9" ht="14.25" customHeight="1" x14ac:dyDescent="0.3">
      <c r="A669" s="37" t="s">
        <v>1694</v>
      </c>
      <c r="B669" s="50" t="s">
        <v>196</v>
      </c>
      <c r="C669" s="49" t="s">
        <v>907</v>
      </c>
      <c r="D669" s="37" t="s">
        <v>1698</v>
      </c>
      <c r="E669" s="37"/>
      <c r="F669" s="37"/>
      <c r="G669" s="37"/>
      <c r="H669" s="37"/>
      <c r="I669" s="37"/>
    </row>
    <row r="670" spans="1:9" ht="14.25" customHeight="1" x14ac:dyDescent="0.3">
      <c r="A670" s="37" t="s">
        <v>1699</v>
      </c>
      <c r="B670" s="51" t="s">
        <v>119</v>
      </c>
      <c r="C670" s="49" t="s">
        <v>1700</v>
      </c>
      <c r="D670" s="37" t="s">
        <v>1701</v>
      </c>
      <c r="E670" s="37"/>
      <c r="F670" s="37"/>
      <c r="G670" s="37"/>
      <c r="H670" s="37"/>
      <c r="I670" s="37"/>
    </row>
    <row r="671" spans="1:9" ht="14.25" customHeight="1" x14ac:dyDescent="0.3">
      <c r="A671" s="37" t="s">
        <v>1699</v>
      </c>
      <c r="B671" s="51" t="s">
        <v>119</v>
      </c>
      <c r="C671" s="49" t="s">
        <v>1700</v>
      </c>
      <c r="D671" s="37" t="s">
        <v>709</v>
      </c>
      <c r="E671" s="37"/>
      <c r="F671" s="37"/>
      <c r="G671" s="37"/>
      <c r="H671" s="37"/>
      <c r="I671" s="37"/>
    </row>
    <row r="672" spans="1:9" ht="14.25" customHeight="1" x14ac:dyDescent="0.3">
      <c r="A672" s="37" t="s">
        <v>1699</v>
      </c>
      <c r="B672" s="51" t="s">
        <v>119</v>
      </c>
      <c r="C672" s="49" t="s">
        <v>1700</v>
      </c>
      <c r="D672" s="37" t="s">
        <v>729</v>
      </c>
      <c r="E672" s="37"/>
      <c r="F672" s="37"/>
      <c r="G672" s="37"/>
      <c r="H672" s="37"/>
      <c r="I672" s="37"/>
    </row>
    <row r="673" spans="1:9" ht="14.25" customHeight="1" x14ac:dyDescent="0.3">
      <c r="A673" s="37" t="s">
        <v>1699</v>
      </c>
      <c r="B673" s="51" t="s">
        <v>119</v>
      </c>
      <c r="C673" s="49" t="s">
        <v>1700</v>
      </c>
      <c r="D673" s="37" t="s">
        <v>982</v>
      </c>
      <c r="E673" s="37"/>
      <c r="F673" s="37"/>
      <c r="G673" s="37"/>
      <c r="H673" s="37"/>
      <c r="I673" s="37"/>
    </row>
    <row r="674" spans="1:9" ht="14.25" customHeight="1" x14ac:dyDescent="0.3">
      <c r="A674" s="37" t="s">
        <v>97</v>
      </c>
      <c r="B674" s="52" t="s">
        <v>98</v>
      </c>
      <c r="C674" s="49" t="s">
        <v>1702</v>
      </c>
      <c r="D674" s="37" t="s">
        <v>1703</v>
      </c>
      <c r="E674" s="37"/>
      <c r="F674" s="37"/>
      <c r="G674" s="37"/>
      <c r="H674" s="37"/>
      <c r="I674" s="37"/>
    </row>
    <row r="675" spans="1:9" ht="14.25" customHeight="1" x14ac:dyDescent="0.3">
      <c r="A675" s="37" t="s">
        <v>97</v>
      </c>
      <c r="B675" s="52" t="s">
        <v>98</v>
      </c>
      <c r="C675" s="49" t="s">
        <v>1702</v>
      </c>
      <c r="D675" s="37" t="s">
        <v>1704</v>
      </c>
      <c r="E675" s="37"/>
      <c r="F675" s="37"/>
      <c r="G675" s="37"/>
      <c r="H675" s="37"/>
      <c r="I675" s="37"/>
    </row>
    <row r="676" spans="1:9" ht="14.25" customHeight="1" x14ac:dyDescent="0.3">
      <c r="A676" s="37" t="s">
        <v>97</v>
      </c>
      <c r="B676" s="52" t="s">
        <v>98</v>
      </c>
      <c r="C676" s="49" t="s">
        <v>1702</v>
      </c>
      <c r="D676" s="37" t="s">
        <v>1705</v>
      </c>
      <c r="E676" s="37"/>
      <c r="F676" s="37"/>
      <c r="G676" s="37"/>
      <c r="H676" s="37"/>
      <c r="I676" s="37"/>
    </row>
    <row r="677" spans="1:9" ht="14.25" customHeight="1" x14ac:dyDescent="0.3">
      <c r="A677" s="37" t="s">
        <v>97</v>
      </c>
      <c r="B677" s="52" t="s">
        <v>98</v>
      </c>
      <c r="C677" s="49" t="s">
        <v>1702</v>
      </c>
      <c r="D677" s="37" t="s">
        <v>1706</v>
      </c>
      <c r="E677" s="37"/>
      <c r="F677" s="37"/>
      <c r="G677" s="37"/>
      <c r="H677" s="37"/>
      <c r="I677" s="37"/>
    </row>
    <row r="678" spans="1:9" ht="14.25" customHeight="1" x14ac:dyDescent="0.3">
      <c r="A678" s="37" t="s">
        <v>97</v>
      </c>
      <c r="B678" s="52" t="s">
        <v>98</v>
      </c>
      <c r="C678" s="49" t="s">
        <v>1702</v>
      </c>
      <c r="D678" s="37" t="s">
        <v>1707</v>
      </c>
      <c r="E678" s="37"/>
      <c r="F678" s="37"/>
      <c r="G678" s="37"/>
      <c r="H678" s="37"/>
      <c r="I678" s="37"/>
    </row>
    <row r="679" spans="1:9" ht="14.25" customHeight="1" x14ac:dyDescent="0.3">
      <c r="A679" s="37" t="s">
        <v>685</v>
      </c>
      <c r="B679" s="53" t="s">
        <v>1708</v>
      </c>
      <c r="C679" s="49" t="s">
        <v>1709</v>
      </c>
      <c r="D679" s="37" t="s">
        <v>1710</v>
      </c>
      <c r="E679" s="37"/>
      <c r="F679" s="37"/>
      <c r="G679" s="37"/>
      <c r="H679" s="37"/>
      <c r="I679" s="37"/>
    </row>
    <row r="680" spans="1:9" ht="14.25" customHeight="1" x14ac:dyDescent="0.3">
      <c r="A680" s="37" t="s">
        <v>685</v>
      </c>
      <c r="B680" s="53" t="s">
        <v>1708</v>
      </c>
      <c r="C680" s="49" t="s">
        <v>1709</v>
      </c>
      <c r="D680" s="37" t="s">
        <v>1711</v>
      </c>
      <c r="E680" s="37"/>
      <c r="F680" s="37"/>
      <c r="G680" s="37"/>
      <c r="H680" s="37"/>
      <c r="I680" s="37"/>
    </row>
    <row r="681" spans="1:9" ht="14.25" customHeight="1" x14ac:dyDescent="0.3">
      <c r="A681" s="37" t="s">
        <v>685</v>
      </c>
      <c r="B681" s="53" t="s">
        <v>1708</v>
      </c>
      <c r="C681" s="49" t="s">
        <v>1709</v>
      </c>
      <c r="D681" s="37" t="s">
        <v>1712</v>
      </c>
      <c r="E681" s="37"/>
      <c r="F681" s="37"/>
      <c r="G681" s="37"/>
      <c r="H681" s="37"/>
      <c r="I681" s="37"/>
    </row>
    <row r="682" spans="1:9" ht="14.25" customHeight="1" x14ac:dyDescent="0.3">
      <c r="A682" s="37" t="s">
        <v>1713</v>
      </c>
      <c r="B682" s="52" t="s">
        <v>1714</v>
      </c>
      <c r="C682" s="49" t="s">
        <v>1715</v>
      </c>
      <c r="D682" s="37" t="s">
        <v>1716</v>
      </c>
      <c r="E682" s="37"/>
      <c r="F682" s="37"/>
      <c r="G682" s="37"/>
      <c r="H682" s="37"/>
      <c r="I682" s="37"/>
    </row>
    <row r="683" spans="1:9" ht="14.25" customHeight="1" x14ac:dyDescent="0.3">
      <c r="A683" s="37" t="s">
        <v>1713</v>
      </c>
      <c r="B683" s="52" t="s">
        <v>1714</v>
      </c>
      <c r="C683" s="49" t="s">
        <v>1715</v>
      </c>
      <c r="D683" s="37" t="s">
        <v>1717</v>
      </c>
      <c r="E683" s="37"/>
      <c r="F683" s="37"/>
      <c r="G683" s="37"/>
      <c r="H683" s="37"/>
      <c r="I683" s="37"/>
    </row>
    <row r="684" spans="1:9" ht="14.25" customHeight="1" x14ac:dyDescent="0.3">
      <c r="A684" s="37" t="s">
        <v>1713</v>
      </c>
      <c r="B684" s="52" t="s">
        <v>1718</v>
      </c>
      <c r="C684" s="49" t="s">
        <v>1715</v>
      </c>
      <c r="D684" s="37" t="s">
        <v>1719</v>
      </c>
      <c r="E684" s="37"/>
      <c r="F684" s="37"/>
      <c r="G684" s="37"/>
      <c r="H684" s="37"/>
      <c r="I684" s="37"/>
    </row>
    <row r="685" spans="1:9" ht="14.25" customHeight="1" x14ac:dyDescent="0.3">
      <c r="A685" s="37" t="s">
        <v>436</v>
      </c>
      <c r="B685" s="54" t="s">
        <v>437</v>
      </c>
      <c r="C685" s="49" t="s">
        <v>1720</v>
      </c>
      <c r="D685" s="37" t="s">
        <v>1721</v>
      </c>
      <c r="E685" s="37"/>
      <c r="F685" s="37"/>
      <c r="G685" s="37"/>
      <c r="H685" s="37"/>
      <c r="I685" s="37"/>
    </row>
    <row r="686" spans="1:9" ht="14.25" customHeight="1" x14ac:dyDescent="0.3">
      <c r="A686" s="37" t="s">
        <v>436</v>
      </c>
      <c r="B686" s="54" t="s">
        <v>437</v>
      </c>
      <c r="C686" s="49" t="s">
        <v>1720</v>
      </c>
      <c r="D686" s="37" t="s">
        <v>924</v>
      </c>
      <c r="E686" s="37"/>
      <c r="F686" s="37"/>
      <c r="G686" s="37"/>
      <c r="H686" s="37"/>
      <c r="I686" s="37"/>
    </row>
    <row r="687" spans="1:9" ht="14.25" customHeight="1" x14ac:dyDescent="0.3">
      <c r="A687" s="37" t="s">
        <v>436</v>
      </c>
      <c r="B687" s="30" t="s">
        <v>437</v>
      </c>
      <c r="C687" s="49" t="s">
        <v>1720</v>
      </c>
      <c r="D687" s="37" t="s">
        <v>1722</v>
      </c>
      <c r="E687" s="37"/>
      <c r="F687" s="37"/>
      <c r="G687" s="37"/>
      <c r="H687" s="37"/>
      <c r="I687" s="37"/>
    </row>
    <row r="688" spans="1:9" ht="14.25" customHeight="1" x14ac:dyDescent="0.3">
      <c r="A688" s="37" t="s">
        <v>436</v>
      </c>
      <c r="B688" s="30" t="s">
        <v>437</v>
      </c>
      <c r="C688" s="49" t="s">
        <v>1720</v>
      </c>
      <c r="D688" s="37" t="s">
        <v>1723</v>
      </c>
      <c r="E688" s="37"/>
      <c r="F688" s="37"/>
      <c r="G688" s="37"/>
      <c r="H688" s="37"/>
      <c r="I688" s="37"/>
    </row>
    <row r="689" spans="1:9" ht="14.25" customHeight="1" x14ac:dyDescent="0.3">
      <c r="A689" s="37"/>
      <c r="B689" s="55"/>
      <c r="C689" s="46"/>
      <c r="D689" s="37"/>
      <c r="E689" s="37"/>
      <c r="F689" s="37"/>
      <c r="G689" s="37"/>
      <c r="H689" s="37"/>
      <c r="I689" s="37"/>
    </row>
    <row r="690" spans="1:9" ht="14.25" customHeight="1" x14ac:dyDescent="0.3">
      <c r="A690" s="37"/>
      <c r="B690" s="55"/>
      <c r="C690" s="46"/>
      <c r="D690" s="37"/>
      <c r="E690" s="37"/>
      <c r="F690" s="37"/>
      <c r="G690" s="37"/>
      <c r="H690" s="37"/>
      <c r="I690" s="37"/>
    </row>
    <row r="691" spans="1:9" ht="14.25" customHeight="1" x14ac:dyDescent="0.3">
      <c r="A691" s="35" t="s">
        <v>1724</v>
      </c>
      <c r="B691" s="55"/>
      <c r="C691" s="46"/>
      <c r="D691" s="37"/>
      <c r="E691" s="37"/>
      <c r="F691" s="37"/>
      <c r="G691" s="37"/>
      <c r="H691" s="37"/>
      <c r="I691" s="37"/>
    </row>
    <row r="692" spans="1:9" ht="14.25" customHeight="1" x14ac:dyDescent="0.3">
      <c r="A692" s="56" t="s">
        <v>1725</v>
      </c>
      <c r="B692" s="55"/>
      <c r="C692" s="46"/>
      <c r="D692" s="37"/>
      <c r="E692" s="37"/>
      <c r="F692" s="37"/>
      <c r="G692" s="37"/>
      <c r="H692" s="37"/>
      <c r="I692" s="37"/>
    </row>
    <row r="693" spans="1:9" ht="14.25" customHeight="1" x14ac:dyDescent="0.3">
      <c r="A693" s="56" t="s">
        <v>129</v>
      </c>
      <c r="B693" s="55"/>
      <c r="C693" s="46"/>
      <c r="D693" s="37"/>
      <c r="E693" s="37"/>
      <c r="F693" s="37"/>
      <c r="G693" s="37"/>
      <c r="H693" s="37"/>
      <c r="I693" s="37"/>
    </row>
    <row r="694" spans="1:9" ht="14.25" customHeight="1" x14ac:dyDescent="0.3">
      <c r="A694" s="31" t="s">
        <v>803</v>
      </c>
      <c r="B694" s="46"/>
      <c r="C694" s="46"/>
      <c r="D694" s="37"/>
      <c r="E694" s="37"/>
      <c r="F694" s="37"/>
      <c r="G694" s="37"/>
      <c r="H694" s="37"/>
      <c r="I694" s="37"/>
    </row>
    <row r="695" spans="1:9" ht="14.25" customHeight="1" x14ac:dyDescent="0.3">
      <c r="A695" s="31"/>
      <c r="B695" s="46"/>
      <c r="C695" s="46"/>
      <c r="D695" s="37"/>
      <c r="E695" s="37"/>
      <c r="F695" s="37"/>
      <c r="G695" s="37"/>
      <c r="H695" s="37"/>
      <c r="I695" s="37"/>
    </row>
    <row r="696" spans="1:9" ht="14.25" customHeight="1" x14ac:dyDescent="0.3">
      <c r="A696" s="46"/>
      <c r="B696" s="46"/>
      <c r="C696" s="46"/>
      <c r="D696" s="37"/>
      <c r="E696" s="37"/>
      <c r="F696" s="37"/>
      <c r="G696" s="37"/>
      <c r="H696" s="37"/>
      <c r="I696" s="37"/>
    </row>
    <row r="697" spans="1:9" ht="14.25" customHeight="1" x14ac:dyDescent="0.3">
      <c r="A697" s="35" t="s">
        <v>1726</v>
      </c>
      <c r="B697" s="46"/>
      <c r="C697" s="46"/>
      <c r="D697" s="37"/>
      <c r="E697" s="37"/>
      <c r="F697" s="37"/>
      <c r="G697" s="37"/>
      <c r="H697" s="37"/>
      <c r="I697" s="37"/>
    </row>
    <row r="698" spans="1:9" ht="14.25" customHeight="1" x14ac:dyDescent="0.3">
      <c r="A698" s="35" t="s">
        <v>1727</v>
      </c>
      <c r="B698" s="35" t="s">
        <v>1728</v>
      </c>
      <c r="C698" s="35" t="s">
        <v>1729</v>
      </c>
      <c r="D698" s="37"/>
      <c r="E698" s="37"/>
      <c r="F698" s="37"/>
      <c r="G698" s="37"/>
      <c r="H698" s="37"/>
      <c r="I698" s="37"/>
    </row>
    <row r="699" spans="1:9" ht="14.25" customHeight="1" x14ac:dyDescent="0.3">
      <c r="A699" s="308" t="s">
        <v>1730</v>
      </c>
      <c r="B699" s="57">
        <v>19</v>
      </c>
      <c r="C699" s="57" t="s">
        <v>1731</v>
      </c>
      <c r="D699" s="37"/>
      <c r="E699" s="37"/>
      <c r="F699" s="37"/>
      <c r="G699" s="37"/>
      <c r="H699" s="37"/>
      <c r="I699" s="37"/>
    </row>
    <row r="700" spans="1:9" ht="14.25" customHeight="1" x14ac:dyDescent="0.3">
      <c r="A700" s="309"/>
      <c r="B700" s="58">
        <v>19</v>
      </c>
      <c r="C700" s="58" t="s">
        <v>1731</v>
      </c>
      <c r="D700" s="37"/>
      <c r="E700" s="37"/>
      <c r="F700" s="37"/>
      <c r="G700" s="37"/>
      <c r="H700" s="37"/>
      <c r="I700" s="37"/>
    </row>
    <row r="701" spans="1:9" ht="14.25" customHeight="1" x14ac:dyDescent="0.3">
      <c r="A701" s="309"/>
      <c r="B701" s="58">
        <v>19</v>
      </c>
      <c r="C701" s="58" t="s">
        <v>1731</v>
      </c>
      <c r="D701" s="37"/>
      <c r="E701" s="37"/>
      <c r="F701" s="37"/>
      <c r="G701" s="37"/>
      <c r="H701" s="37"/>
      <c r="I701" s="37"/>
    </row>
    <row r="702" spans="1:9" ht="14.25" customHeight="1" x14ac:dyDescent="0.3">
      <c r="A702" s="309"/>
      <c r="B702" s="58">
        <v>19</v>
      </c>
      <c r="C702" s="58" t="s">
        <v>1731</v>
      </c>
      <c r="D702" s="37"/>
      <c r="E702" s="37"/>
      <c r="F702" s="37"/>
      <c r="G702" s="37"/>
      <c r="H702" s="37"/>
      <c r="I702" s="37"/>
    </row>
    <row r="703" spans="1:9" ht="14.25" customHeight="1" x14ac:dyDescent="0.3">
      <c r="A703" s="310"/>
      <c r="B703" s="59">
        <v>19</v>
      </c>
      <c r="C703" s="59" t="s">
        <v>1731</v>
      </c>
      <c r="D703" s="37"/>
      <c r="E703" s="37"/>
      <c r="F703" s="37"/>
      <c r="G703" s="37"/>
      <c r="H703" s="37"/>
      <c r="I703" s="37"/>
    </row>
    <row r="704" spans="1:9" ht="14.25" customHeight="1" x14ac:dyDescent="0.3">
      <c r="A704" s="308" t="s">
        <v>104</v>
      </c>
      <c r="B704" s="57">
        <v>19</v>
      </c>
      <c r="C704" s="57" t="s">
        <v>1732</v>
      </c>
      <c r="D704" s="37"/>
      <c r="E704" s="37"/>
      <c r="F704" s="37"/>
      <c r="G704" s="37"/>
      <c r="H704" s="37"/>
      <c r="I704" s="37"/>
    </row>
    <row r="705" spans="1:9" ht="14.25" customHeight="1" x14ac:dyDescent="0.3">
      <c r="A705" s="309"/>
      <c r="B705" s="58">
        <v>19</v>
      </c>
      <c r="C705" s="58" t="s">
        <v>1732</v>
      </c>
      <c r="D705" s="37"/>
      <c r="E705" s="37"/>
      <c r="F705" s="37"/>
      <c r="G705" s="37"/>
      <c r="H705" s="37"/>
      <c r="I705" s="37"/>
    </row>
    <row r="706" spans="1:9" ht="14.25" customHeight="1" x14ac:dyDescent="0.3">
      <c r="A706" s="309"/>
      <c r="B706" s="58">
        <v>19</v>
      </c>
      <c r="C706" s="58" t="s">
        <v>1732</v>
      </c>
      <c r="D706" s="37"/>
      <c r="E706" s="37"/>
      <c r="F706" s="37"/>
      <c r="G706" s="37"/>
      <c r="H706" s="37"/>
      <c r="I706" s="37"/>
    </row>
    <row r="707" spans="1:9" ht="14.25" customHeight="1" x14ac:dyDescent="0.3">
      <c r="A707" s="309"/>
      <c r="B707" s="58">
        <v>19</v>
      </c>
      <c r="C707" s="58" t="s">
        <v>1732</v>
      </c>
      <c r="D707" s="37"/>
      <c r="E707" s="37"/>
      <c r="F707" s="37"/>
      <c r="G707" s="37"/>
      <c r="H707" s="37"/>
      <c r="I707" s="37"/>
    </row>
    <row r="708" spans="1:9" ht="14.25" customHeight="1" x14ac:dyDescent="0.3">
      <c r="A708" s="309"/>
      <c r="B708" s="58">
        <v>19</v>
      </c>
      <c r="C708" s="58" t="s">
        <v>1732</v>
      </c>
      <c r="D708" s="37"/>
      <c r="E708" s="37"/>
      <c r="F708" s="37"/>
      <c r="G708" s="37"/>
      <c r="H708" s="37"/>
      <c r="I708" s="37"/>
    </row>
    <row r="709" spans="1:9" ht="14.25" customHeight="1" x14ac:dyDescent="0.3">
      <c r="A709" s="309"/>
      <c r="B709" s="58">
        <v>19</v>
      </c>
      <c r="C709" s="58" t="s">
        <v>1732</v>
      </c>
      <c r="D709" s="37"/>
      <c r="E709" s="37"/>
      <c r="F709" s="37"/>
      <c r="G709" s="37"/>
      <c r="H709" s="37"/>
      <c r="I709" s="37"/>
    </row>
    <row r="710" spans="1:9" ht="14.25" customHeight="1" x14ac:dyDescent="0.3">
      <c r="A710" s="309"/>
      <c r="B710" s="58">
        <v>19</v>
      </c>
      <c r="C710" s="58" t="s">
        <v>1732</v>
      </c>
      <c r="D710" s="37"/>
      <c r="E710" s="37"/>
      <c r="F710" s="37"/>
      <c r="G710" s="37"/>
      <c r="H710" s="37"/>
      <c r="I710" s="37"/>
    </row>
    <row r="711" spans="1:9" ht="14.25" customHeight="1" x14ac:dyDescent="0.3">
      <c r="A711" s="309"/>
      <c r="B711" s="58">
        <v>19</v>
      </c>
      <c r="C711" s="58" t="s">
        <v>1732</v>
      </c>
      <c r="D711" s="37"/>
      <c r="E711" s="37"/>
      <c r="F711" s="37"/>
      <c r="G711" s="37"/>
      <c r="H711" s="37"/>
      <c r="I711" s="37"/>
    </row>
    <row r="712" spans="1:9" ht="14.25" customHeight="1" x14ac:dyDescent="0.3">
      <c r="A712" s="309"/>
      <c r="B712" s="58">
        <v>19</v>
      </c>
      <c r="C712" s="58" t="s">
        <v>1732</v>
      </c>
      <c r="D712" s="37"/>
      <c r="E712" s="37"/>
      <c r="F712" s="37"/>
      <c r="G712" s="37"/>
      <c r="H712" s="37"/>
      <c r="I712" s="37"/>
    </row>
    <row r="713" spans="1:9" ht="14.25" customHeight="1" x14ac:dyDescent="0.3">
      <c r="A713" s="309"/>
      <c r="B713" s="58">
        <v>19</v>
      </c>
      <c r="C713" s="58" t="s">
        <v>1732</v>
      </c>
      <c r="D713" s="37"/>
      <c r="E713" s="37"/>
      <c r="F713" s="37"/>
      <c r="G713" s="37"/>
      <c r="H713" s="37"/>
      <c r="I713" s="37"/>
    </row>
    <row r="714" spans="1:9" ht="14.25" customHeight="1" x14ac:dyDescent="0.3">
      <c r="A714" s="309"/>
      <c r="B714" s="58">
        <v>19</v>
      </c>
      <c r="C714" s="58" t="s">
        <v>1732</v>
      </c>
      <c r="D714" s="37"/>
      <c r="E714" s="37"/>
      <c r="F714" s="37"/>
      <c r="G714" s="37"/>
      <c r="H714" s="37"/>
      <c r="I714" s="37"/>
    </row>
    <row r="715" spans="1:9" ht="14.25" customHeight="1" x14ac:dyDescent="0.3">
      <c r="A715" s="309"/>
      <c r="B715" s="58">
        <v>19</v>
      </c>
      <c r="C715" s="58" t="s">
        <v>1732</v>
      </c>
      <c r="D715" s="37"/>
      <c r="E715" s="37"/>
      <c r="F715" s="37"/>
      <c r="G715" s="37"/>
      <c r="H715" s="37"/>
      <c r="I715" s="37"/>
    </row>
    <row r="716" spans="1:9" ht="14.25" customHeight="1" x14ac:dyDescent="0.3">
      <c r="A716" s="309"/>
      <c r="B716" s="58">
        <v>19</v>
      </c>
      <c r="C716" s="58" t="s">
        <v>1732</v>
      </c>
      <c r="D716" s="37"/>
      <c r="E716" s="37"/>
      <c r="F716" s="37"/>
      <c r="G716" s="37"/>
      <c r="H716" s="37"/>
      <c r="I716" s="37"/>
    </row>
    <row r="717" spans="1:9" ht="14.25" customHeight="1" x14ac:dyDescent="0.3">
      <c r="A717" s="309"/>
      <c r="B717" s="58">
        <v>19</v>
      </c>
      <c r="C717" s="58" t="s">
        <v>1732</v>
      </c>
      <c r="D717" s="37"/>
      <c r="E717" s="37"/>
      <c r="F717" s="37"/>
      <c r="G717" s="37"/>
      <c r="H717" s="37"/>
      <c r="I717" s="37"/>
    </row>
    <row r="718" spans="1:9" ht="14.25" customHeight="1" x14ac:dyDescent="0.3">
      <c r="A718" s="309"/>
      <c r="B718" s="58">
        <v>19</v>
      </c>
      <c r="C718" s="58" t="s">
        <v>1732</v>
      </c>
      <c r="D718" s="37"/>
      <c r="E718" s="37"/>
      <c r="F718" s="37"/>
      <c r="G718" s="37"/>
      <c r="H718" s="37"/>
      <c r="I718" s="37"/>
    </row>
    <row r="719" spans="1:9" ht="14.25" customHeight="1" x14ac:dyDescent="0.3">
      <c r="A719" s="309"/>
      <c r="B719" s="58">
        <v>19</v>
      </c>
      <c r="C719" s="58" t="s">
        <v>1732</v>
      </c>
      <c r="D719" s="37"/>
      <c r="E719" s="37"/>
      <c r="F719" s="37"/>
      <c r="G719" s="37"/>
      <c r="H719" s="37"/>
      <c r="I719" s="37"/>
    </row>
    <row r="720" spans="1:9" ht="14.25" customHeight="1" x14ac:dyDescent="0.3">
      <c r="A720" s="309"/>
      <c r="B720" s="58">
        <v>19</v>
      </c>
      <c r="C720" s="58" t="s">
        <v>1732</v>
      </c>
      <c r="D720" s="37"/>
      <c r="E720" s="37"/>
      <c r="F720" s="37"/>
      <c r="G720" s="37"/>
      <c r="H720" s="37"/>
      <c r="I720" s="37"/>
    </row>
    <row r="721" spans="1:9" ht="14.25" customHeight="1" x14ac:dyDescent="0.3">
      <c r="A721" s="309"/>
      <c r="B721" s="58">
        <v>19</v>
      </c>
      <c r="C721" s="58" t="s">
        <v>1732</v>
      </c>
      <c r="D721" s="37"/>
      <c r="E721" s="37"/>
      <c r="F721" s="37"/>
      <c r="G721" s="37"/>
      <c r="H721" s="37"/>
      <c r="I721" s="37"/>
    </row>
    <row r="722" spans="1:9" ht="14.25" customHeight="1" x14ac:dyDescent="0.3">
      <c r="A722" s="309"/>
      <c r="B722" s="58">
        <v>19</v>
      </c>
      <c r="C722" s="58" t="s">
        <v>1732</v>
      </c>
      <c r="D722" s="37"/>
      <c r="E722" s="37"/>
      <c r="F722" s="37"/>
      <c r="G722" s="37"/>
      <c r="H722" s="37"/>
      <c r="I722" s="37"/>
    </row>
    <row r="723" spans="1:9" ht="14.25" customHeight="1" x14ac:dyDescent="0.3">
      <c r="A723" s="309"/>
      <c r="B723" s="58">
        <v>19</v>
      </c>
      <c r="C723" s="58" t="s">
        <v>1732</v>
      </c>
      <c r="D723" s="37"/>
      <c r="E723" s="37"/>
      <c r="F723" s="37"/>
      <c r="G723" s="37"/>
      <c r="H723" s="37"/>
      <c r="I723" s="37"/>
    </row>
    <row r="724" spans="1:9" ht="14.25" customHeight="1" x14ac:dyDescent="0.3">
      <c r="A724" s="309"/>
      <c r="B724" s="58">
        <v>19</v>
      </c>
      <c r="C724" s="58" t="s">
        <v>1732</v>
      </c>
      <c r="D724" s="37"/>
      <c r="E724" s="37"/>
      <c r="F724" s="37"/>
      <c r="G724" s="37"/>
      <c r="H724" s="37"/>
      <c r="I724" s="37"/>
    </row>
    <row r="725" spans="1:9" ht="14.25" customHeight="1" x14ac:dyDescent="0.3">
      <c r="A725" s="309"/>
      <c r="B725" s="58">
        <v>19</v>
      </c>
      <c r="C725" s="58" t="s">
        <v>1732</v>
      </c>
      <c r="D725" s="37"/>
      <c r="E725" s="37"/>
      <c r="F725" s="37"/>
      <c r="G725" s="37"/>
      <c r="H725" s="37"/>
      <c r="I725" s="37"/>
    </row>
    <row r="726" spans="1:9" ht="14.25" customHeight="1" x14ac:dyDescent="0.3">
      <c r="A726" s="309"/>
      <c r="B726" s="58">
        <v>19</v>
      </c>
      <c r="C726" s="58" t="s">
        <v>1732</v>
      </c>
      <c r="D726" s="37"/>
      <c r="E726" s="37"/>
      <c r="F726" s="37"/>
      <c r="G726" s="37"/>
      <c r="H726" s="37"/>
      <c r="I726" s="37"/>
    </row>
    <row r="727" spans="1:9" ht="14.25" customHeight="1" x14ac:dyDescent="0.3">
      <c r="A727" s="309"/>
      <c r="B727" s="58">
        <v>19</v>
      </c>
      <c r="C727" s="58" t="s">
        <v>1732</v>
      </c>
      <c r="D727" s="37"/>
      <c r="E727" s="37"/>
      <c r="F727" s="37"/>
      <c r="G727" s="37"/>
      <c r="H727" s="37"/>
      <c r="I727" s="37"/>
    </row>
    <row r="728" spans="1:9" ht="14.25" customHeight="1" x14ac:dyDescent="0.3">
      <c r="A728" s="309"/>
      <c r="B728" s="58">
        <v>19</v>
      </c>
      <c r="C728" s="58" t="s">
        <v>1732</v>
      </c>
      <c r="D728" s="37"/>
      <c r="E728" s="37"/>
      <c r="F728" s="37"/>
      <c r="G728" s="37"/>
      <c r="H728" s="37"/>
      <c r="I728" s="37"/>
    </row>
    <row r="729" spans="1:9" ht="14.25" customHeight="1" x14ac:dyDescent="0.3">
      <c r="A729" s="309"/>
      <c r="B729" s="58">
        <v>19</v>
      </c>
      <c r="C729" s="58" t="s">
        <v>1732</v>
      </c>
      <c r="D729" s="37"/>
      <c r="E729" s="37"/>
      <c r="F729" s="37"/>
      <c r="G729" s="37"/>
      <c r="H729" s="37"/>
      <c r="I729" s="37"/>
    </row>
    <row r="730" spans="1:9" ht="14.25" customHeight="1" x14ac:dyDescent="0.3">
      <c r="A730" s="309"/>
      <c r="B730" s="58">
        <v>19</v>
      </c>
      <c r="C730" s="58" t="s">
        <v>1732</v>
      </c>
      <c r="D730" s="37"/>
      <c r="E730" s="37"/>
      <c r="F730" s="37"/>
      <c r="G730" s="37"/>
      <c r="H730" s="37"/>
      <c r="I730" s="37"/>
    </row>
    <row r="731" spans="1:9" ht="14.25" customHeight="1" x14ac:dyDescent="0.3">
      <c r="A731" s="309"/>
      <c r="B731" s="58">
        <v>19</v>
      </c>
      <c r="C731" s="58" t="s">
        <v>1732</v>
      </c>
      <c r="D731" s="37"/>
      <c r="E731" s="37"/>
      <c r="F731" s="37"/>
      <c r="G731" s="37"/>
      <c r="H731" s="37"/>
      <c r="I731" s="37"/>
    </row>
    <row r="732" spans="1:9" ht="14.25" customHeight="1" x14ac:dyDescent="0.3">
      <c r="A732" s="309"/>
      <c r="B732" s="58">
        <v>19</v>
      </c>
      <c r="C732" s="58" t="s">
        <v>1732</v>
      </c>
      <c r="D732" s="37"/>
      <c r="E732" s="37"/>
      <c r="F732" s="37"/>
      <c r="G732" s="37"/>
      <c r="H732" s="37"/>
      <c r="I732" s="37"/>
    </row>
    <row r="733" spans="1:9" ht="14.25" customHeight="1" x14ac:dyDescent="0.3">
      <c r="A733" s="309"/>
      <c r="B733" s="58">
        <v>19</v>
      </c>
      <c r="C733" s="58" t="s">
        <v>1732</v>
      </c>
      <c r="D733" s="37"/>
      <c r="E733" s="37"/>
      <c r="F733" s="37"/>
      <c r="G733" s="37"/>
      <c r="H733" s="37"/>
      <c r="I733" s="37"/>
    </row>
    <row r="734" spans="1:9" ht="14.25" customHeight="1" x14ac:dyDescent="0.3">
      <c r="A734" s="309"/>
      <c r="B734" s="58">
        <v>19</v>
      </c>
      <c r="C734" s="58" t="s">
        <v>1732</v>
      </c>
      <c r="D734" s="37"/>
      <c r="E734" s="37"/>
      <c r="F734" s="37"/>
      <c r="G734" s="37"/>
      <c r="H734" s="37"/>
      <c r="I734" s="37"/>
    </row>
    <row r="735" spans="1:9" ht="14.25" customHeight="1" x14ac:dyDescent="0.3">
      <c r="A735" s="309"/>
      <c r="B735" s="58">
        <v>19</v>
      </c>
      <c r="C735" s="58" t="s">
        <v>1732</v>
      </c>
      <c r="D735" s="37"/>
      <c r="E735" s="37"/>
      <c r="F735" s="37"/>
      <c r="G735" s="37"/>
      <c r="H735" s="37"/>
      <c r="I735" s="37"/>
    </row>
    <row r="736" spans="1:9" ht="14.25" customHeight="1" x14ac:dyDescent="0.3">
      <c r="A736" s="309"/>
      <c r="B736" s="58">
        <v>19</v>
      </c>
      <c r="C736" s="58" t="s">
        <v>1732</v>
      </c>
      <c r="D736" s="37"/>
      <c r="E736" s="37"/>
      <c r="F736" s="37"/>
      <c r="G736" s="37"/>
      <c r="H736" s="37"/>
      <c r="I736" s="37"/>
    </row>
    <row r="737" spans="1:9" ht="14.25" customHeight="1" x14ac:dyDescent="0.3">
      <c r="A737" s="309"/>
      <c r="B737" s="58">
        <v>19</v>
      </c>
      <c r="C737" s="58" t="s">
        <v>1732</v>
      </c>
      <c r="D737" s="37"/>
      <c r="E737" s="37"/>
      <c r="F737" s="37"/>
      <c r="G737" s="37"/>
      <c r="H737" s="37"/>
      <c r="I737" s="37"/>
    </row>
    <row r="738" spans="1:9" ht="14.25" customHeight="1" x14ac:dyDescent="0.3">
      <c r="A738" s="309"/>
      <c r="B738" s="58">
        <v>19</v>
      </c>
      <c r="C738" s="58" t="s">
        <v>1732</v>
      </c>
      <c r="D738" s="37"/>
      <c r="E738" s="37"/>
      <c r="F738" s="37"/>
      <c r="G738" s="37"/>
      <c r="H738" s="37"/>
      <c r="I738" s="37"/>
    </row>
    <row r="739" spans="1:9" ht="14.25" customHeight="1" x14ac:dyDescent="0.3">
      <c r="A739" s="309"/>
      <c r="B739" s="58">
        <v>19</v>
      </c>
      <c r="C739" s="58" t="s">
        <v>1732</v>
      </c>
      <c r="D739" s="37"/>
      <c r="E739" s="37"/>
      <c r="F739" s="37"/>
      <c r="G739" s="37"/>
      <c r="H739" s="37"/>
      <c r="I739" s="37"/>
    </row>
    <row r="740" spans="1:9" ht="14.25" customHeight="1" x14ac:dyDescent="0.3">
      <c r="A740" s="309"/>
      <c r="B740" s="58">
        <v>19</v>
      </c>
      <c r="C740" s="58" t="s">
        <v>1732</v>
      </c>
      <c r="D740" s="37"/>
      <c r="E740" s="37"/>
      <c r="F740" s="37"/>
      <c r="G740" s="37"/>
      <c r="H740" s="37"/>
      <c r="I740" s="37"/>
    </row>
    <row r="741" spans="1:9" ht="14.25" customHeight="1" x14ac:dyDescent="0.3">
      <c r="A741" s="309"/>
      <c r="B741" s="58">
        <v>19</v>
      </c>
      <c r="C741" s="58" t="s">
        <v>1732</v>
      </c>
      <c r="D741" s="37"/>
      <c r="E741" s="37"/>
      <c r="F741" s="37"/>
      <c r="G741" s="37"/>
      <c r="H741" s="37"/>
      <c r="I741" s="37"/>
    </row>
    <row r="742" spans="1:9" ht="14.25" customHeight="1" x14ac:dyDescent="0.3">
      <c r="A742" s="309"/>
      <c r="B742" s="58">
        <v>19</v>
      </c>
      <c r="C742" s="58" t="s">
        <v>1732</v>
      </c>
      <c r="D742" s="37"/>
      <c r="E742" s="37"/>
      <c r="F742" s="37"/>
      <c r="G742" s="37"/>
      <c r="H742" s="37"/>
      <c r="I742" s="37"/>
    </row>
    <row r="743" spans="1:9" ht="14.25" customHeight="1" x14ac:dyDescent="0.3">
      <c r="A743" s="309"/>
      <c r="B743" s="58">
        <v>19</v>
      </c>
      <c r="C743" s="58" t="s">
        <v>1732</v>
      </c>
      <c r="D743" s="37"/>
      <c r="E743" s="37"/>
      <c r="F743" s="37"/>
      <c r="G743" s="37"/>
      <c r="H743" s="37"/>
      <c r="I743" s="37"/>
    </row>
    <row r="744" spans="1:9" ht="14.25" customHeight="1" x14ac:dyDescent="0.3">
      <c r="A744" s="309"/>
      <c r="B744" s="58">
        <v>19</v>
      </c>
      <c r="C744" s="58" t="s">
        <v>1732</v>
      </c>
      <c r="D744" s="37"/>
      <c r="E744" s="37"/>
      <c r="F744" s="37"/>
      <c r="G744" s="37"/>
      <c r="H744" s="37"/>
      <c r="I744" s="37"/>
    </row>
    <row r="745" spans="1:9" ht="14.25" customHeight="1" x14ac:dyDescent="0.3">
      <c r="A745" s="309"/>
      <c r="B745" s="58">
        <v>19</v>
      </c>
      <c r="C745" s="58" t="s">
        <v>1732</v>
      </c>
      <c r="D745" s="37"/>
      <c r="E745" s="37"/>
      <c r="F745" s="37"/>
      <c r="G745" s="37"/>
      <c r="H745" s="37"/>
      <c r="I745" s="37"/>
    </row>
    <row r="746" spans="1:9" ht="14.25" customHeight="1" x14ac:dyDescent="0.3">
      <c r="A746" s="309"/>
      <c r="B746" s="58">
        <v>19</v>
      </c>
      <c r="C746" s="58" t="s">
        <v>1732</v>
      </c>
      <c r="D746" s="37"/>
      <c r="E746" s="37"/>
      <c r="F746" s="37"/>
      <c r="G746" s="37"/>
      <c r="H746" s="37"/>
      <c r="I746" s="37"/>
    </row>
    <row r="747" spans="1:9" ht="14.25" customHeight="1" x14ac:dyDescent="0.3">
      <c r="A747" s="310"/>
      <c r="B747" s="59">
        <v>19</v>
      </c>
      <c r="C747" s="59" t="s">
        <v>1732</v>
      </c>
      <c r="D747" s="37"/>
      <c r="E747" s="37"/>
      <c r="F747" s="37"/>
      <c r="G747" s="37"/>
      <c r="H747" s="37"/>
      <c r="I747" s="37"/>
    </row>
    <row r="748" spans="1:9" ht="14.25" customHeight="1" x14ac:dyDescent="0.3">
      <c r="A748" s="308" t="s">
        <v>1733</v>
      </c>
      <c r="B748" s="57">
        <v>19</v>
      </c>
      <c r="C748" s="57" t="s">
        <v>1734</v>
      </c>
      <c r="D748" s="37"/>
      <c r="E748" s="37"/>
      <c r="F748" s="37"/>
      <c r="G748" s="37"/>
      <c r="H748" s="37"/>
      <c r="I748" s="37"/>
    </row>
    <row r="749" spans="1:9" ht="14.25" customHeight="1" x14ac:dyDescent="0.3">
      <c r="A749" s="309"/>
      <c r="B749" s="58">
        <v>19</v>
      </c>
      <c r="C749" s="58" t="s">
        <v>1734</v>
      </c>
      <c r="D749" s="37"/>
      <c r="E749" s="37"/>
      <c r="F749" s="37"/>
      <c r="G749" s="37"/>
      <c r="H749" s="37"/>
      <c r="I749" s="37"/>
    </row>
    <row r="750" spans="1:9" ht="14.25" customHeight="1" x14ac:dyDescent="0.3">
      <c r="A750" s="309"/>
      <c r="B750" s="58">
        <v>19</v>
      </c>
      <c r="C750" s="58" t="s">
        <v>1734</v>
      </c>
      <c r="D750" s="37"/>
      <c r="E750" s="37"/>
      <c r="F750" s="37"/>
      <c r="G750" s="37"/>
      <c r="H750" s="37"/>
      <c r="I750" s="37"/>
    </row>
    <row r="751" spans="1:9" ht="14.25" customHeight="1" x14ac:dyDescent="0.3">
      <c r="A751" s="309"/>
      <c r="B751" s="58">
        <v>19</v>
      </c>
      <c r="C751" s="58" t="s">
        <v>1734</v>
      </c>
      <c r="D751" s="37"/>
      <c r="E751" s="37"/>
      <c r="F751" s="37"/>
      <c r="G751" s="37"/>
      <c r="H751" s="37"/>
      <c r="I751" s="37"/>
    </row>
    <row r="752" spans="1:9" ht="14.25" customHeight="1" x14ac:dyDescent="0.3">
      <c r="A752" s="309"/>
      <c r="B752" s="58">
        <v>19</v>
      </c>
      <c r="C752" s="58" t="s">
        <v>1734</v>
      </c>
      <c r="D752" s="37"/>
      <c r="E752" s="37"/>
      <c r="F752" s="37"/>
      <c r="G752" s="37"/>
      <c r="H752" s="37"/>
      <c r="I752" s="37"/>
    </row>
    <row r="753" spans="1:9" ht="14.25" customHeight="1" x14ac:dyDescent="0.3">
      <c r="A753" s="309"/>
      <c r="B753" s="58">
        <v>19</v>
      </c>
      <c r="C753" s="58" t="s">
        <v>1734</v>
      </c>
      <c r="D753" s="37"/>
      <c r="E753" s="37"/>
      <c r="F753" s="37"/>
      <c r="G753" s="37"/>
      <c r="H753" s="37"/>
      <c r="I753" s="37"/>
    </row>
    <row r="754" spans="1:9" ht="14.25" customHeight="1" x14ac:dyDescent="0.3">
      <c r="A754" s="309"/>
      <c r="B754" s="58">
        <v>19</v>
      </c>
      <c r="C754" s="58" t="s">
        <v>1734</v>
      </c>
      <c r="D754" s="37"/>
      <c r="E754" s="37"/>
      <c r="F754" s="37"/>
      <c r="G754" s="37"/>
      <c r="H754" s="37"/>
      <c r="I754" s="37"/>
    </row>
    <row r="755" spans="1:9" ht="14.25" customHeight="1" x14ac:dyDescent="0.3">
      <c r="A755" s="309"/>
      <c r="B755" s="58">
        <v>19</v>
      </c>
      <c r="C755" s="58" t="s">
        <v>1734</v>
      </c>
      <c r="D755" s="37"/>
      <c r="E755" s="37"/>
      <c r="F755" s="37"/>
      <c r="G755" s="37"/>
      <c r="H755" s="37"/>
      <c r="I755" s="37"/>
    </row>
    <row r="756" spans="1:9" ht="14.25" customHeight="1" x14ac:dyDescent="0.3">
      <c r="A756" s="309"/>
      <c r="B756" s="58">
        <v>19</v>
      </c>
      <c r="C756" s="58" t="s">
        <v>1735</v>
      </c>
      <c r="D756" s="37"/>
      <c r="E756" s="37"/>
      <c r="F756" s="37"/>
      <c r="G756" s="37"/>
      <c r="H756" s="37"/>
      <c r="I756" s="37"/>
    </row>
    <row r="757" spans="1:9" ht="14.25" customHeight="1" x14ac:dyDescent="0.3">
      <c r="A757" s="310"/>
      <c r="B757" s="59">
        <v>19</v>
      </c>
      <c r="C757" s="59" t="s">
        <v>1735</v>
      </c>
      <c r="D757" s="37"/>
      <c r="E757" s="37"/>
      <c r="F757" s="37"/>
      <c r="G757" s="37"/>
      <c r="H757" s="37"/>
      <c r="I757" s="37"/>
    </row>
    <row r="758" spans="1:9" ht="14.25" customHeight="1" x14ac:dyDescent="0.3">
      <c r="A758" s="308" t="s">
        <v>1736</v>
      </c>
      <c r="B758" s="57">
        <v>19</v>
      </c>
      <c r="C758" s="57" t="s">
        <v>1737</v>
      </c>
      <c r="D758" s="37"/>
      <c r="E758" s="37"/>
      <c r="F758" s="37"/>
      <c r="G758" s="37"/>
      <c r="H758" s="37"/>
      <c r="I758" s="37"/>
    </row>
    <row r="759" spans="1:9" ht="14.25" customHeight="1" x14ac:dyDescent="0.3">
      <c r="A759" s="309"/>
      <c r="B759" s="58">
        <v>19</v>
      </c>
      <c r="C759" s="58" t="s">
        <v>1737</v>
      </c>
      <c r="D759" s="37"/>
      <c r="E759" s="37"/>
      <c r="F759" s="37"/>
      <c r="G759" s="37"/>
      <c r="H759" s="37"/>
      <c r="I759" s="37"/>
    </row>
    <row r="760" spans="1:9" ht="14.25" customHeight="1" x14ac:dyDescent="0.3">
      <c r="A760" s="309"/>
      <c r="B760" s="58">
        <v>19</v>
      </c>
      <c r="C760" s="58" t="s">
        <v>1737</v>
      </c>
      <c r="D760" s="37"/>
      <c r="E760" s="37"/>
      <c r="F760" s="37"/>
      <c r="G760" s="37"/>
      <c r="H760" s="37"/>
      <c r="I760" s="37"/>
    </row>
    <row r="761" spans="1:9" ht="14.25" customHeight="1" x14ac:dyDescent="0.3">
      <c r="A761" s="309"/>
      <c r="B761" s="58">
        <v>19</v>
      </c>
      <c r="C761" s="58" t="s">
        <v>1737</v>
      </c>
      <c r="D761" s="37"/>
      <c r="E761" s="37"/>
      <c r="F761" s="37"/>
      <c r="G761" s="37"/>
      <c r="H761" s="37"/>
      <c r="I761" s="37"/>
    </row>
    <row r="762" spans="1:9" ht="14.25" customHeight="1" x14ac:dyDescent="0.3">
      <c r="A762" s="309"/>
      <c r="B762" s="58">
        <v>19</v>
      </c>
      <c r="C762" s="58" t="s">
        <v>1737</v>
      </c>
      <c r="D762" s="37"/>
      <c r="E762" s="37"/>
      <c r="F762" s="37"/>
      <c r="G762" s="37"/>
      <c r="H762" s="37"/>
      <c r="I762" s="37"/>
    </row>
    <row r="763" spans="1:9" ht="14.25" customHeight="1" x14ac:dyDescent="0.3">
      <c r="A763" s="309"/>
      <c r="B763" s="58">
        <v>19</v>
      </c>
      <c r="C763" s="58" t="s">
        <v>1737</v>
      </c>
      <c r="D763" s="37"/>
      <c r="E763" s="37"/>
      <c r="F763" s="37"/>
      <c r="G763" s="37"/>
      <c r="H763" s="37"/>
      <c r="I763" s="37"/>
    </row>
    <row r="764" spans="1:9" ht="14.25" customHeight="1" x14ac:dyDescent="0.3">
      <c r="A764" s="309"/>
      <c r="B764" s="58">
        <v>19</v>
      </c>
      <c r="C764" s="58" t="s">
        <v>1737</v>
      </c>
      <c r="D764" s="37"/>
      <c r="E764" s="37"/>
      <c r="F764" s="37"/>
      <c r="G764" s="37"/>
      <c r="H764" s="37"/>
      <c r="I764" s="37"/>
    </row>
    <row r="765" spans="1:9" ht="14.25" customHeight="1" x14ac:dyDescent="0.3">
      <c r="A765" s="309"/>
      <c r="B765" s="58">
        <v>19</v>
      </c>
      <c r="C765" s="58" t="s">
        <v>1737</v>
      </c>
      <c r="D765" s="37"/>
      <c r="E765" s="37"/>
      <c r="F765" s="37"/>
      <c r="G765" s="37"/>
      <c r="H765" s="37"/>
      <c r="I765" s="37"/>
    </row>
    <row r="766" spans="1:9" ht="14.25" customHeight="1" x14ac:dyDescent="0.3">
      <c r="A766" s="309"/>
      <c r="B766" s="58">
        <v>19</v>
      </c>
      <c r="C766" s="58" t="s">
        <v>1737</v>
      </c>
      <c r="D766" s="37"/>
      <c r="E766" s="37"/>
      <c r="F766" s="37"/>
      <c r="G766" s="37"/>
      <c r="H766" s="37"/>
      <c r="I766" s="37"/>
    </row>
    <row r="767" spans="1:9" ht="14.25" customHeight="1" x14ac:dyDescent="0.3">
      <c r="A767" s="309"/>
      <c r="B767" s="58">
        <v>19</v>
      </c>
      <c r="C767" s="58" t="s">
        <v>1737</v>
      </c>
      <c r="D767" s="37"/>
      <c r="E767" s="37"/>
      <c r="F767" s="37"/>
      <c r="G767" s="37"/>
      <c r="H767" s="37"/>
      <c r="I767" s="37"/>
    </row>
    <row r="768" spans="1:9" ht="14.25" customHeight="1" x14ac:dyDescent="0.3">
      <c r="A768" s="309"/>
      <c r="B768" s="58">
        <v>19</v>
      </c>
      <c r="C768" s="58" t="s">
        <v>1737</v>
      </c>
      <c r="D768" s="37"/>
      <c r="E768" s="37"/>
      <c r="F768" s="37"/>
      <c r="G768" s="37"/>
      <c r="H768" s="37"/>
      <c r="I768" s="37"/>
    </row>
    <row r="769" spans="1:9" ht="14.25" customHeight="1" x14ac:dyDescent="0.3">
      <c r="A769" s="309"/>
      <c r="B769" s="58">
        <v>19</v>
      </c>
      <c r="C769" s="58" t="s">
        <v>1737</v>
      </c>
      <c r="D769" s="37"/>
      <c r="E769" s="37"/>
      <c r="F769" s="37"/>
      <c r="G769" s="37"/>
      <c r="H769" s="37"/>
      <c r="I769" s="37"/>
    </row>
    <row r="770" spans="1:9" ht="14.25" customHeight="1" x14ac:dyDescent="0.3">
      <c r="A770" s="309"/>
      <c r="B770" s="58">
        <v>19</v>
      </c>
      <c r="C770" s="58" t="s">
        <v>1737</v>
      </c>
      <c r="D770" s="37"/>
      <c r="E770" s="37"/>
      <c r="F770" s="37"/>
      <c r="G770" s="37"/>
      <c r="H770" s="37"/>
      <c r="I770" s="37"/>
    </row>
    <row r="771" spans="1:9" ht="14.25" customHeight="1" x14ac:dyDescent="0.3">
      <c r="A771" s="309"/>
      <c r="B771" s="58">
        <v>19</v>
      </c>
      <c r="C771" s="58" t="s">
        <v>1737</v>
      </c>
      <c r="D771" s="37"/>
      <c r="E771" s="37"/>
      <c r="F771" s="37"/>
      <c r="G771" s="37"/>
      <c r="H771" s="37"/>
      <c r="I771" s="37"/>
    </row>
    <row r="772" spans="1:9" ht="14.25" customHeight="1" x14ac:dyDescent="0.3">
      <c r="A772" s="309"/>
      <c r="B772" s="58">
        <v>19</v>
      </c>
      <c r="C772" s="58" t="s">
        <v>1737</v>
      </c>
      <c r="D772" s="37"/>
      <c r="E772" s="37"/>
      <c r="F772" s="37"/>
      <c r="G772" s="37"/>
      <c r="H772" s="37"/>
      <c r="I772" s="37"/>
    </row>
    <row r="773" spans="1:9" ht="14.25" customHeight="1" x14ac:dyDescent="0.3">
      <c r="A773" s="309"/>
      <c r="B773" s="58">
        <v>19</v>
      </c>
      <c r="C773" s="58" t="s">
        <v>1737</v>
      </c>
      <c r="D773" s="37"/>
      <c r="E773" s="37"/>
      <c r="F773" s="37"/>
      <c r="G773" s="37"/>
      <c r="H773" s="37"/>
      <c r="I773" s="37"/>
    </row>
    <row r="774" spans="1:9" ht="14.25" customHeight="1" x14ac:dyDescent="0.3">
      <c r="A774" s="309"/>
      <c r="B774" s="58">
        <v>19</v>
      </c>
      <c r="C774" s="58" t="s">
        <v>1737</v>
      </c>
      <c r="D774" s="37"/>
      <c r="E774" s="37"/>
      <c r="F774" s="37"/>
      <c r="G774" s="37"/>
      <c r="H774" s="37"/>
      <c r="I774" s="37"/>
    </row>
    <row r="775" spans="1:9" ht="14.25" customHeight="1" x14ac:dyDescent="0.3">
      <c r="A775" s="309"/>
      <c r="B775" s="58">
        <v>19</v>
      </c>
      <c r="C775" s="58" t="s">
        <v>1737</v>
      </c>
      <c r="D775" s="37"/>
      <c r="E775" s="37"/>
      <c r="F775" s="37"/>
      <c r="G775" s="37"/>
      <c r="H775" s="37"/>
      <c r="I775" s="37"/>
    </row>
    <row r="776" spans="1:9" ht="14.25" customHeight="1" x14ac:dyDescent="0.3">
      <c r="A776" s="309"/>
      <c r="B776" s="58">
        <v>19</v>
      </c>
      <c r="C776" s="58" t="s">
        <v>1737</v>
      </c>
      <c r="D776" s="37"/>
      <c r="E776" s="37"/>
      <c r="F776" s="37"/>
      <c r="G776" s="37"/>
      <c r="H776" s="37"/>
      <c r="I776" s="37"/>
    </row>
    <row r="777" spans="1:9" ht="14.25" customHeight="1" x14ac:dyDescent="0.3">
      <c r="A777" s="309"/>
      <c r="B777" s="58">
        <v>19</v>
      </c>
      <c r="C777" s="58" t="s">
        <v>1737</v>
      </c>
      <c r="D777" s="37"/>
      <c r="E777" s="37"/>
      <c r="F777" s="37"/>
      <c r="G777" s="37"/>
      <c r="H777" s="37"/>
      <c r="I777" s="37"/>
    </row>
    <row r="778" spans="1:9" ht="14.25" customHeight="1" x14ac:dyDescent="0.3">
      <c r="A778" s="309"/>
      <c r="B778" s="58">
        <v>19</v>
      </c>
      <c r="C778" s="58" t="s">
        <v>1737</v>
      </c>
      <c r="D778" s="37"/>
      <c r="E778" s="37"/>
      <c r="F778" s="37"/>
      <c r="G778" s="37"/>
      <c r="H778" s="37"/>
      <c r="I778" s="37"/>
    </row>
    <row r="779" spans="1:9" ht="14.25" customHeight="1" x14ac:dyDescent="0.3">
      <c r="A779" s="309"/>
      <c r="B779" s="58">
        <v>19</v>
      </c>
      <c r="C779" s="58" t="s">
        <v>1737</v>
      </c>
      <c r="D779" s="37"/>
      <c r="E779" s="37"/>
      <c r="F779" s="37"/>
      <c r="G779" s="37"/>
      <c r="H779" s="37"/>
      <c r="I779" s="37"/>
    </row>
    <row r="780" spans="1:9" ht="14.25" customHeight="1" x14ac:dyDescent="0.3">
      <c r="A780" s="309"/>
      <c r="B780" s="58">
        <v>19</v>
      </c>
      <c r="C780" s="58" t="s">
        <v>1737</v>
      </c>
      <c r="D780" s="37"/>
      <c r="E780" s="37"/>
      <c r="F780" s="37"/>
      <c r="G780" s="37"/>
      <c r="H780" s="37"/>
      <c r="I780" s="37"/>
    </row>
    <row r="781" spans="1:9" ht="14.25" customHeight="1" x14ac:dyDescent="0.3">
      <c r="A781" s="309"/>
      <c r="B781" s="58">
        <v>19</v>
      </c>
      <c r="C781" s="58" t="s">
        <v>1737</v>
      </c>
      <c r="D781" s="37"/>
      <c r="E781" s="37"/>
      <c r="F781" s="37"/>
      <c r="G781" s="37"/>
      <c r="H781" s="37"/>
      <c r="I781" s="37"/>
    </row>
    <row r="782" spans="1:9" ht="14.25" customHeight="1" x14ac:dyDescent="0.3">
      <c r="A782" s="310"/>
      <c r="B782" s="59">
        <v>19</v>
      </c>
      <c r="C782" s="59" t="s">
        <v>1737</v>
      </c>
      <c r="D782" s="37"/>
      <c r="E782" s="37"/>
      <c r="F782" s="37"/>
      <c r="G782" s="37"/>
      <c r="H782" s="37"/>
      <c r="I782" s="37"/>
    </row>
    <row r="783" spans="1:9" ht="14.25" customHeight="1" x14ac:dyDescent="0.3">
      <c r="A783" s="46"/>
      <c r="B783" s="46"/>
      <c r="C783" s="46"/>
      <c r="D783" s="37"/>
      <c r="E783" s="37"/>
      <c r="F783" s="37"/>
      <c r="G783" s="37"/>
      <c r="H783" s="37"/>
      <c r="I783" s="37"/>
    </row>
    <row r="784" spans="1:9" ht="14.25" customHeight="1" x14ac:dyDescent="0.3">
      <c r="A784" s="46"/>
      <c r="B784" s="46"/>
      <c r="C784" s="46"/>
      <c r="D784" s="37"/>
      <c r="E784" s="37"/>
      <c r="F784" s="37"/>
      <c r="G784" s="37"/>
      <c r="H784" s="37"/>
      <c r="I784" s="37"/>
    </row>
    <row r="785" spans="1:9" ht="14.25" customHeight="1" x14ac:dyDescent="0.3">
      <c r="A785" s="46"/>
      <c r="B785" s="46"/>
      <c r="C785" s="46"/>
      <c r="D785" s="37"/>
      <c r="E785" s="37"/>
      <c r="F785" s="37"/>
      <c r="G785" s="37"/>
      <c r="H785" s="37"/>
      <c r="I785" s="37"/>
    </row>
    <row r="786" spans="1:9" ht="14.25" customHeight="1" x14ac:dyDescent="0.3">
      <c r="A786" s="46"/>
      <c r="B786" s="46"/>
      <c r="C786" s="46"/>
      <c r="D786" s="37"/>
      <c r="E786" s="37"/>
      <c r="F786" s="37"/>
      <c r="G786" s="37"/>
      <c r="H786" s="37"/>
      <c r="I786" s="37"/>
    </row>
    <row r="787" spans="1:9" ht="14.25" customHeight="1" x14ac:dyDescent="0.3">
      <c r="A787" s="46"/>
      <c r="B787" s="46"/>
      <c r="C787" s="46"/>
      <c r="D787" s="37"/>
      <c r="E787" s="37"/>
      <c r="F787" s="37"/>
      <c r="G787" s="37"/>
      <c r="H787" s="37"/>
      <c r="I787" s="37"/>
    </row>
    <row r="788" spans="1:9" ht="14.25" customHeight="1" x14ac:dyDescent="0.3">
      <c r="A788" s="46"/>
      <c r="B788" s="46"/>
      <c r="C788" s="46"/>
      <c r="D788" s="37"/>
      <c r="E788" s="37"/>
      <c r="F788" s="37"/>
      <c r="G788" s="37"/>
      <c r="H788" s="37"/>
      <c r="I788" s="37"/>
    </row>
    <row r="789" spans="1:9" ht="14.25" customHeight="1" x14ac:dyDescent="0.3">
      <c r="A789" s="46"/>
      <c r="B789" s="46"/>
      <c r="C789" s="46"/>
      <c r="D789" s="37"/>
      <c r="E789" s="37"/>
      <c r="F789" s="37"/>
      <c r="G789" s="37"/>
      <c r="H789" s="37"/>
      <c r="I789" s="37"/>
    </row>
    <row r="790" spans="1:9" ht="14.25" customHeight="1" x14ac:dyDescent="0.3">
      <c r="A790" s="46"/>
      <c r="B790" s="46"/>
      <c r="C790" s="46"/>
      <c r="D790" s="37"/>
      <c r="E790" s="37"/>
      <c r="F790" s="37"/>
      <c r="G790" s="37"/>
      <c r="H790" s="37"/>
      <c r="I790" s="37"/>
    </row>
    <row r="791" spans="1:9" ht="14.25" customHeight="1" x14ac:dyDescent="0.3">
      <c r="A791" s="46"/>
      <c r="B791" s="46"/>
      <c r="C791" s="46"/>
      <c r="D791" s="37"/>
      <c r="E791" s="37"/>
      <c r="F791" s="37"/>
      <c r="G791" s="37"/>
      <c r="H791" s="37"/>
      <c r="I791" s="37"/>
    </row>
    <row r="792" spans="1:9" ht="14.25" customHeight="1" x14ac:dyDescent="0.3">
      <c r="A792" s="46"/>
      <c r="B792" s="46"/>
      <c r="C792" s="46"/>
      <c r="D792" s="37"/>
      <c r="E792" s="37"/>
      <c r="F792" s="37"/>
      <c r="G792" s="37"/>
      <c r="H792" s="37"/>
      <c r="I792" s="37"/>
    </row>
    <row r="793" spans="1:9" ht="14.25" customHeight="1" x14ac:dyDescent="0.3">
      <c r="A793" s="46"/>
      <c r="B793" s="46"/>
      <c r="C793" s="46"/>
      <c r="D793" s="37"/>
      <c r="E793" s="37"/>
      <c r="F793" s="37"/>
      <c r="G793" s="37"/>
      <c r="H793" s="37"/>
      <c r="I793" s="37"/>
    </row>
    <row r="794" spans="1:9" ht="14.25" customHeight="1" x14ac:dyDescent="0.3">
      <c r="A794" s="46"/>
      <c r="B794" s="46"/>
      <c r="C794" s="46"/>
      <c r="D794" s="37"/>
      <c r="E794" s="37"/>
      <c r="F794" s="37"/>
      <c r="G794" s="37"/>
      <c r="H794" s="37"/>
      <c r="I794" s="37"/>
    </row>
    <row r="795" spans="1:9" ht="14.25" customHeight="1" x14ac:dyDescent="0.3">
      <c r="A795" s="46"/>
      <c r="B795" s="46"/>
      <c r="C795" s="46"/>
      <c r="D795" s="37"/>
      <c r="E795" s="37"/>
      <c r="F795" s="37"/>
      <c r="G795" s="37"/>
      <c r="H795" s="37"/>
      <c r="I795" s="37"/>
    </row>
    <row r="796" spans="1:9" ht="14.25" customHeight="1" x14ac:dyDescent="0.3">
      <c r="A796" s="46"/>
      <c r="B796" s="46"/>
      <c r="C796" s="46"/>
      <c r="D796" s="37"/>
      <c r="E796" s="37"/>
      <c r="F796" s="37"/>
      <c r="G796" s="37"/>
      <c r="H796" s="37"/>
      <c r="I796" s="37"/>
    </row>
    <row r="797" spans="1:9" ht="14.25" customHeight="1" x14ac:dyDescent="0.3">
      <c r="A797" s="46"/>
      <c r="B797" s="46"/>
      <c r="C797" s="46"/>
      <c r="D797" s="37"/>
      <c r="E797" s="37"/>
      <c r="F797" s="37"/>
      <c r="G797" s="37"/>
      <c r="H797" s="37"/>
      <c r="I797" s="37"/>
    </row>
    <row r="798" spans="1:9" ht="14.25" customHeight="1" x14ac:dyDescent="0.3">
      <c r="A798" s="46"/>
      <c r="B798" s="46"/>
      <c r="C798" s="46"/>
      <c r="D798" s="37"/>
      <c r="E798" s="37"/>
      <c r="F798" s="37"/>
      <c r="G798" s="37"/>
      <c r="H798" s="37"/>
      <c r="I798" s="37"/>
    </row>
    <row r="799" spans="1:9" ht="14.25" customHeight="1" x14ac:dyDescent="0.3">
      <c r="A799" s="46"/>
      <c r="B799" s="46"/>
      <c r="C799" s="46"/>
      <c r="D799" s="37"/>
      <c r="E799" s="37"/>
      <c r="F799" s="37"/>
      <c r="G799" s="37"/>
      <c r="H799" s="37"/>
      <c r="I799" s="37"/>
    </row>
    <row r="800" spans="1:9" ht="14.25" customHeight="1" x14ac:dyDescent="0.3">
      <c r="A800" s="46"/>
      <c r="B800" s="46"/>
      <c r="C800" s="46"/>
      <c r="D800" s="37"/>
      <c r="E800" s="37"/>
      <c r="F800" s="37"/>
      <c r="G800" s="37"/>
      <c r="H800" s="37"/>
      <c r="I800" s="37"/>
    </row>
    <row r="801" spans="1:9" ht="14.25" customHeight="1" x14ac:dyDescent="0.3">
      <c r="A801" s="46"/>
      <c r="B801" s="46"/>
      <c r="C801" s="46"/>
      <c r="D801" s="37"/>
      <c r="E801" s="37"/>
      <c r="F801" s="37"/>
      <c r="G801" s="37"/>
      <c r="H801" s="37"/>
      <c r="I801" s="37"/>
    </row>
    <row r="802" spans="1:9" ht="14.25" customHeight="1" x14ac:dyDescent="0.3">
      <c r="A802" s="46"/>
      <c r="B802" s="46"/>
      <c r="C802" s="46"/>
      <c r="D802" s="37"/>
      <c r="E802" s="37"/>
      <c r="F802" s="37"/>
      <c r="G802" s="37"/>
      <c r="H802" s="37"/>
      <c r="I802" s="37"/>
    </row>
    <row r="803" spans="1:9" ht="14.25" customHeight="1" x14ac:dyDescent="0.3">
      <c r="A803" s="46"/>
      <c r="B803" s="46"/>
      <c r="C803" s="46"/>
      <c r="D803" s="37"/>
      <c r="E803" s="37"/>
      <c r="F803" s="37"/>
      <c r="G803" s="37"/>
      <c r="H803" s="37"/>
      <c r="I803" s="37"/>
    </row>
    <row r="804" spans="1:9" ht="14.25" customHeight="1" x14ac:dyDescent="0.3">
      <c r="A804" s="46"/>
      <c r="B804" s="46"/>
      <c r="C804" s="46"/>
      <c r="D804" s="37"/>
      <c r="E804" s="37"/>
      <c r="F804" s="37"/>
      <c r="G804" s="37"/>
      <c r="H804" s="37"/>
      <c r="I804" s="37"/>
    </row>
    <row r="805" spans="1:9" ht="14.25" customHeight="1" x14ac:dyDescent="0.3">
      <c r="A805" s="46"/>
      <c r="B805" s="46"/>
      <c r="C805" s="46"/>
      <c r="D805" s="37"/>
      <c r="E805" s="37"/>
      <c r="F805" s="37"/>
      <c r="G805" s="37"/>
      <c r="H805" s="37"/>
      <c r="I805" s="37"/>
    </row>
    <row r="806" spans="1:9" ht="14.25" customHeight="1" x14ac:dyDescent="0.3">
      <c r="A806" s="46"/>
      <c r="B806" s="46"/>
      <c r="C806" s="46"/>
      <c r="D806" s="37"/>
      <c r="E806" s="37"/>
      <c r="F806" s="37"/>
      <c r="G806" s="37"/>
      <c r="H806" s="37"/>
      <c r="I806" s="37"/>
    </row>
    <row r="807" spans="1:9" ht="14.25" customHeight="1" x14ac:dyDescent="0.3">
      <c r="A807" s="46"/>
      <c r="B807" s="46"/>
      <c r="C807" s="46"/>
      <c r="D807" s="37"/>
      <c r="E807" s="37"/>
      <c r="F807" s="37"/>
      <c r="G807" s="37"/>
      <c r="H807" s="37"/>
      <c r="I807" s="37"/>
    </row>
    <row r="808" spans="1:9" ht="14.25" customHeight="1" x14ac:dyDescent="0.3">
      <c r="A808" s="46"/>
      <c r="B808" s="46"/>
      <c r="C808" s="46"/>
      <c r="D808" s="37"/>
      <c r="E808" s="37"/>
      <c r="F808" s="37"/>
      <c r="G808" s="37"/>
      <c r="H808" s="37"/>
      <c r="I808" s="37"/>
    </row>
    <row r="809" spans="1:9" ht="14.25" customHeight="1" x14ac:dyDescent="0.3">
      <c r="A809" s="46"/>
      <c r="B809" s="46"/>
      <c r="C809" s="46"/>
      <c r="D809" s="37"/>
      <c r="E809" s="37"/>
      <c r="F809" s="37"/>
      <c r="G809" s="37"/>
      <c r="H809" s="37"/>
      <c r="I809" s="37"/>
    </row>
    <row r="810" spans="1:9" ht="14.25" customHeight="1" x14ac:dyDescent="0.3">
      <c r="A810" s="46"/>
      <c r="B810" s="46"/>
      <c r="C810" s="46"/>
      <c r="D810" s="37"/>
      <c r="E810" s="37"/>
      <c r="F810" s="37"/>
      <c r="G810" s="37"/>
      <c r="H810" s="37"/>
      <c r="I810" s="37"/>
    </row>
    <row r="811" spans="1:9" ht="14.25" customHeight="1" x14ac:dyDescent="0.3">
      <c r="A811" s="46"/>
      <c r="B811" s="46"/>
      <c r="C811" s="46"/>
      <c r="D811" s="37"/>
      <c r="E811" s="37"/>
      <c r="F811" s="37"/>
      <c r="G811" s="37"/>
      <c r="H811" s="37"/>
      <c r="I811" s="37"/>
    </row>
    <row r="812" spans="1:9" ht="14.25" customHeight="1" x14ac:dyDescent="0.3">
      <c r="A812" s="46"/>
      <c r="B812" s="46"/>
      <c r="C812" s="46"/>
      <c r="D812" s="37"/>
      <c r="E812" s="37"/>
      <c r="F812" s="37"/>
      <c r="G812" s="37"/>
      <c r="H812" s="37"/>
      <c r="I812" s="37"/>
    </row>
    <row r="813" spans="1:9" ht="14.25" customHeight="1" x14ac:dyDescent="0.3">
      <c r="A813" s="46"/>
      <c r="B813" s="46"/>
      <c r="C813" s="46"/>
      <c r="D813" s="37"/>
      <c r="E813" s="37"/>
      <c r="F813" s="37"/>
      <c r="G813" s="37"/>
      <c r="H813" s="37"/>
      <c r="I813" s="37"/>
    </row>
    <row r="814" spans="1:9" ht="14.25" customHeight="1" x14ac:dyDescent="0.3">
      <c r="A814" s="46"/>
      <c r="B814" s="46"/>
      <c r="C814" s="46"/>
      <c r="D814" s="37"/>
      <c r="E814" s="37"/>
      <c r="F814" s="37"/>
      <c r="G814" s="37"/>
      <c r="H814" s="37"/>
      <c r="I814" s="37"/>
    </row>
    <row r="815" spans="1:9" ht="14.25" customHeight="1" x14ac:dyDescent="0.3">
      <c r="A815" s="46"/>
      <c r="B815" s="46"/>
      <c r="C815" s="46"/>
      <c r="D815" s="37"/>
      <c r="E815" s="37"/>
      <c r="F815" s="37"/>
      <c r="G815" s="37"/>
      <c r="H815" s="37"/>
      <c r="I815" s="37"/>
    </row>
    <row r="816" spans="1:9" ht="14.25" customHeight="1" x14ac:dyDescent="0.3">
      <c r="A816" s="46"/>
      <c r="B816" s="46"/>
      <c r="C816" s="46"/>
      <c r="D816" s="37"/>
      <c r="E816" s="37"/>
      <c r="F816" s="37"/>
      <c r="G816" s="37"/>
      <c r="H816" s="37"/>
      <c r="I816" s="37"/>
    </row>
    <row r="817" spans="1:9" ht="14.25" customHeight="1" x14ac:dyDescent="0.3">
      <c r="A817" s="46"/>
      <c r="B817" s="46"/>
      <c r="C817" s="46"/>
      <c r="D817" s="37"/>
      <c r="E817" s="37"/>
      <c r="F817" s="37"/>
      <c r="G817" s="37"/>
      <c r="H817" s="37"/>
      <c r="I817" s="37"/>
    </row>
    <row r="818" spans="1:9" ht="14.25" customHeight="1" x14ac:dyDescent="0.3">
      <c r="A818" s="46"/>
      <c r="B818" s="46"/>
      <c r="C818" s="46"/>
      <c r="D818" s="37"/>
      <c r="E818" s="37"/>
      <c r="F818" s="37"/>
      <c r="G818" s="37"/>
      <c r="H818" s="37"/>
      <c r="I818" s="37"/>
    </row>
    <row r="819" spans="1:9" ht="14.25" customHeight="1" x14ac:dyDescent="0.3">
      <c r="A819" s="46"/>
      <c r="B819" s="46"/>
      <c r="C819" s="46"/>
      <c r="D819" s="37"/>
      <c r="E819" s="37"/>
      <c r="F819" s="37"/>
      <c r="G819" s="37"/>
      <c r="H819" s="37"/>
      <c r="I819" s="37"/>
    </row>
    <row r="820" spans="1:9" ht="14.25" customHeight="1" x14ac:dyDescent="0.3">
      <c r="A820" s="46"/>
      <c r="B820" s="46"/>
      <c r="C820" s="46"/>
      <c r="D820" s="37"/>
      <c r="E820" s="37"/>
      <c r="F820" s="37"/>
      <c r="G820" s="37"/>
      <c r="H820" s="37"/>
      <c r="I820" s="37"/>
    </row>
    <row r="821" spans="1:9" ht="14.25" customHeight="1" x14ac:dyDescent="0.3">
      <c r="A821" s="46"/>
      <c r="B821" s="46"/>
      <c r="C821" s="46"/>
      <c r="D821" s="37"/>
      <c r="E821" s="37"/>
      <c r="F821" s="37"/>
      <c r="G821" s="37"/>
      <c r="H821" s="37"/>
      <c r="I821" s="37"/>
    </row>
    <row r="822" spans="1:9" ht="14.25" customHeight="1" x14ac:dyDescent="0.3">
      <c r="A822" s="46"/>
      <c r="B822" s="46"/>
      <c r="C822" s="46"/>
      <c r="D822" s="37"/>
      <c r="E822" s="37"/>
      <c r="F822" s="37"/>
      <c r="G822" s="37"/>
      <c r="H822" s="37"/>
      <c r="I822" s="37"/>
    </row>
    <row r="823" spans="1:9" ht="14.25" customHeight="1" x14ac:dyDescent="0.3">
      <c r="A823" s="46"/>
      <c r="B823" s="46"/>
      <c r="C823" s="46"/>
      <c r="D823" s="37"/>
      <c r="E823" s="37"/>
      <c r="F823" s="37"/>
      <c r="G823" s="37"/>
      <c r="H823" s="37"/>
      <c r="I823" s="37"/>
    </row>
    <row r="824" spans="1:9" ht="14.25" customHeight="1" x14ac:dyDescent="0.3">
      <c r="A824" s="46"/>
      <c r="B824" s="46"/>
      <c r="C824" s="46"/>
      <c r="D824" s="37"/>
      <c r="E824" s="37"/>
      <c r="F824" s="37"/>
      <c r="G824" s="37"/>
      <c r="H824" s="37"/>
      <c r="I824" s="37"/>
    </row>
    <row r="825" spans="1:9" ht="14.25" customHeight="1" x14ac:dyDescent="0.3">
      <c r="A825" s="46"/>
      <c r="B825" s="46"/>
      <c r="C825" s="46"/>
      <c r="D825" s="37"/>
      <c r="E825" s="37"/>
      <c r="F825" s="37"/>
      <c r="G825" s="37"/>
      <c r="H825" s="37"/>
      <c r="I825" s="37"/>
    </row>
    <row r="826" spans="1:9" ht="14.25" customHeight="1" x14ac:dyDescent="0.3">
      <c r="A826" s="46"/>
      <c r="B826" s="46"/>
      <c r="C826" s="46"/>
      <c r="D826" s="37"/>
      <c r="E826" s="37"/>
      <c r="F826" s="37"/>
      <c r="G826" s="37"/>
      <c r="H826" s="37"/>
      <c r="I826" s="37"/>
    </row>
    <row r="827" spans="1:9" ht="14.25" customHeight="1" x14ac:dyDescent="0.3">
      <c r="A827" s="46"/>
      <c r="B827" s="46"/>
      <c r="C827" s="46"/>
      <c r="D827" s="37"/>
      <c r="E827" s="37"/>
      <c r="F827" s="37"/>
      <c r="G827" s="37"/>
      <c r="H827" s="37"/>
      <c r="I827" s="37"/>
    </row>
    <row r="828" spans="1:9" ht="14.25" customHeight="1" x14ac:dyDescent="0.3">
      <c r="A828" s="46"/>
      <c r="B828" s="46"/>
      <c r="C828" s="46"/>
      <c r="D828" s="37"/>
      <c r="E828" s="37"/>
      <c r="F828" s="37"/>
      <c r="G828" s="37"/>
      <c r="H828" s="37"/>
      <c r="I828" s="37"/>
    </row>
    <row r="829" spans="1:9" ht="14.25" customHeight="1" x14ac:dyDescent="0.3">
      <c r="A829" s="46"/>
      <c r="B829" s="46"/>
      <c r="C829" s="46"/>
      <c r="D829" s="37"/>
      <c r="E829" s="37"/>
      <c r="F829" s="37"/>
      <c r="G829" s="37"/>
      <c r="H829" s="37"/>
      <c r="I829" s="37"/>
    </row>
    <row r="830" spans="1:9" ht="14.25" customHeight="1" x14ac:dyDescent="0.3">
      <c r="A830" s="46"/>
      <c r="B830" s="46"/>
      <c r="C830" s="46"/>
      <c r="D830" s="37"/>
      <c r="E830" s="37"/>
      <c r="F830" s="37"/>
      <c r="G830" s="37"/>
      <c r="H830" s="37"/>
      <c r="I830" s="37"/>
    </row>
    <row r="831" spans="1:9" ht="14.25" customHeight="1" x14ac:dyDescent="0.3">
      <c r="A831" s="46"/>
      <c r="B831" s="46"/>
      <c r="C831" s="46"/>
      <c r="D831" s="37"/>
      <c r="E831" s="37"/>
      <c r="F831" s="37"/>
      <c r="G831" s="37"/>
      <c r="H831" s="37"/>
      <c r="I831" s="37"/>
    </row>
    <row r="832" spans="1:9" ht="14.25" customHeight="1" x14ac:dyDescent="0.3">
      <c r="A832" s="46"/>
      <c r="B832" s="46"/>
      <c r="C832" s="46"/>
      <c r="D832" s="37"/>
      <c r="E832" s="37"/>
      <c r="F832" s="37"/>
      <c r="G832" s="37"/>
      <c r="H832" s="37"/>
      <c r="I832" s="37"/>
    </row>
    <row r="833" spans="1:9" ht="14.25" customHeight="1" x14ac:dyDescent="0.3">
      <c r="A833" s="46"/>
      <c r="B833" s="46"/>
      <c r="C833" s="46"/>
      <c r="D833" s="37"/>
      <c r="E833" s="37"/>
      <c r="F833" s="37"/>
      <c r="G833" s="37"/>
      <c r="H833" s="37"/>
      <c r="I833" s="37"/>
    </row>
    <row r="834" spans="1:9" ht="14.25" customHeight="1" x14ac:dyDescent="0.3">
      <c r="A834" s="46"/>
      <c r="B834" s="46"/>
      <c r="C834" s="46"/>
      <c r="D834" s="37"/>
      <c r="E834" s="37"/>
      <c r="F834" s="37"/>
      <c r="G834" s="37"/>
      <c r="H834" s="37"/>
      <c r="I834" s="37"/>
    </row>
    <row r="835" spans="1:9" ht="14.25" customHeight="1" x14ac:dyDescent="0.3">
      <c r="A835" s="46"/>
      <c r="B835" s="46"/>
      <c r="C835" s="46"/>
      <c r="D835" s="37"/>
      <c r="E835" s="37"/>
      <c r="F835" s="37"/>
      <c r="G835" s="37"/>
      <c r="H835" s="37"/>
      <c r="I835" s="37"/>
    </row>
    <row r="836" spans="1:9" ht="14.25" customHeight="1" x14ac:dyDescent="0.3">
      <c r="A836" s="46"/>
      <c r="B836" s="46"/>
      <c r="C836" s="46"/>
      <c r="D836" s="37"/>
      <c r="E836" s="37"/>
      <c r="F836" s="37"/>
      <c r="G836" s="37"/>
      <c r="H836" s="37"/>
      <c r="I836" s="37"/>
    </row>
    <row r="837" spans="1:9" ht="14.25" customHeight="1" x14ac:dyDescent="0.3">
      <c r="A837" s="46"/>
      <c r="B837" s="46"/>
      <c r="C837" s="46"/>
      <c r="D837" s="37"/>
      <c r="E837" s="37"/>
      <c r="F837" s="37"/>
      <c r="G837" s="37"/>
      <c r="H837" s="37"/>
      <c r="I837" s="37"/>
    </row>
    <row r="838" spans="1:9" ht="14.25" customHeight="1" x14ac:dyDescent="0.3">
      <c r="A838" s="46"/>
      <c r="B838" s="46"/>
      <c r="C838" s="46"/>
      <c r="D838" s="37"/>
      <c r="E838" s="37"/>
      <c r="F838" s="37"/>
      <c r="G838" s="37"/>
      <c r="H838" s="37"/>
      <c r="I838" s="37"/>
    </row>
    <row r="839" spans="1:9" ht="14.25" customHeight="1" x14ac:dyDescent="0.3">
      <c r="A839" s="46"/>
      <c r="B839" s="46"/>
      <c r="C839" s="46"/>
      <c r="D839" s="37"/>
      <c r="E839" s="37"/>
      <c r="F839" s="37"/>
      <c r="G839" s="37"/>
      <c r="H839" s="37"/>
      <c r="I839" s="37"/>
    </row>
    <row r="840" spans="1:9" ht="14.25" customHeight="1" x14ac:dyDescent="0.3">
      <c r="A840" s="46"/>
      <c r="B840" s="46"/>
      <c r="C840" s="46"/>
      <c r="D840" s="37"/>
      <c r="E840" s="37"/>
      <c r="F840" s="37"/>
      <c r="G840" s="37"/>
      <c r="H840" s="37"/>
      <c r="I840" s="37"/>
    </row>
    <row r="841" spans="1:9" ht="14.25" customHeight="1" x14ac:dyDescent="0.3">
      <c r="A841" s="46"/>
      <c r="B841" s="46"/>
      <c r="C841" s="46"/>
      <c r="D841" s="37"/>
      <c r="E841" s="37"/>
      <c r="F841" s="37"/>
      <c r="G841" s="37"/>
      <c r="H841" s="37"/>
      <c r="I841" s="37"/>
    </row>
    <row r="842" spans="1:9" ht="14.25" customHeight="1" x14ac:dyDescent="0.3">
      <c r="A842" s="46"/>
      <c r="B842" s="46"/>
      <c r="C842" s="46"/>
      <c r="D842" s="37"/>
      <c r="E842" s="37"/>
      <c r="F842" s="37"/>
      <c r="G842" s="37"/>
      <c r="H842" s="37"/>
      <c r="I842" s="37"/>
    </row>
    <row r="843" spans="1:9" ht="14.25" customHeight="1" x14ac:dyDescent="0.3">
      <c r="A843" s="46"/>
      <c r="B843" s="46"/>
      <c r="C843" s="46"/>
      <c r="D843" s="37"/>
      <c r="E843" s="37"/>
      <c r="F843" s="37"/>
      <c r="G843" s="37"/>
      <c r="H843" s="37"/>
      <c r="I843" s="37"/>
    </row>
    <row r="844" spans="1:9" ht="14.25" customHeight="1" x14ac:dyDescent="0.3">
      <c r="A844" s="46"/>
      <c r="B844" s="46"/>
      <c r="C844" s="46"/>
      <c r="D844" s="37"/>
      <c r="E844" s="37"/>
      <c r="F844" s="37"/>
      <c r="G844" s="37"/>
      <c r="H844" s="37"/>
      <c r="I844" s="37"/>
    </row>
    <row r="845" spans="1:9" ht="14.25" customHeight="1" x14ac:dyDescent="0.3">
      <c r="A845" s="46"/>
      <c r="B845" s="46"/>
      <c r="C845" s="46"/>
      <c r="D845" s="37"/>
      <c r="E845" s="37"/>
      <c r="F845" s="37"/>
      <c r="G845" s="37"/>
      <c r="H845" s="37"/>
      <c r="I845" s="37"/>
    </row>
    <row r="846" spans="1:9" ht="14.25" customHeight="1" x14ac:dyDescent="0.3">
      <c r="A846" s="46"/>
      <c r="B846" s="46"/>
      <c r="C846" s="46"/>
      <c r="D846" s="37"/>
      <c r="E846" s="37"/>
      <c r="F846" s="37"/>
      <c r="G846" s="37"/>
      <c r="H846" s="37"/>
      <c r="I846" s="37"/>
    </row>
    <row r="847" spans="1:9" ht="14.25" customHeight="1" x14ac:dyDescent="0.3">
      <c r="A847" s="46"/>
      <c r="B847" s="46"/>
      <c r="C847" s="46"/>
      <c r="D847" s="37"/>
      <c r="E847" s="37"/>
      <c r="F847" s="37"/>
      <c r="G847" s="37"/>
      <c r="H847" s="37"/>
      <c r="I847" s="37"/>
    </row>
    <row r="848" spans="1:9" ht="14.25" customHeight="1" x14ac:dyDescent="0.3">
      <c r="A848" s="46"/>
      <c r="B848" s="46"/>
      <c r="C848" s="46"/>
      <c r="D848" s="37"/>
      <c r="E848" s="37"/>
      <c r="F848" s="37"/>
      <c r="G848" s="37"/>
      <c r="H848" s="37"/>
      <c r="I848" s="37"/>
    </row>
    <row r="849" spans="1:9" ht="14.25" customHeight="1" x14ac:dyDescent="0.3">
      <c r="A849" s="46"/>
      <c r="B849" s="46"/>
      <c r="C849" s="46"/>
      <c r="D849" s="37"/>
      <c r="E849" s="37"/>
      <c r="F849" s="37"/>
      <c r="G849" s="37"/>
      <c r="H849" s="37"/>
      <c r="I849" s="37"/>
    </row>
    <row r="850" spans="1:9" ht="14.25" customHeight="1" x14ac:dyDescent="0.3">
      <c r="A850" s="46"/>
      <c r="B850" s="46"/>
      <c r="C850" s="46"/>
      <c r="D850" s="37"/>
      <c r="E850" s="37"/>
      <c r="F850" s="37"/>
      <c r="G850" s="37"/>
      <c r="H850" s="37"/>
      <c r="I850" s="37"/>
    </row>
    <row r="851" spans="1:9" ht="14.25" customHeight="1" x14ac:dyDescent="0.3">
      <c r="A851" s="46"/>
      <c r="B851" s="46"/>
      <c r="C851" s="46"/>
      <c r="D851" s="37"/>
      <c r="E851" s="37"/>
      <c r="F851" s="37"/>
      <c r="G851" s="37"/>
      <c r="H851" s="37"/>
      <c r="I851" s="37"/>
    </row>
    <row r="852" spans="1:9" ht="14.25" customHeight="1" x14ac:dyDescent="0.3">
      <c r="A852" s="46"/>
      <c r="B852" s="46"/>
      <c r="C852" s="46"/>
      <c r="D852" s="37"/>
      <c r="E852" s="37"/>
      <c r="F852" s="37"/>
      <c r="G852" s="37"/>
      <c r="H852" s="37"/>
      <c r="I852" s="37"/>
    </row>
    <row r="853" spans="1:9" ht="14.25" customHeight="1" x14ac:dyDescent="0.3">
      <c r="A853" s="46"/>
      <c r="B853" s="46"/>
      <c r="C853" s="46"/>
      <c r="D853" s="37"/>
      <c r="E853" s="37"/>
      <c r="F853" s="37"/>
      <c r="G853" s="37"/>
      <c r="H853" s="37"/>
      <c r="I853" s="37"/>
    </row>
    <row r="854" spans="1:9" ht="14.25" customHeight="1" x14ac:dyDescent="0.3">
      <c r="A854" s="46"/>
      <c r="B854" s="46"/>
      <c r="C854" s="46"/>
      <c r="D854" s="37"/>
      <c r="E854" s="37"/>
      <c r="F854" s="37"/>
      <c r="G854" s="37"/>
      <c r="H854" s="37"/>
      <c r="I854" s="37"/>
    </row>
    <row r="855" spans="1:9" ht="14.25" customHeight="1" x14ac:dyDescent="0.3">
      <c r="A855" s="46"/>
      <c r="B855" s="46"/>
      <c r="C855" s="46"/>
      <c r="D855" s="37"/>
      <c r="E855" s="37"/>
      <c r="F855" s="37"/>
      <c r="G855" s="37"/>
      <c r="H855" s="37"/>
      <c r="I855" s="37"/>
    </row>
    <row r="856" spans="1:9" ht="14.25" customHeight="1" x14ac:dyDescent="0.3">
      <c r="A856" s="46"/>
      <c r="B856" s="46"/>
      <c r="C856" s="46"/>
      <c r="D856" s="37"/>
      <c r="E856" s="37"/>
      <c r="F856" s="37"/>
      <c r="G856" s="37"/>
      <c r="H856" s="37"/>
      <c r="I856" s="37"/>
    </row>
    <row r="857" spans="1:9" ht="14.25" customHeight="1" x14ac:dyDescent="0.3">
      <c r="A857" s="46"/>
      <c r="B857" s="46"/>
      <c r="C857" s="46"/>
      <c r="D857" s="37"/>
      <c r="E857" s="37"/>
      <c r="F857" s="37"/>
      <c r="G857" s="37"/>
      <c r="H857" s="37"/>
      <c r="I857" s="37"/>
    </row>
    <row r="858" spans="1:9" ht="14.25" customHeight="1" x14ac:dyDescent="0.3">
      <c r="A858" s="46"/>
      <c r="B858" s="46"/>
      <c r="C858" s="46"/>
      <c r="D858" s="37"/>
      <c r="E858" s="37"/>
      <c r="F858" s="37"/>
      <c r="G858" s="37"/>
      <c r="H858" s="37"/>
      <c r="I858" s="37"/>
    </row>
    <row r="859" spans="1:9" ht="14.25" customHeight="1" x14ac:dyDescent="0.3">
      <c r="A859" s="46"/>
      <c r="B859" s="46"/>
      <c r="C859" s="46"/>
      <c r="D859" s="37"/>
      <c r="E859" s="37"/>
      <c r="F859" s="37"/>
      <c r="G859" s="37"/>
      <c r="H859" s="37"/>
      <c r="I859" s="37"/>
    </row>
    <row r="860" spans="1:9" ht="14.25" customHeight="1" x14ac:dyDescent="0.3">
      <c r="A860" s="46"/>
      <c r="B860" s="46"/>
      <c r="C860" s="46"/>
      <c r="D860" s="37"/>
      <c r="E860" s="37"/>
      <c r="F860" s="37"/>
      <c r="G860" s="37"/>
      <c r="H860" s="37"/>
      <c r="I860" s="37"/>
    </row>
    <row r="861" spans="1:9" ht="14.25" customHeight="1" x14ac:dyDescent="0.3">
      <c r="A861" s="46"/>
      <c r="B861" s="46"/>
      <c r="C861" s="46"/>
      <c r="D861" s="37"/>
      <c r="E861" s="37"/>
      <c r="F861" s="37"/>
      <c r="G861" s="37"/>
      <c r="H861" s="37"/>
      <c r="I861" s="37"/>
    </row>
    <row r="862" spans="1:9" ht="14.25" customHeight="1" x14ac:dyDescent="0.3">
      <c r="A862" s="46"/>
      <c r="B862" s="46"/>
      <c r="C862" s="46"/>
      <c r="D862" s="37"/>
      <c r="E862" s="37"/>
      <c r="F862" s="37"/>
      <c r="G862" s="37"/>
      <c r="H862" s="37"/>
      <c r="I862" s="37"/>
    </row>
    <row r="863" spans="1:9" ht="14.25" customHeight="1" x14ac:dyDescent="0.3">
      <c r="A863" s="46"/>
      <c r="B863" s="46"/>
      <c r="C863" s="46"/>
      <c r="D863" s="37"/>
      <c r="E863" s="37"/>
      <c r="F863" s="37"/>
      <c r="G863" s="37"/>
      <c r="H863" s="37"/>
      <c r="I863" s="37"/>
    </row>
    <row r="864" spans="1:9" ht="14.25" customHeight="1" x14ac:dyDescent="0.3">
      <c r="A864" s="46"/>
      <c r="B864" s="46"/>
      <c r="C864" s="46"/>
      <c r="D864" s="37"/>
      <c r="E864" s="37"/>
      <c r="F864" s="37"/>
      <c r="G864" s="37"/>
      <c r="H864" s="37"/>
      <c r="I864" s="37"/>
    </row>
    <row r="865" spans="1:9" ht="14.25" customHeight="1" x14ac:dyDescent="0.3">
      <c r="A865" s="46"/>
      <c r="B865" s="46"/>
      <c r="C865" s="46"/>
      <c r="D865" s="37"/>
      <c r="E865" s="37"/>
      <c r="F865" s="37"/>
      <c r="G865" s="37"/>
      <c r="H865" s="37"/>
      <c r="I865" s="37"/>
    </row>
    <row r="866" spans="1:9" ht="14.25" customHeight="1" x14ac:dyDescent="0.3">
      <c r="A866" s="46"/>
      <c r="B866" s="46"/>
      <c r="C866" s="46"/>
      <c r="D866" s="37"/>
      <c r="E866" s="37"/>
      <c r="F866" s="37"/>
      <c r="G866" s="37"/>
      <c r="H866" s="37"/>
      <c r="I866" s="37"/>
    </row>
    <row r="867" spans="1:9" ht="14.25" customHeight="1" x14ac:dyDescent="0.3">
      <c r="A867" s="46"/>
      <c r="B867" s="46"/>
      <c r="C867" s="46"/>
      <c r="D867" s="37"/>
      <c r="E867" s="37"/>
      <c r="F867" s="37"/>
      <c r="G867" s="37"/>
      <c r="H867" s="37"/>
      <c r="I867" s="37"/>
    </row>
    <row r="868" spans="1:9" ht="14.25" customHeight="1" x14ac:dyDescent="0.3">
      <c r="A868" s="46"/>
      <c r="B868" s="46"/>
      <c r="C868" s="46"/>
      <c r="D868" s="37"/>
      <c r="E868" s="37"/>
      <c r="F868" s="37"/>
      <c r="G868" s="37"/>
      <c r="H868" s="37"/>
      <c r="I868" s="37"/>
    </row>
    <row r="869" spans="1:9" ht="14.25" customHeight="1" x14ac:dyDescent="0.3">
      <c r="A869" s="46"/>
      <c r="B869" s="46"/>
      <c r="C869" s="46"/>
      <c r="D869" s="37"/>
      <c r="E869" s="37"/>
      <c r="F869" s="37"/>
      <c r="G869" s="37"/>
      <c r="H869" s="37"/>
      <c r="I869" s="37"/>
    </row>
    <row r="870" spans="1:9" ht="14.25" customHeight="1" x14ac:dyDescent="0.3">
      <c r="A870" s="46"/>
      <c r="B870" s="46"/>
      <c r="C870" s="46"/>
      <c r="D870" s="37"/>
      <c r="E870" s="37"/>
      <c r="F870" s="37"/>
      <c r="G870" s="37"/>
      <c r="H870" s="37"/>
      <c r="I870" s="37"/>
    </row>
    <row r="871" spans="1:9" ht="14.25" customHeight="1" x14ac:dyDescent="0.3">
      <c r="A871" s="46"/>
      <c r="B871" s="46"/>
      <c r="C871" s="46"/>
      <c r="D871" s="37"/>
      <c r="E871" s="37"/>
      <c r="F871" s="37"/>
      <c r="G871" s="37"/>
      <c r="H871" s="37"/>
      <c r="I871" s="37"/>
    </row>
    <row r="872" spans="1:9" ht="14.25" customHeight="1" x14ac:dyDescent="0.3">
      <c r="A872" s="46"/>
      <c r="B872" s="46"/>
      <c r="C872" s="46"/>
      <c r="D872" s="37"/>
      <c r="E872" s="37"/>
      <c r="F872" s="37"/>
      <c r="G872" s="37"/>
      <c r="H872" s="37"/>
      <c r="I872" s="37"/>
    </row>
    <row r="873" spans="1:9" ht="14.25" customHeight="1" x14ac:dyDescent="0.3">
      <c r="A873" s="46"/>
      <c r="B873" s="46"/>
      <c r="C873" s="46"/>
      <c r="D873" s="37"/>
      <c r="E873" s="37"/>
      <c r="F873" s="37"/>
      <c r="G873" s="37"/>
      <c r="H873" s="37"/>
      <c r="I873" s="37"/>
    </row>
    <row r="874" spans="1:9" ht="14.25" customHeight="1" x14ac:dyDescent="0.3">
      <c r="A874" s="46"/>
      <c r="B874" s="46"/>
      <c r="C874" s="46"/>
      <c r="D874" s="37"/>
      <c r="E874" s="37"/>
      <c r="F874" s="37"/>
      <c r="G874" s="37"/>
      <c r="H874" s="37"/>
      <c r="I874" s="37"/>
    </row>
    <row r="875" spans="1:9" ht="14.25" customHeight="1" x14ac:dyDescent="0.3">
      <c r="A875" s="46"/>
      <c r="B875" s="46"/>
      <c r="C875" s="46"/>
      <c r="D875" s="37"/>
      <c r="E875" s="37"/>
      <c r="F875" s="37"/>
      <c r="G875" s="37"/>
      <c r="H875" s="37"/>
      <c r="I875" s="37"/>
    </row>
    <row r="876" spans="1:9" ht="14.25" customHeight="1" x14ac:dyDescent="0.3">
      <c r="A876" s="46"/>
      <c r="B876" s="46"/>
      <c r="C876" s="46"/>
      <c r="D876" s="37"/>
      <c r="E876" s="37"/>
      <c r="F876" s="37"/>
      <c r="G876" s="37"/>
      <c r="H876" s="37"/>
      <c r="I876" s="37"/>
    </row>
    <row r="877" spans="1:9" ht="14.25" customHeight="1" x14ac:dyDescent="0.3">
      <c r="A877" s="46"/>
      <c r="B877" s="46"/>
      <c r="C877" s="46"/>
      <c r="D877" s="37"/>
      <c r="E877" s="37"/>
      <c r="F877" s="37"/>
      <c r="G877" s="37"/>
      <c r="H877" s="37"/>
      <c r="I877" s="37"/>
    </row>
    <row r="878" spans="1:9" ht="14.25" customHeight="1" x14ac:dyDescent="0.3">
      <c r="A878" s="46"/>
      <c r="B878" s="46"/>
      <c r="C878" s="46"/>
      <c r="D878" s="37"/>
      <c r="E878" s="37"/>
      <c r="F878" s="37"/>
      <c r="G878" s="37"/>
      <c r="H878" s="37"/>
      <c r="I878" s="37"/>
    </row>
    <row r="879" spans="1:9" ht="14.25" customHeight="1" x14ac:dyDescent="0.3">
      <c r="A879" s="46"/>
      <c r="B879" s="46"/>
      <c r="C879" s="46"/>
      <c r="D879" s="37"/>
      <c r="E879" s="37"/>
      <c r="F879" s="37"/>
      <c r="G879" s="37"/>
      <c r="H879" s="37"/>
      <c r="I879" s="37"/>
    </row>
    <row r="880" spans="1:9" ht="14.25" customHeight="1" x14ac:dyDescent="0.3">
      <c r="A880" s="46"/>
      <c r="B880" s="46"/>
      <c r="C880" s="46"/>
      <c r="D880" s="37"/>
      <c r="E880" s="37"/>
      <c r="F880" s="37"/>
      <c r="G880" s="37"/>
      <c r="H880" s="37"/>
      <c r="I880" s="37"/>
    </row>
    <row r="881" spans="1:9" ht="14.25" customHeight="1" x14ac:dyDescent="0.3">
      <c r="A881" s="46"/>
      <c r="B881" s="46"/>
      <c r="C881" s="46"/>
      <c r="D881" s="37"/>
      <c r="E881" s="37"/>
      <c r="F881" s="37"/>
      <c r="G881" s="37"/>
      <c r="H881" s="37"/>
      <c r="I881" s="37"/>
    </row>
    <row r="882" spans="1:9" ht="14.25" customHeight="1" x14ac:dyDescent="0.3">
      <c r="A882" s="46"/>
      <c r="B882" s="46"/>
      <c r="C882" s="46"/>
      <c r="D882" s="37"/>
      <c r="E882" s="37"/>
      <c r="F882" s="37"/>
      <c r="G882" s="37"/>
      <c r="H882" s="37"/>
      <c r="I882" s="37"/>
    </row>
    <row r="883" spans="1:9" ht="14.25" customHeight="1" x14ac:dyDescent="0.3">
      <c r="A883" s="46"/>
      <c r="B883" s="46"/>
      <c r="C883" s="46"/>
      <c r="D883" s="37"/>
      <c r="E883" s="37"/>
      <c r="F883" s="37"/>
      <c r="G883" s="37"/>
      <c r="H883" s="37"/>
      <c r="I883" s="37"/>
    </row>
    <row r="884" spans="1:9" ht="14.25" customHeight="1" x14ac:dyDescent="0.3">
      <c r="A884" s="46"/>
      <c r="B884" s="46"/>
      <c r="C884" s="46"/>
      <c r="D884" s="37"/>
      <c r="E884" s="37"/>
      <c r="F884" s="37"/>
      <c r="G884" s="37"/>
      <c r="H884" s="37"/>
      <c r="I884" s="37"/>
    </row>
    <row r="885" spans="1:9" ht="14.25" customHeight="1" x14ac:dyDescent="0.3">
      <c r="A885" s="46"/>
      <c r="B885" s="46"/>
      <c r="C885" s="46"/>
      <c r="D885" s="37"/>
      <c r="E885" s="37"/>
      <c r="F885" s="37"/>
      <c r="G885" s="37"/>
      <c r="H885" s="37"/>
      <c r="I885" s="37"/>
    </row>
    <row r="886" spans="1:9" ht="14.25" customHeight="1" x14ac:dyDescent="0.3">
      <c r="A886" s="46"/>
      <c r="B886" s="46"/>
      <c r="C886" s="46"/>
      <c r="D886" s="37"/>
      <c r="E886" s="37"/>
      <c r="F886" s="37"/>
      <c r="G886" s="37"/>
      <c r="H886" s="37"/>
      <c r="I886" s="37"/>
    </row>
    <row r="887" spans="1:9" ht="14.25" customHeight="1" x14ac:dyDescent="0.3">
      <c r="A887" s="46"/>
      <c r="B887" s="46"/>
      <c r="C887" s="46"/>
      <c r="D887" s="37"/>
      <c r="E887" s="37"/>
      <c r="F887" s="37"/>
      <c r="G887" s="37"/>
      <c r="H887" s="37"/>
      <c r="I887" s="37"/>
    </row>
    <row r="888" spans="1:9" ht="14.25" customHeight="1" x14ac:dyDescent="0.3">
      <c r="A888" s="46"/>
      <c r="B888" s="46"/>
      <c r="C888" s="46"/>
      <c r="D888" s="37"/>
      <c r="E888" s="37"/>
      <c r="F888" s="37"/>
      <c r="G888" s="37"/>
      <c r="H888" s="37"/>
      <c r="I888" s="37"/>
    </row>
    <row r="889" spans="1:9" ht="14.25" customHeight="1" x14ac:dyDescent="0.3">
      <c r="A889" s="46"/>
      <c r="B889" s="46"/>
      <c r="C889" s="46"/>
      <c r="D889" s="37"/>
      <c r="E889" s="37"/>
      <c r="F889" s="37"/>
      <c r="G889" s="37"/>
      <c r="H889" s="37"/>
      <c r="I889" s="37"/>
    </row>
    <row r="890" spans="1:9" ht="14.25" customHeight="1" x14ac:dyDescent="0.3">
      <c r="A890" s="46"/>
      <c r="B890" s="46"/>
      <c r="C890" s="46"/>
      <c r="D890" s="37"/>
      <c r="E890" s="37"/>
      <c r="F890" s="37"/>
      <c r="G890" s="37"/>
      <c r="H890" s="37"/>
      <c r="I890" s="37"/>
    </row>
    <row r="891" spans="1:9" ht="14.25" customHeight="1" x14ac:dyDescent="0.3">
      <c r="A891" s="46"/>
      <c r="B891" s="46"/>
      <c r="C891" s="46"/>
      <c r="D891" s="37"/>
      <c r="E891" s="37"/>
      <c r="F891" s="37"/>
      <c r="G891" s="37"/>
      <c r="H891" s="37"/>
      <c r="I891" s="37"/>
    </row>
    <row r="892" spans="1:9" ht="14.25" customHeight="1" x14ac:dyDescent="0.3">
      <c r="A892" s="46"/>
      <c r="B892" s="46"/>
      <c r="C892" s="46"/>
      <c r="D892" s="37"/>
      <c r="E892" s="37"/>
      <c r="F892" s="37"/>
      <c r="G892" s="37"/>
      <c r="H892" s="37"/>
      <c r="I892" s="37"/>
    </row>
    <row r="893" spans="1:9" ht="14.25" customHeight="1" x14ac:dyDescent="0.3">
      <c r="A893" s="46"/>
      <c r="B893" s="46"/>
      <c r="C893" s="46"/>
      <c r="D893" s="37"/>
      <c r="E893" s="37"/>
      <c r="F893" s="37"/>
      <c r="G893" s="37"/>
      <c r="H893" s="37"/>
      <c r="I893" s="37"/>
    </row>
    <row r="894" spans="1:9" ht="14.25" customHeight="1" x14ac:dyDescent="0.3">
      <c r="A894" s="46"/>
      <c r="B894" s="46"/>
      <c r="C894" s="46"/>
      <c r="D894" s="37"/>
      <c r="E894" s="37"/>
      <c r="F894" s="37"/>
      <c r="G894" s="37"/>
      <c r="H894" s="37"/>
      <c r="I894" s="37"/>
    </row>
    <row r="895" spans="1:9" ht="14.25" customHeight="1" x14ac:dyDescent="0.3">
      <c r="A895" s="46"/>
      <c r="B895" s="46"/>
      <c r="C895" s="46"/>
      <c r="D895" s="37"/>
      <c r="E895" s="37"/>
      <c r="F895" s="37"/>
      <c r="G895" s="37"/>
      <c r="H895" s="37"/>
      <c r="I895" s="37"/>
    </row>
    <row r="896" spans="1:9" ht="14.25" customHeight="1" x14ac:dyDescent="0.3">
      <c r="A896" s="46"/>
      <c r="B896" s="46"/>
      <c r="C896" s="46"/>
      <c r="D896" s="37"/>
      <c r="E896" s="37"/>
      <c r="F896" s="37"/>
      <c r="G896" s="37"/>
      <c r="H896" s="37"/>
      <c r="I896" s="37"/>
    </row>
    <row r="897" spans="1:9" ht="14.25" customHeight="1" x14ac:dyDescent="0.3">
      <c r="A897" s="46"/>
      <c r="B897" s="46"/>
      <c r="C897" s="46"/>
      <c r="D897" s="37"/>
      <c r="E897" s="37"/>
      <c r="F897" s="37"/>
      <c r="G897" s="37"/>
      <c r="H897" s="37"/>
      <c r="I897" s="37"/>
    </row>
    <row r="898" spans="1:9" ht="14.25" customHeight="1" x14ac:dyDescent="0.3">
      <c r="A898" s="46"/>
      <c r="B898" s="46"/>
      <c r="C898" s="46"/>
      <c r="D898" s="37"/>
      <c r="E898" s="37"/>
      <c r="F898" s="37"/>
      <c r="G898" s="37"/>
      <c r="H898" s="37"/>
      <c r="I898" s="37"/>
    </row>
    <row r="899" spans="1:9" ht="14.25" customHeight="1" x14ac:dyDescent="0.3">
      <c r="A899" s="46"/>
      <c r="B899" s="46"/>
      <c r="C899" s="46"/>
      <c r="D899" s="37"/>
      <c r="E899" s="37"/>
      <c r="F899" s="37"/>
      <c r="G899" s="37"/>
      <c r="H899" s="37"/>
      <c r="I899" s="37"/>
    </row>
    <row r="900" spans="1:9" ht="14.25" customHeight="1" x14ac:dyDescent="0.3">
      <c r="A900" s="46"/>
      <c r="B900" s="46"/>
      <c r="C900" s="46"/>
      <c r="D900" s="37"/>
      <c r="E900" s="37"/>
      <c r="F900" s="37"/>
      <c r="G900" s="37"/>
      <c r="H900" s="37"/>
      <c r="I900" s="37"/>
    </row>
    <row r="901" spans="1:9" ht="14.25" customHeight="1" x14ac:dyDescent="0.3">
      <c r="A901" s="46"/>
      <c r="B901" s="46"/>
      <c r="C901" s="46"/>
      <c r="D901" s="37"/>
      <c r="E901" s="37"/>
      <c r="F901" s="37"/>
      <c r="G901" s="37"/>
      <c r="H901" s="37"/>
      <c r="I901" s="37"/>
    </row>
    <row r="902" spans="1:9" ht="14.25" customHeight="1" x14ac:dyDescent="0.3">
      <c r="A902" s="46"/>
      <c r="B902" s="46"/>
      <c r="C902" s="46"/>
      <c r="D902" s="37"/>
      <c r="E902" s="37"/>
      <c r="F902" s="37"/>
      <c r="G902" s="37"/>
      <c r="H902" s="37"/>
      <c r="I902" s="37"/>
    </row>
    <row r="903" spans="1:9" ht="14.25" customHeight="1" x14ac:dyDescent="0.3">
      <c r="A903" s="46"/>
      <c r="B903" s="46"/>
      <c r="C903" s="46"/>
      <c r="D903" s="37"/>
      <c r="E903" s="37"/>
      <c r="F903" s="37"/>
      <c r="G903" s="37"/>
      <c r="H903" s="37"/>
      <c r="I903" s="37"/>
    </row>
    <row r="904" spans="1:9" ht="14.25" customHeight="1" x14ac:dyDescent="0.3">
      <c r="A904" s="46"/>
      <c r="B904" s="46"/>
      <c r="C904" s="46"/>
      <c r="D904" s="37"/>
      <c r="E904" s="37"/>
      <c r="F904" s="37"/>
      <c r="G904" s="37"/>
      <c r="H904" s="37"/>
      <c r="I904" s="37"/>
    </row>
    <row r="905" spans="1:9" ht="14.25" customHeight="1" x14ac:dyDescent="0.3">
      <c r="A905" s="46"/>
      <c r="B905" s="46"/>
      <c r="C905" s="46"/>
      <c r="D905" s="37"/>
      <c r="E905" s="37"/>
      <c r="F905" s="37"/>
      <c r="G905" s="37"/>
      <c r="H905" s="37"/>
      <c r="I905" s="37"/>
    </row>
    <row r="906" spans="1:9" ht="14.25" customHeight="1" x14ac:dyDescent="0.3">
      <c r="A906" s="46"/>
      <c r="B906" s="46"/>
      <c r="C906" s="46"/>
      <c r="D906" s="37"/>
      <c r="E906" s="37"/>
      <c r="F906" s="37"/>
      <c r="G906" s="37"/>
      <c r="H906" s="37"/>
      <c r="I906" s="37"/>
    </row>
    <row r="907" spans="1:9" ht="14.25" customHeight="1" x14ac:dyDescent="0.3">
      <c r="A907" s="46"/>
      <c r="B907" s="46"/>
      <c r="C907" s="46"/>
      <c r="D907" s="37"/>
      <c r="E907" s="37"/>
      <c r="F907" s="37"/>
      <c r="G907" s="37"/>
      <c r="H907" s="37"/>
      <c r="I907" s="37"/>
    </row>
    <row r="908" spans="1:9" ht="14.25" customHeight="1" x14ac:dyDescent="0.3">
      <c r="A908" s="46"/>
      <c r="B908" s="46"/>
      <c r="C908" s="46"/>
      <c r="D908" s="37"/>
      <c r="E908" s="37"/>
      <c r="F908" s="37"/>
      <c r="G908" s="37"/>
      <c r="H908" s="37"/>
      <c r="I908" s="37"/>
    </row>
    <row r="909" spans="1:9" ht="14.25" customHeight="1" x14ac:dyDescent="0.3">
      <c r="A909" s="46"/>
      <c r="B909" s="46"/>
      <c r="C909" s="46"/>
      <c r="D909" s="37"/>
      <c r="E909" s="37"/>
      <c r="F909" s="37"/>
      <c r="G909" s="37"/>
      <c r="H909" s="37"/>
      <c r="I909" s="37"/>
    </row>
    <row r="910" spans="1:9" ht="14.25" customHeight="1" x14ac:dyDescent="0.3">
      <c r="A910" s="46"/>
      <c r="B910" s="46"/>
      <c r="C910" s="46"/>
      <c r="D910" s="37"/>
      <c r="E910" s="37"/>
      <c r="F910" s="37"/>
      <c r="G910" s="37"/>
      <c r="H910" s="37"/>
      <c r="I910" s="37"/>
    </row>
    <row r="911" spans="1:9" ht="14.25" customHeight="1" x14ac:dyDescent="0.3">
      <c r="A911" s="46"/>
      <c r="B911" s="46"/>
      <c r="C911" s="46"/>
      <c r="D911" s="37"/>
      <c r="E911" s="37"/>
      <c r="F911" s="37"/>
      <c r="G911" s="37"/>
      <c r="H911" s="37"/>
      <c r="I911" s="37"/>
    </row>
    <row r="912" spans="1:9" ht="14.25" customHeight="1" x14ac:dyDescent="0.3">
      <c r="A912" s="46"/>
      <c r="B912" s="46"/>
      <c r="C912" s="46"/>
      <c r="D912" s="37"/>
      <c r="E912" s="37"/>
      <c r="F912" s="37"/>
      <c r="G912" s="37"/>
      <c r="H912" s="37"/>
      <c r="I912" s="37"/>
    </row>
    <row r="913" spans="1:9" ht="14.25" customHeight="1" x14ac:dyDescent="0.3">
      <c r="A913" s="46"/>
      <c r="B913" s="46"/>
      <c r="C913" s="46"/>
      <c r="D913" s="37"/>
      <c r="E913" s="37"/>
      <c r="F913" s="37"/>
      <c r="G913" s="37"/>
      <c r="H913" s="37"/>
      <c r="I913" s="37"/>
    </row>
    <row r="914" spans="1:9" ht="14.25" customHeight="1" x14ac:dyDescent="0.3">
      <c r="A914" s="46"/>
      <c r="B914" s="46"/>
      <c r="C914" s="46"/>
      <c r="D914" s="37"/>
      <c r="E914" s="37"/>
      <c r="F914" s="37"/>
      <c r="G914" s="37"/>
      <c r="H914" s="37"/>
      <c r="I914" s="37"/>
    </row>
    <row r="915" spans="1:9" ht="14.25" customHeight="1" x14ac:dyDescent="0.3">
      <c r="A915" s="46"/>
      <c r="B915" s="46"/>
      <c r="C915" s="46"/>
      <c r="D915" s="37"/>
      <c r="E915" s="37"/>
      <c r="F915" s="37"/>
      <c r="G915" s="37"/>
      <c r="H915" s="37"/>
      <c r="I915" s="37"/>
    </row>
    <row r="916" spans="1:9" ht="14.25" customHeight="1" x14ac:dyDescent="0.3">
      <c r="A916" s="46"/>
      <c r="B916" s="46"/>
      <c r="C916" s="46"/>
      <c r="D916" s="37"/>
      <c r="E916" s="37"/>
      <c r="F916" s="37"/>
      <c r="G916" s="37"/>
      <c r="H916" s="37"/>
      <c r="I916" s="37"/>
    </row>
    <row r="917" spans="1:9" ht="14.25" customHeight="1" x14ac:dyDescent="0.3">
      <c r="A917" s="46"/>
      <c r="B917" s="46"/>
      <c r="C917" s="46"/>
      <c r="D917" s="37"/>
      <c r="E917" s="37"/>
      <c r="F917" s="37"/>
      <c r="G917" s="37"/>
      <c r="H917" s="37"/>
      <c r="I917" s="37"/>
    </row>
    <row r="918" spans="1:9" ht="14.25" customHeight="1" x14ac:dyDescent="0.3">
      <c r="A918" s="46"/>
      <c r="B918" s="46"/>
      <c r="C918" s="46"/>
      <c r="D918" s="37"/>
      <c r="E918" s="37"/>
      <c r="F918" s="37"/>
      <c r="G918" s="37"/>
      <c r="H918" s="37"/>
      <c r="I918" s="37"/>
    </row>
    <row r="919" spans="1:9" ht="14.25" customHeight="1" x14ac:dyDescent="0.3">
      <c r="A919" s="46"/>
      <c r="B919" s="46"/>
      <c r="C919" s="46"/>
      <c r="D919" s="37"/>
      <c r="E919" s="37"/>
      <c r="F919" s="37"/>
      <c r="G919" s="37"/>
      <c r="H919" s="37"/>
      <c r="I919" s="37"/>
    </row>
    <row r="920" spans="1:9" ht="14.25" customHeight="1" x14ac:dyDescent="0.3">
      <c r="A920" s="46"/>
      <c r="B920" s="46"/>
      <c r="C920" s="46"/>
      <c r="D920" s="37"/>
      <c r="E920" s="37"/>
      <c r="F920" s="37"/>
      <c r="G920" s="37"/>
      <c r="H920" s="37"/>
      <c r="I920" s="37"/>
    </row>
    <row r="921" spans="1:9" ht="14.25" customHeight="1" x14ac:dyDescent="0.3">
      <c r="A921" s="46"/>
      <c r="B921" s="46"/>
      <c r="C921" s="46"/>
      <c r="D921" s="37"/>
      <c r="E921" s="37"/>
      <c r="F921" s="37"/>
      <c r="G921" s="37"/>
      <c r="H921" s="37"/>
      <c r="I921" s="37"/>
    </row>
    <row r="922" spans="1:9" ht="14.25" customHeight="1" x14ac:dyDescent="0.3">
      <c r="A922" s="46"/>
      <c r="B922" s="46"/>
      <c r="C922" s="46"/>
      <c r="D922" s="37"/>
      <c r="E922" s="37"/>
      <c r="F922" s="37"/>
      <c r="G922" s="37"/>
      <c r="H922" s="37"/>
      <c r="I922" s="37"/>
    </row>
    <row r="923" spans="1:9" ht="14.25" customHeight="1" x14ac:dyDescent="0.3">
      <c r="A923" s="46"/>
      <c r="B923" s="46"/>
      <c r="C923" s="46"/>
      <c r="D923" s="37"/>
      <c r="E923" s="37"/>
      <c r="F923" s="37"/>
      <c r="G923" s="37"/>
      <c r="H923" s="37"/>
      <c r="I923" s="37"/>
    </row>
    <row r="924" spans="1:9" ht="14.25" customHeight="1" x14ac:dyDescent="0.3">
      <c r="A924" s="46"/>
      <c r="B924" s="46"/>
      <c r="C924" s="46"/>
      <c r="D924" s="37"/>
      <c r="E924" s="37"/>
      <c r="F924" s="37"/>
      <c r="G924" s="37"/>
      <c r="H924" s="37"/>
      <c r="I924" s="37"/>
    </row>
    <row r="925" spans="1:9" ht="14.25" customHeight="1" x14ac:dyDescent="0.3">
      <c r="A925" s="46"/>
      <c r="B925" s="46"/>
      <c r="C925" s="46"/>
      <c r="D925" s="37"/>
      <c r="E925" s="37"/>
      <c r="F925" s="37"/>
      <c r="G925" s="37"/>
      <c r="H925" s="37"/>
      <c r="I925" s="37"/>
    </row>
    <row r="926" spans="1:9" ht="14.25" customHeight="1" x14ac:dyDescent="0.3">
      <c r="A926" s="46"/>
      <c r="B926" s="46"/>
      <c r="C926" s="46"/>
      <c r="D926" s="37"/>
      <c r="E926" s="37"/>
      <c r="F926" s="37"/>
      <c r="G926" s="37"/>
      <c r="H926" s="37"/>
      <c r="I926" s="37"/>
    </row>
    <row r="927" spans="1:9" ht="14.25" customHeight="1" x14ac:dyDescent="0.3">
      <c r="A927" s="46"/>
      <c r="B927" s="46"/>
      <c r="C927" s="46"/>
      <c r="D927" s="37"/>
      <c r="E927" s="37"/>
      <c r="F927" s="37"/>
      <c r="G927" s="37"/>
      <c r="H927" s="37"/>
      <c r="I927" s="37"/>
    </row>
    <row r="928" spans="1:9" ht="14.25" customHeight="1" x14ac:dyDescent="0.3">
      <c r="A928" s="46"/>
      <c r="B928" s="46"/>
      <c r="C928" s="46"/>
      <c r="D928" s="37"/>
      <c r="E928" s="37"/>
      <c r="F928" s="37"/>
      <c r="G928" s="37"/>
      <c r="H928" s="37"/>
      <c r="I928" s="37"/>
    </row>
    <row r="929" spans="1:9" ht="14.25" customHeight="1" x14ac:dyDescent="0.3">
      <c r="A929" s="46"/>
      <c r="B929" s="46"/>
      <c r="C929" s="46"/>
      <c r="D929" s="37"/>
      <c r="E929" s="37"/>
      <c r="F929" s="37"/>
      <c r="G929" s="37"/>
      <c r="H929" s="37"/>
      <c r="I929" s="37"/>
    </row>
    <row r="930" spans="1:9" ht="14.25" customHeight="1" x14ac:dyDescent="0.3">
      <c r="A930" s="46"/>
      <c r="B930" s="46"/>
      <c r="C930" s="46"/>
      <c r="D930" s="37"/>
      <c r="E930" s="37"/>
      <c r="F930" s="37"/>
      <c r="G930" s="37"/>
      <c r="H930" s="37"/>
      <c r="I930" s="37"/>
    </row>
    <row r="931" spans="1:9" ht="14.25" customHeight="1" x14ac:dyDescent="0.3">
      <c r="A931" s="46"/>
      <c r="B931" s="46"/>
      <c r="C931" s="46"/>
      <c r="D931" s="37"/>
      <c r="E931" s="37"/>
      <c r="F931" s="37"/>
      <c r="G931" s="37"/>
      <c r="H931" s="37"/>
      <c r="I931" s="37"/>
    </row>
    <row r="932" spans="1:9" ht="14.25" customHeight="1" x14ac:dyDescent="0.3">
      <c r="A932" s="46"/>
      <c r="B932" s="46"/>
      <c r="C932" s="46"/>
      <c r="D932" s="37"/>
      <c r="E932" s="37"/>
      <c r="F932" s="37"/>
      <c r="G932" s="37"/>
      <c r="H932" s="37"/>
      <c r="I932" s="37"/>
    </row>
    <row r="933" spans="1:9" ht="14.25" customHeight="1" x14ac:dyDescent="0.3">
      <c r="A933" s="46"/>
      <c r="B933" s="46"/>
      <c r="C933" s="46"/>
      <c r="D933" s="37"/>
      <c r="E933" s="37"/>
      <c r="F933" s="37"/>
      <c r="G933" s="37"/>
      <c r="H933" s="37"/>
      <c r="I933" s="37"/>
    </row>
    <row r="934" spans="1:9" ht="14.25" customHeight="1" x14ac:dyDescent="0.3">
      <c r="A934" s="46"/>
      <c r="B934" s="46"/>
      <c r="C934" s="46"/>
      <c r="D934" s="37"/>
      <c r="E934" s="37"/>
      <c r="F934" s="37"/>
      <c r="G934" s="37"/>
      <c r="H934" s="37"/>
      <c r="I934" s="37"/>
    </row>
    <row r="935" spans="1:9" ht="14.25" customHeight="1" x14ac:dyDescent="0.3">
      <c r="A935" s="46"/>
      <c r="B935" s="46"/>
      <c r="C935" s="46"/>
      <c r="D935" s="37"/>
      <c r="E935" s="37"/>
      <c r="F935" s="37"/>
      <c r="G935" s="37"/>
      <c r="H935" s="37"/>
      <c r="I935" s="37"/>
    </row>
    <row r="936" spans="1:9" ht="14.25" customHeight="1" x14ac:dyDescent="0.3">
      <c r="A936" s="46"/>
      <c r="B936" s="46"/>
      <c r="C936" s="46"/>
      <c r="D936" s="37"/>
      <c r="E936" s="37"/>
      <c r="F936" s="37"/>
      <c r="G936" s="37"/>
      <c r="H936" s="37"/>
      <c r="I936" s="37"/>
    </row>
    <row r="937" spans="1:9" ht="14.25" customHeight="1" x14ac:dyDescent="0.3">
      <c r="A937" s="46"/>
      <c r="B937" s="46"/>
      <c r="C937" s="46"/>
      <c r="D937" s="37"/>
      <c r="E937" s="37"/>
      <c r="F937" s="37"/>
      <c r="G937" s="37"/>
      <c r="H937" s="37"/>
      <c r="I937" s="37"/>
    </row>
    <row r="938" spans="1:9" ht="14.25" customHeight="1" x14ac:dyDescent="0.3">
      <c r="A938" s="46"/>
      <c r="B938" s="46"/>
      <c r="C938" s="46"/>
      <c r="D938" s="37"/>
      <c r="E938" s="37"/>
      <c r="F938" s="37"/>
      <c r="G938" s="37"/>
      <c r="H938" s="37"/>
      <c r="I938" s="37"/>
    </row>
    <row r="939" spans="1:9" ht="14.25" customHeight="1" x14ac:dyDescent="0.3">
      <c r="A939" s="46"/>
      <c r="B939" s="46"/>
      <c r="C939" s="46"/>
      <c r="D939" s="37"/>
      <c r="E939" s="37"/>
      <c r="F939" s="37"/>
      <c r="G939" s="37"/>
      <c r="H939" s="37"/>
      <c r="I939" s="37"/>
    </row>
    <row r="940" spans="1:9" ht="14.25" customHeight="1" x14ac:dyDescent="0.3">
      <c r="A940" s="46"/>
      <c r="B940" s="46"/>
      <c r="C940" s="46"/>
      <c r="D940" s="37"/>
      <c r="E940" s="37"/>
      <c r="F940" s="37"/>
      <c r="G940" s="37"/>
      <c r="H940" s="37"/>
      <c r="I940" s="37"/>
    </row>
    <row r="941" spans="1:9" ht="14.25" customHeight="1" x14ac:dyDescent="0.3">
      <c r="A941" s="46"/>
      <c r="B941" s="46"/>
      <c r="C941" s="46"/>
      <c r="D941" s="37"/>
      <c r="E941" s="37"/>
      <c r="F941" s="37"/>
      <c r="G941" s="37"/>
      <c r="H941" s="37"/>
      <c r="I941" s="37"/>
    </row>
    <row r="942" spans="1:9" ht="14.25" customHeight="1" x14ac:dyDescent="0.3">
      <c r="A942" s="46"/>
      <c r="B942" s="46"/>
      <c r="C942" s="46"/>
      <c r="D942" s="37"/>
      <c r="E942" s="37"/>
      <c r="F942" s="37"/>
      <c r="G942" s="37"/>
      <c r="H942" s="37"/>
      <c r="I942" s="37"/>
    </row>
    <row r="943" spans="1:9" ht="14.25" customHeight="1" x14ac:dyDescent="0.3">
      <c r="A943" s="46"/>
      <c r="B943" s="46"/>
      <c r="C943" s="46"/>
      <c r="D943" s="37"/>
      <c r="E943" s="37"/>
      <c r="F943" s="37"/>
      <c r="G943" s="37"/>
      <c r="H943" s="37"/>
      <c r="I943" s="37"/>
    </row>
    <row r="944" spans="1:9" ht="14.25" customHeight="1" x14ac:dyDescent="0.3">
      <c r="A944" s="46"/>
      <c r="B944" s="46"/>
      <c r="C944" s="46"/>
      <c r="D944" s="37"/>
      <c r="E944" s="37"/>
      <c r="F944" s="37"/>
      <c r="G944" s="37"/>
      <c r="H944" s="37"/>
      <c r="I944" s="37"/>
    </row>
    <row r="945" spans="1:9" ht="14.25" customHeight="1" x14ac:dyDescent="0.3">
      <c r="A945" s="46"/>
      <c r="B945" s="46"/>
      <c r="C945" s="46"/>
      <c r="D945" s="37"/>
      <c r="E945" s="37"/>
      <c r="F945" s="37"/>
      <c r="G945" s="37"/>
      <c r="H945" s="37"/>
      <c r="I945" s="37"/>
    </row>
    <row r="946" spans="1:9" ht="14.25" customHeight="1" x14ac:dyDescent="0.3">
      <c r="A946" s="46"/>
      <c r="B946" s="46"/>
      <c r="C946" s="46"/>
      <c r="D946" s="37"/>
      <c r="E946" s="37"/>
      <c r="F946" s="37"/>
      <c r="G946" s="37"/>
      <c r="H946" s="37"/>
      <c r="I946" s="37"/>
    </row>
    <row r="947" spans="1:9" ht="14.25" customHeight="1" x14ac:dyDescent="0.3">
      <c r="A947" s="46"/>
      <c r="B947" s="46"/>
      <c r="C947" s="46"/>
      <c r="D947" s="37"/>
      <c r="E947" s="37"/>
      <c r="F947" s="37"/>
      <c r="G947" s="37"/>
      <c r="H947" s="37"/>
      <c r="I947" s="37"/>
    </row>
    <row r="948" spans="1:9" ht="14.25" customHeight="1" x14ac:dyDescent="0.3">
      <c r="A948" s="46"/>
      <c r="B948" s="46"/>
      <c r="C948" s="46"/>
      <c r="D948" s="37"/>
      <c r="E948" s="37"/>
      <c r="F948" s="37"/>
      <c r="G948" s="37"/>
      <c r="H948" s="37"/>
      <c r="I948" s="37"/>
    </row>
    <row r="949" spans="1:9" ht="14.25" customHeight="1" x14ac:dyDescent="0.3">
      <c r="A949" s="46"/>
      <c r="B949" s="46"/>
      <c r="C949" s="46"/>
      <c r="D949" s="37"/>
      <c r="E949" s="37"/>
      <c r="F949" s="37"/>
      <c r="G949" s="37"/>
      <c r="H949" s="37"/>
      <c r="I949" s="37"/>
    </row>
    <row r="950" spans="1:9" ht="14.25" customHeight="1" x14ac:dyDescent="0.3">
      <c r="A950" s="46"/>
      <c r="B950" s="46"/>
      <c r="C950" s="46"/>
      <c r="D950" s="37"/>
      <c r="E950" s="37"/>
      <c r="F950" s="37"/>
      <c r="G950" s="37"/>
      <c r="H950" s="37"/>
      <c r="I950" s="37"/>
    </row>
    <row r="951" spans="1:9" ht="14.25" customHeight="1" x14ac:dyDescent="0.3">
      <c r="A951" s="46"/>
      <c r="B951" s="46"/>
      <c r="C951" s="46"/>
      <c r="D951" s="37"/>
      <c r="E951" s="37"/>
      <c r="F951" s="37"/>
      <c r="G951" s="37"/>
      <c r="H951" s="37"/>
      <c r="I951" s="37"/>
    </row>
    <row r="952" spans="1:9" ht="14.25" customHeight="1" x14ac:dyDescent="0.3">
      <c r="A952" s="46"/>
      <c r="B952" s="46"/>
      <c r="C952" s="46"/>
      <c r="D952" s="37"/>
      <c r="E952" s="37"/>
      <c r="F952" s="37"/>
      <c r="G952" s="37"/>
      <c r="H952" s="37"/>
      <c r="I952" s="37"/>
    </row>
    <row r="953" spans="1:9" ht="14.25" customHeight="1" x14ac:dyDescent="0.3">
      <c r="A953" s="46"/>
      <c r="B953" s="46"/>
      <c r="C953" s="46"/>
      <c r="D953" s="37"/>
      <c r="E953" s="37"/>
      <c r="F953" s="37"/>
      <c r="G953" s="37"/>
      <c r="H953" s="37"/>
      <c r="I953" s="37"/>
    </row>
    <row r="954" spans="1:9" ht="14.25" customHeight="1" x14ac:dyDescent="0.3">
      <c r="A954" s="46"/>
      <c r="B954" s="46"/>
      <c r="C954" s="46"/>
      <c r="D954" s="37"/>
      <c r="E954" s="37"/>
      <c r="F954" s="37"/>
      <c r="G954" s="37"/>
      <c r="H954" s="37"/>
      <c r="I954" s="37"/>
    </row>
    <row r="955" spans="1:9" ht="14.25" customHeight="1" x14ac:dyDescent="0.3">
      <c r="A955" s="46"/>
      <c r="B955" s="46"/>
      <c r="C955" s="46"/>
      <c r="D955" s="37"/>
      <c r="E955" s="37"/>
      <c r="F955" s="37"/>
      <c r="G955" s="37"/>
      <c r="H955" s="37"/>
      <c r="I955" s="37"/>
    </row>
    <row r="956" spans="1:9" ht="14.25" customHeight="1" x14ac:dyDescent="0.3">
      <c r="A956" s="46"/>
      <c r="B956" s="46"/>
      <c r="C956" s="46"/>
      <c r="D956" s="37"/>
      <c r="E956" s="37"/>
      <c r="F956" s="37"/>
      <c r="G956" s="37"/>
      <c r="H956" s="37"/>
      <c r="I956" s="37"/>
    </row>
    <row r="957" spans="1:9" ht="14.25" customHeight="1" x14ac:dyDescent="0.3">
      <c r="A957" s="46"/>
      <c r="B957" s="46"/>
      <c r="C957" s="46"/>
      <c r="D957" s="37"/>
      <c r="E957" s="37"/>
      <c r="F957" s="37"/>
      <c r="G957" s="37"/>
      <c r="H957" s="37"/>
      <c r="I957" s="37"/>
    </row>
    <row r="958" spans="1:9" ht="14.25" customHeight="1" x14ac:dyDescent="0.3">
      <c r="A958" s="46"/>
      <c r="B958" s="46"/>
      <c r="C958" s="46"/>
      <c r="D958" s="37"/>
      <c r="E958" s="37"/>
      <c r="F958" s="37"/>
      <c r="G958" s="37"/>
      <c r="H958" s="37"/>
      <c r="I958" s="37"/>
    </row>
    <row r="959" spans="1:9" ht="14.25" customHeight="1" x14ac:dyDescent="0.3">
      <c r="A959" s="46"/>
      <c r="B959" s="46"/>
      <c r="C959" s="46"/>
      <c r="D959" s="37"/>
      <c r="E959" s="37"/>
      <c r="F959" s="37"/>
      <c r="G959" s="37"/>
      <c r="H959" s="37"/>
      <c r="I959" s="37"/>
    </row>
    <row r="960" spans="1:9" ht="14.25" customHeight="1" x14ac:dyDescent="0.3">
      <c r="A960" s="46"/>
      <c r="B960" s="46"/>
      <c r="C960" s="46"/>
      <c r="D960" s="37"/>
      <c r="E960" s="37"/>
      <c r="F960" s="37"/>
      <c r="G960" s="37"/>
      <c r="H960" s="37"/>
      <c r="I960" s="37"/>
    </row>
    <row r="961" spans="1:9" ht="14.25" customHeight="1" x14ac:dyDescent="0.3">
      <c r="A961" s="46"/>
      <c r="B961" s="46"/>
      <c r="C961" s="46"/>
      <c r="D961" s="37"/>
      <c r="E961" s="37"/>
      <c r="F961" s="37"/>
      <c r="G961" s="37"/>
      <c r="H961" s="37"/>
      <c r="I961" s="37"/>
    </row>
    <row r="962" spans="1:9" ht="14.25" customHeight="1" x14ac:dyDescent="0.3">
      <c r="A962" s="46"/>
      <c r="B962" s="46"/>
      <c r="C962" s="46"/>
      <c r="D962" s="37"/>
      <c r="E962" s="37"/>
      <c r="F962" s="37"/>
      <c r="G962" s="37"/>
      <c r="H962" s="37"/>
      <c r="I962" s="37"/>
    </row>
    <row r="963" spans="1:9" ht="14.25" customHeight="1" x14ac:dyDescent="0.3">
      <c r="A963" s="46"/>
      <c r="B963" s="46"/>
      <c r="C963" s="46"/>
      <c r="D963" s="37"/>
      <c r="E963" s="37"/>
      <c r="F963" s="37"/>
      <c r="G963" s="37"/>
      <c r="H963" s="37"/>
      <c r="I963" s="37"/>
    </row>
    <row r="964" spans="1:9" ht="14.25" customHeight="1" x14ac:dyDescent="0.3">
      <c r="A964" s="46"/>
      <c r="B964" s="46"/>
      <c r="C964" s="46"/>
      <c r="D964" s="37"/>
      <c r="E964" s="37"/>
      <c r="F964" s="37"/>
      <c r="G964" s="37"/>
      <c r="H964" s="37"/>
      <c r="I964" s="37"/>
    </row>
    <row r="965" spans="1:9" ht="14.25" customHeight="1" x14ac:dyDescent="0.3">
      <c r="A965" s="46"/>
      <c r="B965" s="46"/>
      <c r="C965" s="46"/>
      <c r="D965" s="37"/>
      <c r="E965" s="37"/>
      <c r="F965" s="37"/>
      <c r="G965" s="37"/>
      <c r="H965" s="37"/>
      <c r="I965" s="37"/>
    </row>
    <row r="966" spans="1:9" ht="14.25" customHeight="1" x14ac:dyDescent="0.3">
      <c r="A966" s="46"/>
      <c r="B966" s="46"/>
      <c r="C966" s="46"/>
      <c r="D966" s="37"/>
      <c r="E966" s="37"/>
      <c r="F966" s="37"/>
      <c r="G966" s="37"/>
      <c r="H966" s="37"/>
      <c r="I966" s="37"/>
    </row>
    <row r="967" spans="1:9" ht="14.25" customHeight="1" x14ac:dyDescent="0.3">
      <c r="A967" s="46"/>
      <c r="B967" s="46"/>
      <c r="C967" s="46"/>
      <c r="D967" s="37"/>
      <c r="E967" s="37"/>
      <c r="F967" s="37"/>
      <c r="G967" s="37"/>
      <c r="H967" s="37"/>
      <c r="I967" s="37"/>
    </row>
    <row r="968" spans="1:9" ht="14.25" customHeight="1" x14ac:dyDescent="0.3">
      <c r="A968" s="46"/>
      <c r="B968" s="46"/>
      <c r="C968" s="46"/>
      <c r="D968" s="37"/>
      <c r="E968" s="37"/>
      <c r="F968" s="37"/>
      <c r="G968" s="37"/>
      <c r="H968" s="37"/>
      <c r="I968" s="37"/>
    </row>
    <row r="969" spans="1:9" ht="14.25" customHeight="1" x14ac:dyDescent="0.3">
      <c r="A969" s="46"/>
      <c r="B969" s="46"/>
      <c r="C969" s="46"/>
      <c r="D969" s="37"/>
      <c r="E969" s="37"/>
      <c r="F969" s="37"/>
      <c r="G969" s="37"/>
      <c r="H969" s="37"/>
      <c r="I969" s="37"/>
    </row>
    <row r="970" spans="1:9" ht="14.25" customHeight="1" x14ac:dyDescent="0.3">
      <c r="A970" s="46"/>
      <c r="B970" s="46"/>
      <c r="C970" s="46"/>
      <c r="D970" s="37"/>
      <c r="E970" s="37"/>
      <c r="F970" s="37"/>
      <c r="G970" s="37"/>
      <c r="H970" s="37"/>
      <c r="I970" s="37"/>
    </row>
    <row r="971" spans="1:9" ht="14.25" customHeight="1" x14ac:dyDescent="0.3">
      <c r="A971" s="46"/>
      <c r="B971" s="46"/>
      <c r="C971" s="46"/>
      <c r="D971" s="37"/>
      <c r="E971" s="37"/>
      <c r="F971" s="37"/>
      <c r="G971" s="37"/>
      <c r="H971" s="37"/>
      <c r="I971" s="37"/>
    </row>
    <row r="972" spans="1:9" ht="14.25" customHeight="1" x14ac:dyDescent="0.3">
      <c r="A972" s="46"/>
      <c r="B972" s="46"/>
      <c r="C972" s="46"/>
      <c r="D972" s="37"/>
      <c r="E972" s="37"/>
      <c r="F972" s="37"/>
      <c r="G972" s="37"/>
      <c r="H972" s="37"/>
      <c r="I972" s="37"/>
    </row>
    <row r="973" spans="1:9" ht="14.25" customHeight="1" x14ac:dyDescent="0.3">
      <c r="A973" s="46"/>
      <c r="B973" s="46"/>
      <c r="C973" s="46"/>
      <c r="D973" s="37"/>
      <c r="E973" s="37"/>
      <c r="F973" s="37"/>
      <c r="G973" s="37"/>
      <c r="H973" s="37"/>
      <c r="I973" s="37"/>
    </row>
    <row r="974" spans="1:9" ht="14.25" customHeight="1" x14ac:dyDescent="0.3">
      <c r="A974" s="46"/>
      <c r="B974" s="46"/>
      <c r="C974" s="46"/>
      <c r="D974" s="37"/>
      <c r="E974" s="37"/>
      <c r="F974" s="37"/>
      <c r="G974" s="37"/>
      <c r="H974" s="37"/>
      <c r="I974" s="37"/>
    </row>
    <row r="975" spans="1:9" ht="14.25" customHeight="1" x14ac:dyDescent="0.3">
      <c r="A975" s="46"/>
      <c r="B975" s="46"/>
      <c r="C975" s="46"/>
      <c r="D975" s="37"/>
      <c r="E975" s="37"/>
      <c r="F975" s="37"/>
      <c r="G975" s="37"/>
      <c r="H975" s="37"/>
      <c r="I975" s="37"/>
    </row>
    <row r="976" spans="1:9" ht="14.25" customHeight="1" x14ac:dyDescent="0.3">
      <c r="A976" s="46"/>
      <c r="B976" s="46"/>
      <c r="C976" s="46"/>
      <c r="D976" s="37"/>
      <c r="E976" s="37"/>
      <c r="F976" s="37"/>
      <c r="G976" s="37"/>
      <c r="H976" s="37"/>
      <c r="I976" s="37"/>
    </row>
    <row r="977" spans="1:9" ht="14.25" customHeight="1" x14ac:dyDescent="0.3">
      <c r="A977" s="46"/>
      <c r="B977" s="46"/>
      <c r="C977" s="46"/>
      <c r="D977" s="37"/>
      <c r="E977" s="37"/>
      <c r="F977" s="37"/>
      <c r="G977" s="37"/>
      <c r="H977" s="37"/>
      <c r="I977" s="37"/>
    </row>
    <row r="978" spans="1:9" ht="14.25" customHeight="1" x14ac:dyDescent="0.3">
      <c r="A978" s="46"/>
      <c r="B978" s="46"/>
      <c r="C978" s="46"/>
      <c r="D978" s="37"/>
      <c r="E978" s="37"/>
      <c r="F978" s="37"/>
      <c r="G978" s="37"/>
      <c r="H978" s="37"/>
      <c r="I978" s="37"/>
    </row>
    <row r="979" spans="1:9" ht="14.25" customHeight="1" x14ac:dyDescent="0.3">
      <c r="A979" s="46"/>
      <c r="B979" s="46"/>
      <c r="C979" s="46"/>
      <c r="D979" s="37"/>
      <c r="E979" s="37"/>
      <c r="F979" s="37"/>
      <c r="G979" s="37"/>
      <c r="H979" s="37"/>
      <c r="I979" s="37"/>
    </row>
    <row r="980" spans="1:9" ht="14.25" customHeight="1" x14ac:dyDescent="0.3">
      <c r="A980" s="46"/>
      <c r="B980" s="46"/>
      <c r="C980" s="46"/>
      <c r="D980" s="37"/>
      <c r="E980" s="37"/>
      <c r="F980" s="37"/>
      <c r="G980" s="37"/>
      <c r="H980" s="37"/>
      <c r="I980" s="37"/>
    </row>
    <row r="981" spans="1:9" ht="14.25" customHeight="1" x14ac:dyDescent="0.3">
      <c r="A981" s="46"/>
      <c r="B981" s="46"/>
      <c r="C981" s="46"/>
      <c r="D981" s="37"/>
      <c r="E981" s="37"/>
      <c r="F981" s="37"/>
      <c r="G981" s="37"/>
      <c r="H981" s="37"/>
      <c r="I981" s="37"/>
    </row>
    <row r="982" spans="1:9" ht="14.25" customHeight="1" x14ac:dyDescent="0.3">
      <c r="A982" s="46"/>
      <c r="B982" s="46"/>
      <c r="C982" s="46"/>
      <c r="D982" s="37"/>
      <c r="E982" s="37"/>
      <c r="F982" s="37"/>
      <c r="G982" s="37"/>
      <c r="H982" s="37"/>
      <c r="I982" s="37"/>
    </row>
    <row r="983" spans="1:9" ht="14.25" customHeight="1" x14ac:dyDescent="0.3">
      <c r="A983" s="46"/>
      <c r="B983" s="46"/>
      <c r="C983" s="46"/>
      <c r="D983" s="37"/>
      <c r="E983" s="37"/>
      <c r="F983" s="37"/>
      <c r="G983" s="37"/>
      <c r="H983" s="37"/>
      <c r="I983" s="37"/>
    </row>
    <row r="984" spans="1:9" ht="14.25" customHeight="1" x14ac:dyDescent="0.3">
      <c r="A984" s="46"/>
      <c r="B984" s="46"/>
      <c r="C984" s="46"/>
      <c r="D984" s="37"/>
      <c r="E984" s="37"/>
      <c r="F984" s="37"/>
      <c r="G984" s="37"/>
      <c r="H984" s="37"/>
      <c r="I984" s="37"/>
    </row>
    <row r="985" spans="1:9" ht="14.25" customHeight="1" x14ac:dyDescent="0.3">
      <c r="A985" s="46"/>
      <c r="B985" s="46"/>
      <c r="C985" s="46"/>
      <c r="D985" s="37"/>
      <c r="E985" s="37"/>
      <c r="F985" s="37"/>
      <c r="G985" s="37"/>
      <c r="H985" s="37"/>
      <c r="I985" s="37"/>
    </row>
    <row r="986" spans="1:9" ht="14.25" customHeight="1" x14ac:dyDescent="0.3">
      <c r="A986" s="46"/>
      <c r="B986" s="46"/>
      <c r="C986" s="46"/>
      <c r="D986" s="37"/>
      <c r="E986" s="37"/>
      <c r="F986" s="37"/>
      <c r="G986" s="37"/>
      <c r="H986" s="37"/>
      <c r="I986" s="37"/>
    </row>
    <row r="987" spans="1:9" ht="14.25" customHeight="1" x14ac:dyDescent="0.3">
      <c r="A987" s="46"/>
      <c r="B987" s="46"/>
      <c r="C987" s="46"/>
      <c r="D987" s="37"/>
      <c r="E987" s="37"/>
      <c r="F987" s="37"/>
      <c r="G987" s="37"/>
      <c r="H987" s="37"/>
      <c r="I987" s="37"/>
    </row>
    <row r="988" spans="1:9" ht="14.25" customHeight="1" x14ac:dyDescent="0.3">
      <c r="A988" s="46"/>
      <c r="B988" s="46"/>
      <c r="C988" s="46"/>
      <c r="D988" s="37"/>
      <c r="E988" s="37"/>
      <c r="F988" s="37"/>
      <c r="G988" s="37"/>
      <c r="H988" s="37"/>
      <c r="I988" s="37"/>
    </row>
    <row r="989" spans="1:9" ht="14.25" customHeight="1" x14ac:dyDescent="0.3">
      <c r="A989" s="46"/>
      <c r="B989" s="46"/>
      <c r="C989" s="46"/>
      <c r="D989" s="37"/>
      <c r="E989" s="37"/>
      <c r="F989" s="37"/>
      <c r="G989" s="37"/>
      <c r="H989" s="37"/>
      <c r="I989" s="37"/>
    </row>
    <row r="990" spans="1:9" ht="14.25" customHeight="1" x14ac:dyDescent="0.3">
      <c r="A990" s="46"/>
      <c r="B990" s="46"/>
      <c r="C990" s="46"/>
      <c r="D990" s="37"/>
      <c r="E990" s="37"/>
      <c r="F990" s="37"/>
      <c r="G990" s="37"/>
      <c r="H990" s="37"/>
      <c r="I990" s="37"/>
    </row>
    <row r="991" spans="1:9" ht="14.25" customHeight="1" x14ac:dyDescent="0.3">
      <c r="A991" s="46"/>
      <c r="B991" s="46"/>
      <c r="C991" s="46"/>
      <c r="D991" s="37"/>
      <c r="E991" s="37"/>
      <c r="F991" s="37"/>
      <c r="G991" s="37"/>
      <c r="H991" s="37"/>
      <c r="I991" s="37"/>
    </row>
    <row r="992" spans="1:9" ht="14.25" customHeight="1" x14ac:dyDescent="0.3">
      <c r="A992" s="46"/>
      <c r="B992" s="46"/>
      <c r="C992" s="46"/>
      <c r="D992" s="37"/>
      <c r="E992" s="37"/>
      <c r="F992" s="37"/>
      <c r="G992" s="37"/>
      <c r="H992" s="37"/>
      <c r="I992" s="37"/>
    </row>
    <row r="993" spans="1:9" ht="14.25" customHeight="1" x14ac:dyDescent="0.3">
      <c r="A993" s="46"/>
      <c r="B993" s="46"/>
      <c r="C993" s="46"/>
      <c r="D993" s="37"/>
      <c r="E993" s="37"/>
      <c r="F993" s="37"/>
      <c r="G993" s="37"/>
      <c r="H993" s="37"/>
      <c r="I993" s="37"/>
    </row>
    <row r="994" spans="1:9" ht="14.25" customHeight="1" x14ac:dyDescent="0.3">
      <c r="A994" s="46"/>
      <c r="B994" s="46"/>
      <c r="C994" s="46"/>
      <c r="D994" s="37"/>
      <c r="E994" s="37"/>
      <c r="F994" s="37"/>
      <c r="G994" s="37"/>
      <c r="H994" s="37"/>
      <c r="I994" s="37"/>
    </row>
    <row r="995" spans="1:9" ht="14.25" customHeight="1" x14ac:dyDescent="0.3">
      <c r="A995" s="46"/>
      <c r="B995" s="46"/>
      <c r="C995" s="46"/>
      <c r="D995" s="37"/>
      <c r="E995" s="37"/>
      <c r="F995" s="37"/>
      <c r="G995" s="37"/>
      <c r="H995" s="37"/>
      <c r="I995" s="37"/>
    </row>
    <row r="996" spans="1:9" ht="14.25" customHeight="1" x14ac:dyDescent="0.3">
      <c r="A996" s="46"/>
      <c r="B996" s="46"/>
      <c r="C996" s="46"/>
      <c r="D996" s="37"/>
      <c r="E996" s="37"/>
      <c r="F996" s="37"/>
      <c r="G996" s="37"/>
      <c r="H996" s="37"/>
      <c r="I996" s="37"/>
    </row>
    <row r="997" spans="1:9" ht="14.25" customHeight="1" x14ac:dyDescent="0.3">
      <c r="A997" s="46"/>
      <c r="B997" s="46"/>
      <c r="C997" s="46"/>
      <c r="D997" s="37"/>
      <c r="E997" s="37"/>
      <c r="F997" s="37"/>
      <c r="G997" s="37"/>
      <c r="H997" s="37"/>
      <c r="I997" s="37"/>
    </row>
    <row r="998" spans="1:9" ht="14.25" customHeight="1" x14ac:dyDescent="0.3">
      <c r="A998" s="46"/>
      <c r="B998" s="46"/>
      <c r="C998" s="46"/>
      <c r="D998" s="37"/>
      <c r="E998" s="37"/>
      <c r="F998" s="37"/>
      <c r="G998" s="37"/>
      <c r="H998" s="37"/>
      <c r="I998" s="37"/>
    </row>
    <row r="999" spans="1:9" ht="14.25" customHeight="1" x14ac:dyDescent="0.3">
      <c r="A999" s="46"/>
      <c r="B999" s="46"/>
      <c r="C999" s="46"/>
      <c r="D999" s="37"/>
      <c r="E999" s="37"/>
      <c r="F999" s="37"/>
      <c r="G999" s="37"/>
      <c r="H999" s="37"/>
      <c r="I999" s="37"/>
    </row>
    <row r="1000" spans="1:9" ht="14.25" customHeight="1" x14ac:dyDescent="0.3">
      <c r="A1000" s="46"/>
      <c r="B1000" s="46"/>
      <c r="C1000" s="46"/>
      <c r="D1000" s="37"/>
      <c r="E1000" s="37"/>
      <c r="F1000" s="37"/>
      <c r="G1000" s="37"/>
      <c r="H1000" s="37"/>
      <c r="I1000" s="37"/>
    </row>
  </sheetData>
  <mergeCells count="4">
    <mergeCell ref="A699:A703"/>
    <mergeCell ref="A704:A747"/>
    <mergeCell ref="A748:A757"/>
    <mergeCell ref="A758:A782"/>
  </mergeCells>
  <pageMargins left="0.70078740157480324" right="0.70078740157480324" top="0.75196850393700787" bottom="0.75196850393700787" header="0" footer="0"/>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5"/>
  <dimension ref="A1:L1000"/>
  <sheetViews>
    <sheetView showGridLines="0" topLeftCell="A248" workbookViewId="0">
      <selection activeCell="B12" sqref="B12"/>
    </sheetView>
  </sheetViews>
  <sheetFormatPr baseColWidth="10" defaultColWidth="14.44140625" defaultRowHeight="15" customHeight="1" x14ac:dyDescent="0.3"/>
  <cols>
    <col min="1" max="1" width="48" customWidth="1"/>
    <col min="2" max="2" width="119.77734375" customWidth="1"/>
    <col min="3" max="3" width="48.21875" customWidth="1"/>
    <col min="4" max="4" width="36.21875" customWidth="1"/>
    <col min="5" max="9" width="10.77734375" customWidth="1"/>
    <col min="10" max="10" width="45.77734375" customWidth="1"/>
    <col min="11" max="26" width="10.77734375" customWidth="1"/>
  </cols>
  <sheetData>
    <row r="1" spans="1:4" ht="14.25" customHeight="1" x14ac:dyDescent="0.3">
      <c r="A1" s="35" t="s">
        <v>901</v>
      </c>
      <c r="B1" s="36"/>
      <c r="C1" s="37"/>
      <c r="D1" s="37"/>
    </row>
    <row r="2" spans="1:4" ht="14.25" customHeight="1" x14ac:dyDescent="0.3">
      <c r="A2" s="36">
        <v>1</v>
      </c>
      <c r="B2" s="36" t="s">
        <v>118</v>
      </c>
      <c r="C2" s="37"/>
      <c r="D2" s="37"/>
    </row>
    <row r="3" spans="1:4" ht="14.25" customHeight="1" x14ac:dyDescent="0.3">
      <c r="A3" s="36">
        <v>2</v>
      </c>
      <c r="B3" s="36" t="s">
        <v>195</v>
      </c>
      <c r="C3" s="37"/>
      <c r="D3" s="37"/>
    </row>
    <row r="4" spans="1:4" ht="14.25" customHeight="1" x14ac:dyDescent="0.3">
      <c r="A4" s="36">
        <v>3</v>
      </c>
      <c r="B4" s="36" t="s">
        <v>653</v>
      </c>
      <c r="C4" s="37"/>
      <c r="D4" s="37"/>
    </row>
    <row r="5" spans="1:4" ht="14.25" customHeight="1" x14ac:dyDescent="0.3">
      <c r="A5" s="36">
        <v>4</v>
      </c>
      <c r="B5" s="36" t="s">
        <v>97</v>
      </c>
      <c r="C5" s="37"/>
      <c r="D5" s="37"/>
    </row>
    <row r="6" spans="1:4" ht="14.25" customHeight="1" x14ac:dyDescent="0.3">
      <c r="A6" s="36">
        <v>5</v>
      </c>
      <c r="B6" s="36" t="s">
        <v>685</v>
      </c>
      <c r="C6" s="37"/>
      <c r="D6" s="37"/>
    </row>
    <row r="7" spans="1:4" ht="14.25" customHeight="1" x14ac:dyDescent="0.3">
      <c r="A7" s="36">
        <v>6</v>
      </c>
      <c r="B7" s="36" t="s">
        <v>133</v>
      </c>
      <c r="C7" s="37"/>
      <c r="D7" s="37"/>
    </row>
    <row r="8" spans="1:4" ht="14.25" customHeight="1" x14ac:dyDescent="0.3">
      <c r="A8" s="36">
        <v>7</v>
      </c>
      <c r="B8" s="36" t="s">
        <v>436</v>
      </c>
      <c r="C8" s="37"/>
      <c r="D8" s="37"/>
    </row>
    <row r="9" spans="1:4" ht="14.25" customHeight="1" x14ac:dyDescent="0.3">
      <c r="A9" s="37"/>
      <c r="B9" s="37"/>
      <c r="C9" s="37"/>
      <c r="D9" s="37"/>
    </row>
    <row r="10" spans="1:4" ht="14.25" customHeight="1" x14ac:dyDescent="0.3">
      <c r="A10" s="35" t="s">
        <v>902</v>
      </c>
      <c r="B10" s="35"/>
      <c r="C10" s="37"/>
      <c r="D10" s="37"/>
    </row>
    <row r="11" spans="1:4" ht="14.25" customHeight="1" x14ac:dyDescent="0.3">
      <c r="A11" s="35" t="s">
        <v>903</v>
      </c>
      <c r="B11" s="35" t="s">
        <v>904</v>
      </c>
      <c r="C11" s="37"/>
      <c r="D11" s="37"/>
    </row>
    <row r="12" spans="1:4" ht="14.25" customHeight="1" x14ac:dyDescent="0.3">
      <c r="A12" s="36" t="s">
        <v>118</v>
      </c>
      <c r="B12" s="36" t="s">
        <v>905</v>
      </c>
      <c r="C12" s="37"/>
      <c r="D12" s="37"/>
    </row>
    <row r="13" spans="1:4" ht="14.25" customHeight="1" x14ac:dyDescent="0.3">
      <c r="A13" s="36" t="s">
        <v>118</v>
      </c>
      <c r="B13" s="36" t="s">
        <v>906</v>
      </c>
      <c r="C13" s="37"/>
      <c r="D13" s="37"/>
    </row>
    <row r="14" spans="1:4" ht="14.25" customHeight="1" x14ac:dyDescent="0.3">
      <c r="A14" s="36" t="s">
        <v>195</v>
      </c>
      <c r="B14" s="36" t="s">
        <v>907</v>
      </c>
      <c r="C14" s="37"/>
      <c r="D14" s="37"/>
    </row>
    <row r="15" spans="1:4" ht="14.25" customHeight="1" x14ac:dyDescent="0.3">
      <c r="A15" s="36" t="s">
        <v>653</v>
      </c>
      <c r="B15" s="36" t="s">
        <v>908</v>
      </c>
      <c r="C15" s="37"/>
      <c r="D15" s="37"/>
    </row>
    <row r="16" spans="1:4" ht="14.25" customHeight="1" x14ac:dyDescent="0.3">
      <c r="A16" s="36" t="s">
        <v>97</v>
      </c>
      <c r="B16" s="36" t="s">
        <v>909</v>
      </c>
      <c r="C16" s="37"/>
      <c r="D16" s="37"/>
    </row>
    <row r="17" spans="1:4" ht="14.25" customHeight="1" x14ac:dyDescent="0.3">
      <c r="A17" s="36" t="s">
        <v>685</v>
      </c>
      <c r="B17" s="36" t="s">
        <v>910</v>
      </c>
      <c r="C17" s="37"/>
      <c r="D17" s="37"/>
    </row>
    <row r="18" spans="1:4" ht="14.25" customHeight="1" x14ac:dyDescent="0.3">
      <c r="A18" s="36" t="s">
        <v>133</v>
      </c>
      <c r="B18" s="36" t="s">
        <v>911</v>
      </c>
      <c r="C18" s="37"/>
      <c r="D18" s="37"/>
    </row>
    <row r="19" spans="1:4" ht="14.25" customHeight="1" x14ac:dyDescent="0.3">
      <c r="A19" s="36" t="s">
        <v>436</v>
      </c>
      <c r="B19" s="36" t="s">
        <v>912</v>
      </c>
      <c r="C19" s="37"/>
      <c r="D19" s="37"/>
    </row>
    <row r="20" spans="1:4" ht="14.25" customHeight="1" x14ac:dyDescent="0.3">
      <c r="A20" s="37"/>
      <c r="B20" s="37"/>
      <c r="C20" s="37"/>
      <c r="D20" s="37"/>
    </row>
    <row r="21" spans="1:4" ht="14.25" customHeight="1" x14ac:dyDescent="0.3">
      <c r="A21" s="35" t="s">
        <v>913</v>
      </c>
      <c r="B21" s="35"/>
      <c r="C21" s="37"/>
      <c r="D21" s="37"/>
    </row>
    <row r="22" spans="1:4" ht="14.25" customHeight="1" x14ac:dyDescent="0.3">
      <c r="A22" s="35" t="s">
        <v>903</v>
      </c>
      <c r="B22" s="35" t="s">
        <v>914</v>
      </c>
      <c r="C22" s="37"/>
      <c r="D22" s="37"/>
    </row>
    <row r="23" spans="1:4" ht="14.25" customHeight="1" x14ac:dyDescent="0.3">
      <c r="A23" s="36" t="s">
        <v>118</v>
      </c>
      <c r="B23" s="36" t="s">
        <v>155</v>
      </c>
      <c r="C23" s="37"/>
      <c r="D23" s="37"/>
    </row>
    <row r="24" spans="1:4" ht="14.25" customHeight="1" x14ac:dyDescent="0.3">
      <c r="A24" s="36" t="s">
        <v>118</v>
      </c>
      <c r="B24" s="36" t="s">
        <v>120</v>
      </c>
      <c r="C24" s="37"/>
      <c r="D24" s="37"/>
    </row>
    <row r="25" spans="1:4" ht="14.25" customHeight="1" x14ac:dyDescent="0.3">
      <c r="A25" s="36" t="s">
        <v>118</v>
      </c>
      <c r="B25" s="36" t="s">
        <v>562</v>
      </c>
      <c r="C25" s="37"/>
      <c r="D25" s="37"/>
    </row>
    <row r="26" spans="1:4" ht="14.25" customHeight="1" x14ac:dyDescent="0.3">
      <c r="A26" s="36" t="s">
        <v>195</v>
      </c>
      <c r="B26" s="36" t="s">
        <v>547</v>
      </c>
      <c r="C26" s="37"/>
      <c r="D26" s="37"/>
    </row>
    <row r="27" spans="1:4" ht="14.25" customHeight="1" x14ac:dyDescent="0.3">
      <c r="A27" s="36" t="s">
        <v>195</v>
      </c>
      <c r="B27" s="36" t="s">
        <v>185</v>
      </c>
      <c r="C27" s="37"/>
      <c r="D27" s="37"/>
    </row>
    <row r="28" spans="1:4" ht="14.25" customHeight="1" x14ac:dyDescent="0.3">
      <c r="A28" s="36" t="s">
        <v>195</v>
      </c>
      <c r="B28" s="36" t="s">
        <v>915</v>
      </c>
      <c r="C28" s="37"/>
      <c r="D28" s="37"/>
    </row>
    <row r="29" spans="1:4" ht="14.25" customHeight="1" x14ac:dyDescent="0.3">
      <c r="A29" s="36" t="s">
        <v>195</v>
      </c>
      <c r="B29" s="36" t="s">
        <v>487</v>
      </c>
      <c r="C29" s="37"/>
      <c r="D29" s="37"/>
    </row>
    <row r="30" spans="1:4" ht="14.25" customHeight="1" x14ac:dyDescent="0.3">
      <c r="A30" s="36" t="s">
        <v>653</v>
      </c>
      <c r="B30" s="36" t="s">
        <v>916</v>
      </c>
      <c r="C30" s="37"/>
      <c r="D30" s="37"/>
    </row>
    <row r="31" spans="1:4" ht="14.25" customHeight="1" x14ac:dyDescent="0.3">
      <c r="A31" s="36" t="s">
        <v>653</v>
      </c>
      <c r="B31" s="36" t="s">
        <v>654</v>
      </c>
      <c r="C31" s="37"/>
      <c r="D31" s="37"/>
    </row>
    <row r="32" spans="1:4" ht="14.25" customHeight="1" x14ac:dyDescent="0.3">
      <c r="A32" s="36" t="s">
        <v>653</v>
      </c>
      <c r="B32" s="36" t="s">
        <v>917</v>
      </c>
      <c r="C32" s="37"/>
      <c r="D32" s="37"/>
    </row>
    <row r="33" spans="1:4" ht="14.25" customHeight="1" x14ac:dyDescent="0.3">
      <c r="A33" s="36" t="s">
        <v>653</v>
      </c>
      <c r="B33" s="36" t="s">
        <v>918</v>
      </c>
      <c r="C33" s="37"/>
      <c r="D33" s="37"/>
    </row>
    <row r="34" spans="1:4" ht="14.25" customHeight="1" x14ac:dyDescent="0.3">
      <c r="A34" s="36" t="s">
        <v>97</v>
      </c>
      <c r="B34" s="36" t="s">
        <v>919</v>
      </c>
      <c r="C34" s="37"/>
      <c r="D34" s="37"/>
    </row>
    <row r="35" spans="1:4" ht="14.25" customHeight="1" x14ac:dyDescent="0.3">
      <c r="A35" s="36" t="s">
        <v>97</v>
      </c>
      <c r="B35" s="36" t="s">
        <v>216</v>
      </c>
      <c r="C35" s="37"/>
      <c r="D35" s="37"/>
    </row>
    <row r="36" spans="1:4" ht="14.25" customHeight="1" x14ac:dyDescent="0.3">
      <c r="A36" s="36" t="s">
        <v>97</v>
      </c>
      <c r="B36" s="36" t="s">
        <v>99</v>
      </c>
      <c r="C36" s="37"/>
      <c r="D36" s="37"/>
    </row>
    <row r="37" spans="1:4" ht="14.25" customHeight="1" x14ac:dyDescent="0.3">
      <c r="A37" s="36" t="s">
        <v>97</v>
      </c>
      <c r="B37" s="36" t="s">
        <v>390</v>
      </c>
      <c r="C37" s="37"/>
      <c r="D37" s="37"/>
    </row>
    <row r="38" spans="1:4" ht="14.25" customHeight="1" x14ac:dyDescent="0.3">
      <c r="A38" s="36" t="s">
        <v>97</v>
      </c>
      <c r="B38" s="36" t="s">
        <v>920</v>
      </c>
      <c r="C38" s="37"/>
      <c r="D38" s="37"/>
    </row>
    <row r="39" spans="1:4" ht="14.25" customHeight="1" x14ac:dyDescent="0.3">
      <c r="A39" s="36" t="s">
        <v>685</v>
      </c>
      <c r="B39" s="36" t="s">
        <v>142</v>
      </c>
      <c r="C39" s="37"/>
      <c r="D39" s="37"/>
    </row>
    <row r="40" spans="1:4" ht="14.25" customHeight="1" x14ac:dyDescent="0.3">
      <c r="A40" s="36" t="s">
        <v>685</v>
      </c>
      <c r="B40" s="36" t="s">
        <v>613</v>
      </c>
      <c r="C40" s="37"/>
      <c r="D40" s="37"/>
    </row>
    <row r="41" spans="1:4" ht="14.25" customHeight="1" x14ac:dyDescent="0.3">
      <c r="A41" s="36" t="s">
        <v>685</v>
      </c>
      <c r="B41" s="36" t="s">
        <v>921</v>
      </c>
      <c r="C41" s="37"/>
      <c r="D41" s="37"/>
    </row>
    <row r="42" spans="1:4" ht="14.25" customHeight="1" x14ac:dyDescent="0.3">
      <c r="A42" s="36" t="s">
        <v>133</v>
      </c>
      <c r="B42" s="36" t="s">
        <v>212</v>
      </c>
      <c r="C42" s="37"/>
      <c r="D42" s="37"/>
    </row>
    <row r="43" spans="1:4" ht="14.25" customHeight="1" x14ac:dyDescent="0.3">
      <c r="A43" s="36" t="s">
        <v>133</v>
      </c>
      <c r="B43" s="36" t="s">
        <v>134</v>
      </c>
      <c r="C43" s="37"/>
      <c r="D43" s="37"/>
    </row>
    <row r="44" spans="1:4" ht="14.25" customHeight="1" x14ac:dyDescent="0.3">
      <c r="A44" s="36" t="s">
        <v>133</v>
      </c>
      <c r="B44" s="36" t="s">
        <v>922</v>
      </c>
      <c r="C44" s="37"/>
      <c r="D44" s="37"/>
    </row>
    <row r="45" spans="1:4" ht="14.25" customHeight="1" x14ac:dyDescent="0.3">
      <c r="A45" s="36" t="s">
        <v>436</v>
      </c>
      <c r="B45" s="36" t="s">
        <v>923</v>
      </c>
      <c r="C45" s="37"/>
      <c r="D45" s="37"/>
    </row>
    <row r="46" spans="1:4" ht="14.25" customHeight="1" x14ac:dyDescent="0.3">
      <c r="A46" s="36" t="s">
        <v>436</v>
      </c>
      <c r="B46" s="36" t="s">
        <v>924</v>
      </c>
      <c r="C46" s="37"/>
      <c r="D46" s="37"/>
    </row>
    <row r="47" spans="1:4" ht="14.25" customHeight="1" x14ac:dyDescent="0.3">
      <c r="A47" s="36" t="s">
        <v>436</v>
      </c>
      <c r="B47" s="36" t="s">
        <v>925</v>
      </c>
      <c r="C47" s="37"/>
      <c r="D47" s="37"/>
    </row>
    <row r="48" spans="1:4" ht="14.25" customHeight="1" x14ac:dyDescent="0.3">
      <c r="A48" s="36" t="s">
        <v>436</v>
      </c>
      <c r="B48" s="36" t="s">
        <v>926</v>
      </c>
      <c r="C48" s="37"/>
      <c r="D48" s="37"/>
    </row>
    <row r="49" spans="1:4" ht="14.25" customHeight="1" x14ac:dyDescent="0.3">
      <c r="A49" s="37"/>
      <c r="B49" s="37"/>
      <c r="C49" s="37"/>
      <c r="D49" s="37"/>
    </row>
    <row r="50" spans="1:4" ht="14.25" customHeight="1" x14ac:dyDescent="0.3">
      <c r="A50" s="35" t="s">
        <v>927</v>
      </c>
      <c r="B50" s="38"/>
      <c r="C50" s="38"/>
      <c r="D50" s="37"/>
    </row>
    <row r="51" spans="1:4" ht="14.25" customHeight="1" x14ac:dyDescent="0.3">
      <c r="A51" s="35" t="s">
        <v>928</v>
      </c>
      <c r="B51" s="35" t="s">
        <v>914</v>
      </c>
      <c r="C51" s="35" t="s">
        <v>903</v>
      </c>
      <c r="D51" s="37"/>
    </row>
    <row r="52" spans="1:4" ht="14.25" customHeight="1" x14ac:dyDescent="0.3">
      <c r="A52" s="36" t="s">
        <v>929</v>
      </c>
      <c r="B52" s="36" t="s">
        <v>289</v>
      </c>
      <c r="C52" s="36" t="s">
        <v>118</v>
      </c>
      <c r="D52" s="37"/>
    </row>
    <row r="53" spans="1:4" ht="14.25" customHeight="1" x14ac:dyDescent="0.3">
      <c r="A53" s="36" t="s">
        <v>930</v>
      </c>
      <c r="B53" s="36" t="s">
        <v>289</v>
      </c>
      <c r="C53" s="36" t="s">
        <v>118</v>
      </c>
      <c r="D53" s="37"/>
    </row>
    <row r="54" spans="1:4" ht="14.25" customHeight="1" x14ac:dyDescent="0.3">
      <c r="A54" s="36" t="s">
        <v>931</v>
      </c>
      <c r="B54" s="36" t="s">
        <v>289</v>
      </c>
      <c r="C54" s="36" t="s">
        <v>118</v>
      </c>
      <c r="D54" s="37"/>
    </row>
    <row r="55" spans="1:4" ht="14.25" customHeight="1" x14ac:dyDescent="0.3">
      <c r="A55" s="36" t="s">
        <v>807</v>
      </c>
      <c r="B55" s="36" t="s">
        <v>289</v>
      </c>
      <c r="C55" s="36" t="s">
        <v>118</v>
      </c>
      <c r="D55" s="37"/>
    </row>
    <row r="56" spans="1:4" ht="14.25" customHeight="1" x14ac:dyDescent="0.3">
      <c r="A56" s="36" t="s">
        <v>932</v>
      </c>
      <c r="B56" s="36" t="s">
        <v>289</v>
      </c>
      <c r="C56" s="36" t="s">
        <v>118</v>
      </c>
      <c r="D56" s="37"/>
    </row>
    <row r="57" spans="1:4" ht="14.25" customHeight="1" x14ac:dyDescent="0.3">
      <c r="A57" s="36" t="s">
        <v>933</v>
      </c>
      <c r="B57" s="36" t="s">
        <v>289</v>
      </c>
      <c r="C57" s="36" t="s">
        <v>118</v>
      </c>
      <c r="D57" s="37"/>
    </row>
    <row r="58" spans="1:4" ht="14.25" customHeight="1" x14ac:dyDescent="0.3">
      <c r="A58" s="36" t="s">
        <v>934</v>
      </c>
      <c r="B58" s="36" t="s">
        <v>289</v>
      </c>
      <c r="C58" s="36" t="s">
        <v>118</v>
      </c>
      <c r="D58" s="37"/>
    </row>
    <row r="59" spans="1:4" ht="14.25" customHeight="1" x14ac:dyDescent="0.3">
      <c r="A59" s="36" t="s">
        <v>935</v>
      </c>
      <c r="B59" s="36" t="s">
        <v>289</v>
      </c>
      <c r="C59" s="36" t="s">
        <v>118</v>
      </c>
      <c r="D59" s="37"/>
    </row>
    <row r="60" spans="1:4" ht="14.25" customHeight="1" x14ac:dyDescent="0.3">
      <c r="A60" s="36" t="s">
        <v>936</v>
      </c>
      <c r="B60" s="36" t="s">
        <v>289</v>
      </c>
      <c r="C60" s="36" t="s">
        <v>118</v>
      </c>
      <c r="D60" s="37"/>
    </row>
    <row r="61" spans="1:4" ht="14.25" customHeight="1" x14ac:dyDescent="0.3">
      <c r="A61" s="36" t="s">
        <v>937</v>
      </c>
      <c r="B61" s="36" t="s">
        <v>289</v>
      </c>
      <c r="C61" s="36" t="s">
        <v>118</v>
      </c>
      <c r="D61" s="37"/>
    </row>
    <row r="62" spans="1:4" ht="14.25" customHeight="1" x14ac:dyDescent="0.3">
      <c r="A62" s="36" t="s">
        <v>938</v>
      </c>
      <c r="B62" s="36" t="s">
        <v>289</v>
      </c>
      <c r="C62" s="36" t="s">
        <v>118</v>
      </c>
      <c r="D62" s="37"/>
    </row>
    <row r="63" spans="1:4" ht="14.25" customHeight="1" x14ac:dyDescent="0.3">
      <c r="A63" s="36" t="s">
        <v>939</v>
      </c>
      <c r="B63" s="36" t="s">
        <v>120</v>
      </c>
      <c r="C63" s="36" t="s">
        <v>118</v>
      </c>
      <c r="D63" s="37"/>
    </row>
    <row r="64" spans="1:4" ht="14.25" customHeight="1" x14ac:dyDescent="0.3">
      <c r="A64" s="36" t="s">
        <v>418</v>
      </c>
      <c r="B64" s="36" t="s">
        <v>120</v>
      </c>
      <c r="C64" s="36" t="s">
        <v>118</v>
      </c>
      <c r="D64" s="37"/>
    </row>
    <row r="65" spans="1:4" ht="14.25" customHeight="1" x14ac:dyDescent="0.3">
      <c r="A65" s="36" t="s">
        <v>940</v>
      </c>
      <c r="B65" s="36" t="s">
        <v>120</v>
      </c>
      <c r="C65" s="36" t="s">
        <v>118</v>
      </c>
      <c r="D65" s="37"/>
    </row>
    <row r="66" spans="1:4" ht="14.25" customHeight="1" x14ac:dyDescent="0.3">
      <c r="A66" s="36" t="s">
        <v>941</v>
      </c>
      <c r="B66" s="36" t="s">
        <v>278</v>
      </c>
      <c r="C66" s="36" t="s">
        <v>118</v>
      </c>
      <c r="D66" s="37"/>
    </row>
    <row r="67" spans="1:4" ht="14.25" customHeight="1" x14ac:dyDescent="0.3">
      <c r="A67" s="36" t="s">
        <v>942</v>
      </c>
      <c r="B67" s="36" t="s">
        <v>278</v>
      </c>
      <c r="C67" s="36" t="s">
        <v>118</v>
      </c>
      <c r="D67" s="37"/>
    </row>
    <row r="68" spans="1:4" ht="14.25" customHeight="1" x14ac:dyDescent="0.3">
      <c r="A68" s="36" t="s">
        <v>943</v>
      </c>
      <c r="B68" s="36" t="s">
        <v>278</v>
      </c>
      <c r="C68" s="36" t="s">
        <v>118</v>
      </c>
      <c r="D68" s="37"/>
    </row>
    <row r="69" spans="1:4" ht="14.25" customHeight="1" x14ac:dyDescent="0.3">
      <c r="A69" s="36" t="s">
        <v>944</v>
      </c>
      <c r="B69" s="36" t="s">
        <v>278</v>
      </c>
      <c r="C69" s="36" t="s">
        <v>118</v>
      </c>
      <c r="D69" s="37"/>
    </row>
    <row r="70" spans="1:4" ht="14.25" customHeight="1" x14ac:dyDescent="0.3">
      <c r="A70" s="36" t="s">
        <v>945</v>
      </c>
      <c r="B70" s="36" t="s">
        <v>278</v>
      </c>
      <c r="C70" s="36" t="s">
        <v>118</v>
      </c>
      <c r="D70" s="37"/>
    </row>
    <row r="71" spans="1:4" ht="14.25" customHeight="1" x14ac:dyDescent="0.3">
      <c r="A71" s="36" t="s">
        <v>386</v>
      </c>
      <c r="B71" s="36" t="s">
        <v>547</v>
      </c>
      <c r="C71" s="36" t="s">
        <v>195</v>
      </c>
      <c r="D71" s="37"/>
    </row>
    <row r="72" spans="1:4" ht="14.25" customHeight="1" x14ac:dyDescent="0.3">
      <c r="A72" s="36" t="s">
        <v>946</v>
      </c>
      <c r="B72" s="36" t="s">
        <v>547</v>
      </c>
      <c r="C72" s="36" t="s">
        <v>195</v>
      </c>
      <c r="D72" s="37"/>
    </row>
    <row r="73" spans="1:4" ht="14.25" customHeight="1" x14ac:dyDescent="0.3">
      <c r="A73" s="36" t="s">
        <v>947</v>
      </c>
      <c r="B73" s="36" t="s">
        <v>547</v>
      </c>
      <c r="C73" s="36" t="s">
        <v>195</v>
      </c>
      <c r="D73" s="37"/>
    </row>
    <row r="74" spans="1:4" ht="14.25" customHeight="1" x14ac:dyDescent="0.3">
      <c r="A74" s="36" t="s">
        <v>948</v>
      </c>
      <c r="B74" s="36" t="s">
        <v>547</v>
      </c>
      <c r="C74" s="36" t="s">
        <v>195</v>
      </c>
      <c r="D74" s="37"/>
    </row>
    <row r="75" spans="1:4" ht="14.25" customHeight="1" x14ac:dyDescent="0.3">
      <c r="A75" s="36" t="s">
        <v>949</v>
      </c>
      <c r="B75" s="36" t="s">
        <v>547</v>
      </c>
      <c r="C75" s="36" t="s">
        <v>195</v>
      </c>
      <c r="D75" s="37"/>
    </row>
    <row r="76" spans="1:4" ht="14.25" customHeight="1" x14ac:dyDescent="0.3">
      <c r="A76" s="36" t="s">
        <v>950</v>
      </c>
      <c r="B76" s="36" t="s">
        <v>547</v>
      </c>
      <c r="C76" s="36" t="s">
        <v>195</v>
      </c>
      <c r="D76" s="37"/>
    </row>
    <row r="77" spans="1:4" ht="14.25" customHeight="1" x14ac:dyDescent="0.3">
      <c r="A77" s="36" t="s">
        <v>951</v>
      </c>
      <c r="B77" s="36" t="s">
        <v>547</v>
      </c>
      <c r="C77" s="36" t="s">
        <v>195</v>
      </c>
      <c r="D77" s="37"/>
    </row>
    <row r="78" spans="1:4" ht="14.25" customHeight="1" x14ac:dyDescent="0.3">
      <c r="A78" s="36" t="s">
        <v>952</v>
      </c>
      <c r="B78" s="36" t="s">
        <v>185</v>
      </c>
      <c r="C78" s="36" t="s">
        <v>195</v>
      </c>
      <c r="D78" s="37"/>
    </row>
    <row r="79" spans="1:4" ht="14.25" customHeight="1" x14ac:dyDescent="0.3">
      <c r="A79" s="36" t="s">
        <v>953</v>
      </c>
      <c r="B79" s="36" t="s">
        <v>185</v>
      </c>
      <c r="C79" s="36" t="s">
        <v>195</v>
      </c>
      <c r="D79" s="37"/>
    </row>
    <row r="80" spans="1:4" ht="14.25" customHeight="1" x14ac:dyDescent="0.3">
      <c r="A80" s="36" t="s">
        <v>954</v>
      </c>
      <c r="B80" s="36" t="s">
        <v>185</v>
      </c>
      <c r="C80" s="36" t="s">
        <v>195</v>
      </c>
      <c r="D80" s="37"/>
    </row>
    <row r="81" spans="1:4" ht="14.25" customHeight="1" x14ac:dyDescent="0.3">
      <c r="A81" s="36" t="s">
        <v>955</v>
      </c>
      <c r="B81" s="36" t="s">
        <v>185</v>
      </c>
      <c r="C81" s="36" t="s">
        <v>195</v>
      </c>
      <c r="D81" s="37"/>
    </row>
    <row r="82" spans="1:4" ht="14.25" customHeight="1" x14ac:dyDescent="0.3">
      <c r="A82" s="36" t="s">
        <v>956</v>
      </c>
      <c r="B82" s="36" t="s">
        <v>915</v>
      </c>
      <c r="C82" s="36" t="s">
        <v>195</v>
      </c>
      <c r="D82" s="37"/>
    </row>
    <row r="83" spans="1:4" ht="14.25" customHeight="1" x14ac:dyDescent="0.3">
      <c r="A83" s="36" t="s">
        <v>957</v>
      </c>
      <c r="B83" s="36" t="s">
        <v>915</v>
      </c>
      <c r="C83" s="36" t="s">
        <v>195</v>
      </c>
      <c r="D83" s="37"/>
    </row>
    <row r="84" spans="1:4" ht="14.25" customHeight="1" x14ac:dyDescent="0.3">
      <c r="A84" s="36" t="s">
        <v>958</v>
      </c>
      <c r="B84" s="36" t="s">
        <v>915</v>
      </c>
      <c r="C84" s="36" t="s">
        <v>195</v>
      </c>
      <c r="D84" s="37"/>
    </row>
    <row r="85" spans="1:4" ht="14.25" customHeight="1" x14ac:dyDescent="0.3">
      <c r="A85" s="36" t="s">
        <v>959</v>
      </c>
      <c r="B85" s="36" t="s">
        <v>915</v>
      </c>
      <c r="C85" s="36" t="s">
        <v>195</v>
      </c>
      <c r="D85" s="37"/>
    </row>
    <row r="86" spans="1:4" ht="14.25" customHeight="1" x14ac:dyDescent="0.3">
      <c r="A86" s="36" t="s">
        <v>960</v>
      </c>
      <c r="B86" s="36" t="s">
        <v>487</v>
      </c>
      <c r="C86" s="36" t="s">
        <v>195</v>
      </c>
      <c r="D86" s="37"/>
    </row>
    <row r="87" spans="1:4" ht="14.25" customHeight="1" x14ac:dyDescent="0.3">
      <c r="A87" s="36" t="s">
        <v>961</v>
      </c>
      <c r="B87" s="36" t="s">
        <v>487</v>
      </c>
      <c r="C87" s="36" t="s">
        <v>195</v>
      </c>
      <c r="D87" s="37"/>
    </row>
    <row r="88" spans="1:4" ht="14.25" customHeight="1" x14ac:dyDescent="0.3">
      <c r="A88" s="36" t="s">
        <v>962</v>
      </c>
      <c r="B88" s="36" t="s">
        <v>487</v>
      </c>
      <c r="C88" s="36" t="s">
        <v>195</v>
      </c>
      <c r="D88" s="37"/>
    </row>
    <row r="89" spans="1:4" ht="14.25" customHeight="1" x14ac:dyDescent="0.3">
      <c r="A89" s="36" t="s">
        <v>963</v>
      </c>
      <c r="B89" s="36" t="s">
        <v>487</v>
      </c>
      <c r="C89" s="36" t="s">
        <v>195</v>
      </c>
      <c r="D89" s="37"/>
    </row>
    <row r="90" spans="1:4" ht="14.25" customHeight="1" x14ac:dyDescent="0.3">
      <c r="A90" s="36" t="s">
        <v>964</v>
      </c>
      <c r="B90" s="36" t="s">
        <v>965</v>
      </c>
      <c r="C90" s="36" t="s">
        <v>653</v>
      </c>
      <c r="D90" s="37"/>
    </row>
    <row r="91" spans="1:4" ht="14.25" customHeight="1" x14ac:dyDescent="0.3">
      <c r="A91" s="36" t="s">
        <v>966</v>
      </c>
      <c r="B91" s="36" t="s">
        <v>965</v>
      </c>
      <c r="C91" s="36" t="s">
        <v>653</v>
      </c>
      <c r="D91" s="37"/>
    </row>
    <row r="92" spans="1:4" ht="14.25" customHeight="1" x14ac:dyDescent="0.3">
      <c r="A92" s="36" t="s">
        <v>967</v>
      </c>
      <c r="B92" s="36" t="s">
        <v>965</v>
      </c>
      <c r="C92" s="36" t="s">
        <v>653</v>
      </c>
      <c r="D92" s="37"/>
    </row>
    <row r="93" spans="1:4" ht="14.25" customHeight="1" x14ac:dyDescent="0.3">
      <c r="A93" s="36" t="s">
        <v>968</v>
      </c>
      <c r="B93" s="36" t="s">
        <v>965</v>
      </c>
      <c r="C93" s="36" t="s">
        <v>653</v>
      </c>
      <c r="D93" s="37"/>
    </row>
    <row r="94" spans="1:4" ht="14.25" customHeight="1" x14ac:dyDescent="0.3">
      <c r="A94" s="36" t="s">
        <v>969</v>
      </c>
      <c r="B94" s="36" t="s">
        <v>965</v>
      </c>
      <c r="C94" s="36" t="s">
        <v>653</v>
      </c>
      <c r="D94" s="37"/>
    </row>
    <row r="95" spans="1:4" ht="14.25" customHeight="1" x14ac:dyDescent="0.3">
      <c r="A95" s="36" t="s">
        <v>970</v>
      </c>
      <c r="B95" s="36" t="s">
        <v>965</v>
      </c>
      <c r="C95" s="36" t="s">
        <v>653</v>
      </c>
      <c r="D95" s="37"/>
    </row>
    <row r="96" spans="1:4" ht="14.25" customHeight="1" x14ac:dyDescent="0.3">
      <c r="A96" s="36" t="s">
        <v>971</v>
      </c>
      <c r="B96" s="36" t="s">
        <v>965</v>
      </c>
      <c r="C96" s="36" t="s">
        <v>653</v>
      </c>
      <c r="D96" s="37"/>
    </row>
    <row r="97" spans="1:4" ht="14.25" customHeight="1" x14ac:dyDescent="0.3">
      <c r="A97" s="36" t="s">
        <v>972</v>
      </c>
      <c r="B97" s="36" t="s">
        <v>965</v>
      </c>
      <c r="C97" s="36" t="s">
        <v>653</v>
      </c>
      <c r="D97" s="37"/>
    </row>
    <row r="98" spans="1:4" ht="14.25" customHeight="1" x14ac:dyDescent="0.3">
      <c r="A98" s="36" t="s">
        <v>973</v>
      </c>
      <c r="B98" s="36" t="s">
        <v>654</v>
      </c>
      <c r="C98" s="36" t="s">
        <v>653</v>
      </c>
      <c r="D98" s="37"/>
    </row>
    <row r="99" spans="1:4" ht="14.25" customHeight="1" x14ac:dyDescent="0.3">
      <c r="A99" s="36" t="s">
        <v>974</v>
      </c>
      <c r="B99" s="36" t="s">
        <v>654</v>
      </c>
      <c r="C99" s="36" t="s">
        <v>653</v>
      </c>
      <c r="D99" s="37"/>
    </row>
    <row r="100" spans="1:4" ht="14.25" customHeight="1" x14ac:dyDescent="0.3">
      <c r="A100" s="36" t="s">
        <v>975</v>
      </c>
      <c r="B100" s="36" t="s">
        <v>654</v>
      </c>
      <c r="C100" s="36" t="s">
        <v>653</v>
      </c>
      <c r="D100" s="37"/>
    </row>
    <row r="101" spans="1:4" ht="14.25" customHeight="1" x14ac:dyDescent="0.3">
      <c r="A101" s="36" t="s">
        <v>976</v>
      </c>
      <c r="B101" s="36" t="s">
        <v>654</v>
      </c>
      <c r="C101" s="36" t="s">
        <v>653</v>
      </c>
      <c r="D101" s="37"/>
    </row>
    <row r="102" spans="1:4" ht="14.25" customHeight="1" x14ac:dyDescent="0.3">
      <c r="A102" s="36" t="s">
        <v>977</v>
      </c>
      <c r="B102" s="36" t="s">
        <v>654</v>
      </c>
      <c r="C102" s="36" t="s">
        <v>653</v>
      </c>
      <c r="D102" s="37"/>
    </row>
    <row r="103" spans="1:4" ht="14.25" customHeight="1" x14ac:dyDescent="0.3">
      <c r="A103" s="36" t="s">
        <v>655</v>
      </c>
      <c r="B103" s="36" t="s">
        <v>654</v>
      </c>
      <c r="C103" s="36" t="s">
        <v>653</v>
      </c>
      <c r="D103" s="37"/>
    </row>
    <row r="104" spans="1:4" ht="14.25" customHeight="1" x14ac:dyDescent="0.3">
      <c r="A104" s="36" t="s">
        <v>978</v>
      </c>
      <c r="B104" s="36" t="s">
        <v>654</v>
      </c>
      <c r="C104" s="36" t="s">
        <v>653</v>
      </c>
      <c r="D104" s="37"/>
    </row>
    <row r="105" spans="1:4" ht="14.25" customHeight="1" x14ac:dyDescent="0.3">
      <c r="A105" s="36" t="s">
        <v>979</v>
      </c>
      <c r="B105" s="36" t="s">
        <v>654</v>
      </c>
      <c r="C105" s="36" t="s">
        <v>653</v>
      </c>
      <c r="D105" s="37"/>
    </row>
    <row r="106" spans="1:4" ht="14.25" customHeight="1" x14ac:dyDescent="0.3">
      <c r="A106" s="36" t="s">
        <v>973</v>
      </c>
      <c r="B106" s="36" t="s">
        <v>917</v>
      </c>
      <c r="C106" s="36" t="s">
        <v>653</v>
      </c>
      <c r="D106" s="37"/>
    </row>
    <row r="107" spans="1:4" ht="14.25" customHeight="1" x14ac:dyDescent="0.3">
      <c r="A107" s="36" t="s">
        <v>974</v>
      </c>
      <c r="B107" s="36" t="s">
        <v>917</v>
      </c>
      <c r="C107" s="36" t="s">
        <v>653</v>
      </c>
      <c r="D107" s="37"/>
    </row>
    <row r="108" spans="1:4" ht="14.25" customHeight="1" x14ac:dyDescent="0.3">
      <c r="A108" s="36" t="s">
        <v>978</v>
      </c>
      <c r="B108" s="36" t="s">
        <v>917</v>
      </c>
      <c r="C108" s="36" t="s">
        <v>653</v>
      </c>
      <c r="D108" s="37"/>
    </row>
    <row r="109" spans="1:4" ht="14.25" customHeight="1" x14ac:dyDescent="0.3">
      <c r="A109" s="36" t="s">
        <v>980</v>
      </c>
      <c r="B109" s="36" t="s">
        <v>917</v>
      </c>
      <c r="C109" s="36" t="s">
        <v>653</v>
      </c>
      <c r="D109" s="37"/>
    </row>
    <row r="110" spans="1:4" ht="14.25" customHeight="1" x14ac:dyDescent="0.3">
      <c r="A110" s="36" t="s">
        <v>981</v>
      </c>
      <c r="B110" s="36" t="s">
        <v>982</v>
      </c>
      <c r="C110" s="36" t="s">
        <v>653</v>
      </c>
      <c r="D110" s="37"/>
    </row>
    <row r="111" spans="1:4" ht="14.25" customHeight="1" x14ac:dyDescent="0.3">
      <c r="A111" s="36" t="s">
        <v>983</v>
      </c>
      <c r="B111" s="36" t="s">
        <v>982</v>
      </c>
      <c r="C111" s="36" t="s">
        <v>653</v>
      </c>
      <c r="D111" s="37"/>
    </row>
    <row r="112" spans="1:4" ht="14.25" customHeight="1" x14ac:dyDescent="0.3">
      <c r="A112" s="36" t="s">
        <v>984</v>
      </c>
      <c r="B112" s="36" t="s">
        <v>982</v>
      </c>
      <c r="C112" s="36" t="s">
        <v>653</v>
      </c>
      <c r="D112" s="37"/>
    </row>
    <row r="113" spans="1:4" ht="14.25" customHeight="1" x14ac:dyDescent="0.3">
      <c r="A113" s="36" t="s">
        <v>985</v>
      </c>
      <c r="B113" s="36" t="s">
        <v>982</v>
      </c>
      <c r="C113" s="36" t="s">
        <v>653</v>
      </c>
      <c r="D113" s="37"/>
    </row>
    <row r="114" spans="1:4" ht="14.25" customHeight="1" x14ac:dyDescent="0.3">
      <c r="A114" s="36" t="s">
        <v>986</v>
      </c>
      <c r="B114" s="36" t="s">
        <v>982</v>
      </c>
      <c r="C114" s="36" t="s">
        <v>653</v>
      </c>
      <c r="D114" s="37"/>
    </row>
    <row r="115" spans="1:4" ht="14.25" customHeight="1" x14ac:dyDescent="0.3">
      <c r="A115" s="36" t="s">
        <v>987</v>
      </c>
      <c r="B115" s="36" t="s">
        <v>982</v>
      </c>
      <c r="C115" s="36" t="s">
        <v>653</v>
      </c>
      <c r="D115" s="37"/>
    </row>
    <row r="116" spans="1:4" ht="14.25" customHeight="1" x14ac:dyDescent="0.3">
      <c r="A116" s="36" t="s">
        <v>988</v>
      </c>
      <c r="B116" s="36" t="s">
        <v>982</v>
      </c>
      <c r="C116" s="36" t="s">
        <v>653</v>
      </c>
      <c r="D116" s="37"/>
    </row>
    <row r="117" spans="1:4" ht="14.25" customHeight="1" x14ac:dyDescent="0.3">
      <c r="A117" s="36" t="s">
        <v>989</v>
      </c>
      <c r="B117" s="36" t="s">
        <v>315</v>
      </c>
      <c r="C117" s="36" t="s">
        <v>97</v>
      </c>
      <c r="D117" s="37"/>
    </row>
    <row r="118" spans="1:4" ht="14.25" customHeight="1" x14ac:dyDescent="0.3">
      <c r="A118" s="36" t="s">
        <v>990</v>
      </c>
      <c r="B118" s="36" t="s">
        <v>766</v>
      </c>
      <c r="C118" s="36" t="s">
        <v>97</v>
      </c>
      <c r="D118" s="37"/>
    </row>
    <row r="119" spans="1:4" ht="14.25" customHeight="1" x14ac:dyDescent="0.3">
      <c r="A119" s="36" t="s">
        <v>765</v>
      </c>
      <c r="B119" s="36" t="s">
        <v>766</v>
      </c>
      <c r="C119" s="36" t="s">
        <v>97</v>
      </c>
      <c r="D119" s="37"/>
    </row>
    <row r="120" spans="1:4" ht="14.25" customHeight="1" x14ac:dyDescent="0.3">
      <c r="A120" s="36" t="s">
        <v>991</v>
      </c>
      <c r="B120" s="36" t="s">
        <v>766</v>
      </c>
      <c r="C120" s="36" t="s">
        <v>97</v>
      </c>
      <c r="D120" s="37"/>
    </row>
    <row r="121" spans="1:4" ht="14.25" customHeight="1" x14ac:dyDescent="0.3">
      <c r="A121" s="36" t="s">
        <v>992</v>
      </c>
      <c r="B121" s="36" t="s">
        <v>766</v>
      </c>
      <c r="C121" s="36" t="s">
        <v>97</v>
      </c>
      <c r="D121" s="37"/>
    </row>
    <row r="122" spans="1:4" ht="14.25" customHeight="1" x14ac:dyDescent="0.3">
      <c r="A122" s="36" t="s">
        <v>316</v>
      </c>
      <c r="B122" s="36" t="s">
        <v>205</v>
      </c>
      <c r="C122" s="36" t="s">
        <v>97</v>
      </c>
      <c r="D122" s="37"/>
    </row>
    <row r="123" spans="1:4" ht="14.25" customHeight="1" x14ac:dyDescent="0.3">
      <c r="A123" s="36" t="s">
        <v>993</v>
      </c>
      <c r="B123" s="36" t="s">
        <v>205</v>
      </c>
      <c r="C123" s="36" t="s">
        <v>97</v>
      </c>
      <c r="D123" s="37"/>
    </row>
    <row r="124" spans="1:4" ht="14.25" customHeight="1" x14ac:dyDescent="0.3">
      <c r="A124" s="36" t="s">
        <v>994</v>
      </c>
      <c r="B124" s="36" t="s">
        <v>205</v>
      </c>
      <c r="C124" s="36" t="s">
        <v>97</v>
      </c>
      <c r="D124" s="37"/>
    </row>
    <row r="125" spans="1:4" ht="14.25" customHeight="1" x14ac:dyDescent="0.3">
      <c r="A125" s="36" t="s">
        <v>995</v>
      </c>
      <c r="B125" s="36" t="s">
        <v>996</v>
      </c>
      <c r="C125" s="36" t="s">
        <v>97</v>
      </c>
      <c r="D125" s="37"/>
    </row>
    <row r="126" spans="1:4" ht="14.25" customHeight="1" x14ac:dyDescent="0.3">
      <c r="A126" s="36" t="s">
        <v>997</v>
      </c>
      <c r="B126" s="36" t="s">
        <v>996</v>
      </c>
      <c r="C126" s="36" t="s">
        <v>97</v>
      </c>
      <c r="D126" s="37"/>
    </row>
    <row r="127" spans="1:4" ht="14.25" customHeight="1" x14ac:dyDescent="0.3">
      <c r="A127" s="36" t="s">
        <v>998</v>
      </c>
      <c r="B127" s="36" t="s">
        <v>996</v>
      </c>
      <c r="C127" s="36" t="s">
        <v>97</v>
      </c>
      <c r="D127" s="37"/>
    </row>
    <row r="128" spans="1:4" ht="14.25" customHeight="1" x14ac:dyDescent="0.3">
      <c r="A128" s="36" t="s">
        <v>999</v>
      </c>
      <c r="B128" s="36" t="s">
        <v>996</v>
      </c>
      <c r="C128" s="36" t="s">
        <v>97</v>
      </c>
      <c r="D128" s="37"/>
    </row>
    <row r="129" spans="1:4" ht="14.25" customHeight="1" x14ac:dyDescent="0.3">
      <c r="A129" s="36" t="s">
        <v>1000</v>
      </c>
      <c r="B129" s="36" t="s">
        <v>996</v>
      </c>
      <c r="C129" s="36" t="s">
        <v>97</v>
      </c>
      <c r="D129" s="37"/>
    </row>
    <row r="130" spans="1:4" ht="14.25" customHeight="1" x14ac:dyDescent="0.3">
      <c r="A130" s="36" t="s">
        <v>1001</v>
      </c>
      <c r="B130" s="36" t="s">
        <v>1002</v>
      </c>
      <c r="C130" s="36" t="s">
        <v>97</v>
      </c>
      <c r="D130" s="37"/>
    </row>
    <row r="131" spans="1:4" ht="14.25" customHeight="1" x14ac:dyDescent="0.3">
      <c r="A131" s="36" t="s">
        <v>1003</v>
      </c>
      <c r="B131" s="36" t="s">
        <v>1002</v>
      </c>
      <c r="C131" s="36" t="s">
        <v>97</v>
      </c>
      <c r="D131" s="37"/>
    </row>
    <row r="132" spans="1:4" ht="14.25" customHeight="1" x14ac:dyDescent="0.3">
      <c r="A132" s="36" t="s">
        <v>1004</v>
      </c>
      <c r="B132" s="36" t="s">
        <v>1002</v>
      </c>
      <c r="C132" s="36" t="s">
        <v>97</v>
      </c>
      <c r="D132" s="37"/>
    </row>
    <row r="133" spans="1:4" ht="14.25" customHeight="1" x14ac:dyDescent="0.3">
      <c r="A133" s="36" t="s">
        <v>1005</v>
      </c>
      <c r="B133" s="36" t="s">
        <v>1002</v>
      </c>
      <c r="C133" s="36" t="s">
        <v>97</v>
      </c>
      <c r="D133" s="37"/>
    </row>
    <row r="134" spans="1:4" ht="14.25" customHeight="1" x14ac:dyDescent="0.3">
      <c r="A134" s="36" t="s">
        <v>1006</v>
      </c>
      <c r="B134" s="36" t="s">
        <v>1002</v>
      </c>
      <c r="C134" s="36" t="s">
        <v>97</v>
      </c>
      <c r="D134" s="37"/>
    </row>
    <row r="135" spans="1:4" ht="14.25" customHeight="1" x14ac:dyDescent="0.3">
      <c r="A135" s="36" t="s">
        <v>1007</v>
      </c>
      <c r="B135" s="36" t="s">
        <v>1002</v>
      </c>
      <c r="C135" s="36" t="s">
        <v>97</v>
      </c>
      <c r="D135" s="37"/>
    </row>
    <row r="136" spans="1:4" ht="14.25" customHeight="1" x14ac:dyDescent="0.3">
      <c r="A136" s="36" t="s">
        <v>1008</v>
      </c>
      <c r="B136" s="36" t="s">
        <v>1009</v>
      </c>
      <c r="C136" s="36" t="s">
        <v>685</v>
      </c>
      <c r="D136" s="37"/>
    </row>
    <row r="137" spans="1:4" ht="14.25" customHeight="1" x14ac:dyDescent="0.3">
      <c r="A137" s="36" t="s">
        <v>1010</v>
      </c>
      <c r="B137" s="36" t="s">
        <v>1009</v>
      </c>
      <c r="C137" s="36" t="s">
        <v>685</v>
      </c>
      <c r="D137" s="37"/>
    </row>
    <row r="138" spans="1:4" ht="14.25" customHeight="1" x14ac:dyDescent="0.3">
      <c r="A138" s="36" t="s">
        <v>1011</v>
      </c>
      <c r="B138" s="36" t="s">
        <v>1009</v>
      </c>
      <c r="C138" s="36" t="s">
        <v>685</v>
      </c>
      <c r="D138" s="37"/>
    </row>
    <row r="139" spans="1:4" ht="14.25" customHeight="1" x14ac:dyDescent="0.3">
      <c r="A139" s="36" t="s">
        <v>1012</v>
      </c>
      <c r="B139" s="36" t="s">
        <v>613</v>
      </c>
      <c r="C139" s="36" t="s">
        <v>685</v>
      </c>
      <c r="D139" s="37"/>
    </row>
    <row r="140" spans="1:4" ht="14.25" customHeight="1" x14ac:dyDescent="0.3">
      <c r="A140" s="36" t="s">
        <v>1013</v>
      </c>
      <c r="B140" s="36" t="s">
        <v>613</v>
      </c>
      <c r="C140" s="36" t="s">
        <v>685</v>
      </c>
      <c r="D140" s="37"/>
    </row>
    <row r="141" spans="1:4" ht="14.25" customHeight="1" x14ac:dyDescent="0.3">
      <c r="A141" s="36" t="s">
        <v>1014</v>
      </c>
      <c r="B141" s="36" t="s">
        <v>613</v>
      </c>
      <c r="C141" s="36" t="s">
        <v>685</v>
      </c>
      <c r="D141" s="37"/>
    </row>
    <row r="142" spans="1:4" ht="14.25" customHeight="1" x14ac:dyDescent="0.3">
      <c r="A142" s="36" t="s">
        <v>1015</v>
      </c>
      <c r="B142" s="36" t="s">
        <v>613</v>
      </c>
      <c r="C142" s="36" t="s">
        <v>685</v>
      </c>
      <c r="D142" s="37"/>
    </row>
    <row r="143" spans="1:4" ht="14.25" customHeight="1" x14ac:dyDescent="0.3">
      <c r="A143" s="36" t="s">
        <v>1016</v>
      </c>
      <c r="B143" s="36" t="s">
        <v>613</v>
      </c>
      <c r="C143" s="36" t="s">
        <v>685</v>
      </c>
      <c r="D143" s="37"/>
    </row>
    <row r="144" spans="1:4" ht="14.25" customHeight="1" x14ac:dyDescent="0.3">
      <c r="A144" s="36" t="s">
        <v>1017</v>
      </c>
      <c r="B144" s="36" t="s">
        <v>613</v>
      </c>
      <c r="C144" s="36" t="s">
        <v>685</v>
      </c>
      <c r="D144" s="37"/>
    </row>
    <row r="145" spans="1:4" ht="14.25" customHeight="1" x14ac:dyDescent="0.3">
      <c r="A145" s="36" t="s">
        <v>1018</v>
      </c>
      <c r="B145" s="36" t="s">
        <v>613</v>
      </c>
      <c r="C145" s="36" t="s">
        <v>685</v>
      </c>
      <c r="D145" s="37"/>
    </row>
    <row r="146" spans="1:4" ht="14.25" customHeight="1" x14ac:dyDescent="0.3">
      <c r="A146" s="36" t="s">
        <v>687</v>
      </c>
      <c r="B146" s="36" t="s">
        <v>613</v>
      </c>
      <c r="C146" s="36" t="s">
        <v>685</v>
      </c>
      <c r="D146" s="37"/>
    </row>
    <row r="147" spans="1:4" ht="14.25" customHeight="1" x14ac:dyDescent="0.3">
      <c r="A147" s="36" t="s">
        <v>1019</v>
      </c>
      <c r="B147" s="36" t="s">
        <v>613</v>
      </c>
      <c r="C147" s="36" t="s">
        <v>685</v>
      </c>
      <c r="D147" s="37"/>
    </row>
    <row r="148" spans="1:4" ht="14.25" customHeight="1" x14ac:dyDescent="0.3">
      <c r="A148" s="36" t="s">
        <v>1020</v>
      </c>
      <c r="B148" s="36" t="s">
        <v>613</v>
      </c>
      <c r="C148" s="36" t="s">
        <v>685</v>
      </c>
      <c r="D148" s="37"/>
    </row>
    <row r="149" spans="1:4" ht="14.25" customHeight="1" x14ac:dyDescent="0.3">
      <c r="A149" s="36" t="s">
        <v>1021</v>
      </c>
      <c r="B149" s="36" t="s">
        <v>613</v>
      </c>
      <c r="C149" s="36" t="s">
        <v>685</v>
      </c>
      <c r="D149" s="37"/>
    </row>
    <row r="150" spans="1:4" ht="14.25" customHeight="1" x14ac:dyDescent="0.3">
      <c r="A150" s="36" t="s">
        <v>1022</v>
      </c>
      <c r="B150" s="36" t="s">
        <v>613</v>
      </c>
      <c r="C150" s="36" t="s">
        <v>685</v>
      </c>
      <c r="D150" s="37"/>
    </row>
    <row r="151" spans="1:4" ht="14.25" customHeight="1" x14ac:dyDescent="0.3">
      <c r="A151" s="36" t="s">
        <v>1023</v>
      </c>
      <c r="B151" s="36" t="s">
        <v>613</v>
      </c>
      <c r="C151" s="36" t="s">
        <v>685</v>
      </c>
      <c r="D151" s="37"/>
    </row>
    <row r="152" spans="1:4" ht="14.25" customHeight="1" x14ac:dyDescent="0.3">
      <c r="A152" s="36" t="s">
        <v>1024</v>
      </c>
      <c r="B152" s="36" t="s">
        <v>613</v>
      </c>
      <c r="C152" s="36" t="s">
        <v>685</v>
      </c>
      <c r="D152" s="37"/>
    </row>
    <row r="153" spans="1:4" ht="14.25" customHeight="1" x14ac:dyDescent="0.3">
      <c r="A153" s="36" t="s">
        <v>1025</v>
      </c>
      <c r="B153" s="36" t="s">
        <v>1026</v>
      </c>
      <c r="C153" s="36" t="s">
        <v>685</v>
      </c>
      <c r="D153" s="37"/>
    </row>
    <row r="154" spans="1:4" ht="14.25" customHeight="1" x14ac:dyDescent="0.3">
      <c r="A154" s="36" t="s">
        <v>1025</v>
      </c>
      <c r="B154" s="36" t="s">
        <v>1026</v>
      </c>
      <c r="C154" s="36" t="s">
        <v>685</v>
      </c>
      <c r="D154" s="37"/>
    </row>
    <row r="155" spans="1:4" ht="14.25" customHeight="1" x14ac:dyDescent="0.3">
      <c r="A155" s="36" t="s">
        <v>1027</v>
      </c>
      <c r="B155" s="36" t="s">
        <v>1026</v>
      </c>
      <c r="C155" s="36" t="s">
        <v>685</v>
      </c>
      <c r="D155" s="37"/>
    </row>
    <row r="156" spans="1:4" ht="14.25" customHeight="1" x14ac:dyDescent="0.3">
      <c r="A156" s="36" t="s">
        <v>1028</v>
      </c>
      <c r="B156" s="36" t="s">
        <v>1026</v>
      </c>
      <c r="C156" s="36" t="s">
        <v>685</v>
      </c>
      <c r="D156" s="37"/>
    </row>
    <row r="157" spans="1:4" ht="14.25" customHeight="1" x14ac:dyDescent="0.3">
      <c r="A157" s="36" t="s">
        <v>1029</v>
      </c>
      <c r="B157" s="36" t="s">
        <v>1026</v>
      </c>
      <c r="C157" s="36" t="s">
        <v>685</v>
      </c>
      <c r="D157" s="37"/>
    </row>
    <row r="158" spans="1:4" ht="14.25" customHeight="1" x14ac:dyDescent="0.3">
      <c r="A158" s="36" t="s">
        <v>1030</v>
      </c>
      <c r="B158" s="36" t="s">
        <v>1026</v>
      </c>
      <c r="C158" s="36" t="s">
        <v>685</v>
      </c>
      <c r="D158" s="37"/>
    </row>
    <row r="159" spans="1:4" ht="14.25" customHeight="1" x14ac:dyDescent="0.3">
      <c r="A159" s="36" t="s">
        <v>1031</v>
      </c>
      <c r="B159" s="36" t="s">
        <v>1026</v>
      </c>
      <c r="C159" s="36" t="s">
        <v>685</v>
      </c>
      <c r="D159" s="37"/>
    </row>
    <row r="160" spans="1:4" ht="14.25" customHeight="1" x14ac:dyDescent="0.3">
      <c r="A160" s="36" t="s">
        <v>1032</v>
      </c>
      <c r="B160" s="36" t="s">
        <v>1026</v>
      </c>
      <c r="C160" s="36" t="s">
        <v>685</v>
      </c>
      <c r="D160" s="37"/>
    </row>
    <row r="161" spans="1:4" ht="14.25" customHeight="1" x14ac:dyDescent="0.3">
      <c r="A161" s="36" t="s">
        <v>1033</v>
      </c>
      <c r="B161" s="36" t="s">
        <v>212</v>
      </c>
      <c r="C161" s="36" t="s">
        <v>133</v>
      </c>
      <c r="D161" s="37"/>
    </row>
    <row r="162" spans="1:4" ht="14.25" customHeight="1" x14ac:dyDescent="0.3">
      <c r="A162" s="36" t="s">
        <v>1034</v>
      </c>
      <c r="B162" s="36" t="s">
        <v>212</v>
      </c>
      <c r="C162" s="36" t="s">
        <v>133</v>
      </c>
      <c r="D162" s="37"/>
    </row>
    <row r="163" spans="1:4" ht="14.25" customHeight="1" x14ac:dyDescent="0.3">
      <c r="A163" s="36" t="s">
        <v>1035</v>
      </c>
      <c r="B163" s="36" t="s">
        <v>212</v>
      </c>
      <c r="C163" s="36" t="s">
        <v>133</v>
      </c>
      <c r="D163" s="37"/>
    </row>
    <row r="164" spans="1:4" ht="14.25" customHeight="1" x14ac:dyDescent="0.3">
      <c r="A164" s="36" t="s">
        <v>479</v>
      </c>
      <c r="B164" s="36" t="s">
        <v>212</v>
      </c>
      <c r="C164" s="36" t="s">
        <v>133</v>
      </c>
      <c r="D164" s="37"/>
    </row>
    <row r="165" spans="1:4" ht="14.25" customHeight="1" x14ac:dyDescent="0.3">
      <c r="A165" s="36" t="s">
        <v>1036</v>
      </c>
      <c r="B165" s="36" t="s">
        <v>212</v>
      </c>
      <c r="C165" s="36" t="s">
        <v>133</v>
      </c>
      <c r="D165" s="37"/>
    </row>
    <row r="166" spans="1:4" ht="14.25" customHeight="1" x14ac:dyDescent="0.3">
      <c r="A166" s="36" t="s">
        <v>1037</v>
      </c>
      <c r="B166" s="36" t="s">
        <v>212</v>
      </c>
      <c r="C166" s="36" t="s">
        <v>133</v>
      </c>
      <c r="D166" s="37"/>
    </row>
    <row r="167" spans="1:4" ht="14.25" customHeight="1" x14ac:dyDescent="0.3">
      <c r="A167" s="36" t="s">
        <v>1038</v>
      </c>
      <c r="B167" s="36" t="s">
        <v>212</v>
      </c>
      <c r="C167" s="36" t="s">
        <v>133</v>
      </c>
      <c r="D167" s="37"/>
    </row>
    <row r="168" spans="1:4" ht="14.25" customHeight="1" x14ac:dyDescent="0.3">
      <c r="A168" s="36" t="s">
        <v>1039</v>
      </c>
      <c r="B168" s="36" t="s">
        <v>212</v>
      </c>
      <c r="C168" s="36" t="s">
        <v>133</v>
      </c>
      <c r="D168" s="37"/>
    </row>
    <row r="169" spans="1:4" ht="14.25" customHeight="1" x14ac:dyDescent="0.3">
      <c r="A169" s="36" t="s">
        <v>1040</v>
      </c>
      <c r="B169" s="36" t="s">
        <v>212</v>
      </c>
      <c r="C169" s="36" t="s">
        <v>133</v>
      </c>
      <c r="D169" s="37"/>
    </row>
    <row r="170" spans="1:4" ht="14.25" customHeight="1" x14ac:dyDescent="0.3">
      <c r="A170" s="36" t="s">
        <v>1041</v>
      </c>
      <c r="B170" s="36" t="s">
        <v>465</v>
      </c>
      <c r="C170" s="36" t="s">
        <v>133</v>
      </c>
      <c r="D170" s="37"/>
    </row>
    <row r="171" spans="1:4" ht="14.25" customHeight="1" x14ac:dyDescent="0.3">
      <c r="A171" s="36" t="s">
        <v>1042</v>
      </c>
      <c r="B171" s="36" t="s">
        <v>465</v>
      </c>
      <c r="C171" s="36" t="s">
        <v>133</v>
      </c>
      <c r="D171" s="37"/>
    </row>
    <row r="172" spans="1:4" ht="14.25" customHeight="1" x14ac:dyDescent="0.3">
      <c r="A172" s="36" t="s">
        <v>1043</v>
      </c>
      <c r="B172" s="36" t="s">
        <v>465</v>
      </c>
      <c r="C172" s="36" t="s">
        <v>133</v>
      </c>
      <c r="D172" s="37"/>
    </row>
    <row r="173" spans="1:4" ht="14.25" customHeight="1" x14ac:dyDescent="0.3">
      <c r="A173" s="36" t="s">
        <v>1044</v>
      </c>
      <c r="B173" s="36" t="s">
        <v>465</v>
      </c>
      <c r="C173" s="36" t="s">
        <v>133</v>
      </c>
      <c r="D173" s="37"/>
    </row>
    <row r="174" spans="1:4" ht="14.25" customHeight="1" x14ac:dyDescent="0.3">
      <c r="A174" s="36" t="s">
        <v>1045</v>
      </c>
      <c r="B174" s="36" t="s">
        <v>465</v>
      </c>
      <c r="C174" s="36" t="s">
        <v>133</v>
      </c>
      <c r="D174" s="37"/>
    </row>
    <row r="175" spans="1:4" ht="14.25" customHeight="1" x14ac:dyDescent="0.3">
      <c r="A175" s="36" t="s">
        <v>1046</v>
      </c>
      <c r="B175" s="36" t="s">
        <v>465</v>
      </c>
      <c r="C175" s="36" t="s">
        <v>133</v>
      </c>
      <c r="D175" s="37"/>
    </row>
    <row r="176" spans="1:4" ht="14.25" customHeight="1" x14ac:dyDescent="0.3">
      <c r="A176" s="36" t="s">
        <v>1047</v>
      </c>
      <c r="B176" s="36" t="s">
        <v>465</v>
      </c>
      <c r="C176" s="36" t="s">
        <v>133</v>
      </c>
      <c r="D176" s="37"/>
    </row>
    <row r="177" spans="1:4" ht="14.25" customHeight="1" x14ac:dyDescent="0.3">
      <c r="A177" s="36" t="s">
        <v>1048</v>
      </c>
      <c r="B177" s="36" t="s">
        <v>1049</v>
      </c>
      <c r="C177" s="36" t="s">
        <v>133</v>
      </c>
      <c r="D177" s="37"/>
    </row>
    <row r="178" spans="1:4" ht="14.25" customHeight="1" x14ac:dyDescent="0.3">
      <c r="A178" s="36" t="s">
        <v>1050</v>
      </c>
      <c r="B178" s="36" t="s">
        <v>1049</v>
      </c>
      <c r="C178" s="36" t="s">
        <v>133</v>
      </c>
      <c r="D178" s="37"/>
    </row>
    <row r="179" spans="1:4" ht="14.25" customHeight="1" x14ac:dyDescent="0.3">
      <c r="A179" s="36" t="s">
        <v>1051</v>
      </c>
      <c r="B179" s="36" t="s">
        <v>1052</v>
      </c>
      <c r="C179" s="36" t="s">
        <v>436</v>
      </c>
      <c r="D179" s="37"/>
    </row>
    <row r="180" spans="1:4" ht="14.25" customHeight="1" x14ac:dyDescent="0.3">
      <c r="A180" s="36" t="s">
        <v>1053</v>
      </c>
      <c r="B180" s="36" t="s">
        <v>1052</v>
      </c>
      <c r="C180" s="36" t="s">
        <v>436</v>
      </c>
      <c r="D180" s="37"/>
    </row>
    <row r="181" spans="1:4" ht="14.25" customHeight="1" x14ac:dyDescent="0.3">
      <c r="A181" s="36" t="s">
        <v>1054</v>
      </c>
      <c r="B181" s="36" t="s">
        <v>1052</v>
      </c>
      <c r="C181" s="36" t="s">
        <v>436</v>
      </c>
      <c r="D181" s="37"/>
    </row>
    <row r="182" spans="1:4" ht="14.25" customHeight="1" x14ac:dyDescent="0.3">
      <c r="A182" s="36" t="s">
        <v>1055</v>
      </c>
      <c r="B182" s="36" t="s">
        <v>1052</v>
      </c>
      <c r="C182" s="36" t="s">
        <v>436</v>
      </c>
      <c r="D182" s="37"/>
    </row>
    <row r="183" spans="1:4" ht="14.25" customHeight="1" x14ac:dyDescent="0.3">
      <c r="A183" s="36" t="s">
        <v>1056</v>
      </c>
      <c r="B183" s="36" t="s">
        <v>797</v>
      </c>
      <c r="C183" s="36" t="s">
        <v>436</v>
      </c>
      <c r="D183" s="37"/>
    </row>
    <row r="184" spans="1:4" ht="14.25" customHeight="1" x14ac:dyDescent="0.3">
      <c r="A184" s="36" t="s">
        <v>1057</v>
      </c>
      <c r="B184" s="36" t="s">
        <v>797</v>
      </c>
      <c r="C184" s="36" t="s">
        <v>436</v>
      </c>
      <c r="D184" s="37"/>
    </row>
    <row r="185" spans="1:4" ht="14.25" customHeight="1" x14ac:dyDescent="0.3">
      <c r="A185" s="36" t="s">
        <v>1058</v>
      </c>
      <c r="B185" s="36" t="s">
        <v>797</v>
      </c>
      <c r="C185" s="36" t="s">
        <v>436</v>
      </c>
      <c r="D185" s="37"/>
    </row>
    <row r="186" spans="1:4" ht="14.25" customHeight="1" x14ac:dyDescent="0.3">
      <c r="A186" s="36" t="s">
        <v>1059</v>
      </c>
      <c r="B186" s="36" t="s">
        <v>797</v>
      </c>
      <c r="C186" s="36" t="s">
        <v>436</v>
      </c>
      <c r="D186" s="37"/>
    </row>
    <row r="187" spans="1:4" ht="14.25" customHeight="1" x14ac:dyDescent="0.3">
      <c r="A187" s="36" t="s">
        <v>1060</v>
      </c>
      <c r="B187" s="36" t="s">
        <v>1061</v>
      </c>
      <c r="C187" s="36" t="s">
        <v>436</v>
      </c>
      <c r="D187" s="37"/>
    </row>
    <row r="188" spans="1:4" ht="14.25" customHeight="1" x14ac:dyDescent="0.3">
      <c r="A188" s="36" t="s">
        <v>1062</v>
      </c>
      <c r="B188" s="36" t="s">
        <v>1061</v>
      </c>
      <c r="C188" s="36" t="s">
        <v>436</v>
      </c>
      <c r="D188" s="37"/>
    </row>
    <row r="189" spans="1:4" ht="14.25" customHeight="1" x14ac:dyDescent="0.3">
      <c r="A189" s="36" t="s">
        <v>1063</v>
      </c>
      <c r="B189" s="36" t="s">
        <v>1061</v>
      </c>
      <c r="C189" s="36" t="s">
        <v>436</v>
      </c>
      <c r="D189" s="37"/>
    </row>
    <row r="190" spans="1:4" ht="14.25" customHeight="1" x14ac:dyDescent="0.3">
      <c r="A190" s="36" t="s">
        <v>1064</v>
      </c>
      <c r="B190" s="36" t="s">
        <v>1061</v>
      </c>
      <c r="C190" s="36" t="s">
        <v>436</v>
      </c>
      <c r="D190" s="37"/>
    </row>
    <row r="191" spans="1:4" ht="14.25" customHeight="1" x14ac:dyDescent="0.3">
      <c r="A191" s="36" t="s">
        <v>1065</v>
      </c>
      <c r="B191" s="36" t="s">
        <v>1066</v>
      </c>
      <c r="C191" s="36" t="s">
        <v>436</v>
      </c>
      <c r="D191" s="37"/>
    </row>
    <row r="192" spans="1:4" ht="14.25" customHeight="1" x14ac:dyDescent="0.3">
      <c r="A192" s="36" t="s">
        <v>1067</v>
      </c>
      <c r="B192" s="36" t="s">
        <v>1066</v>
      </c>
      <c r="C192" s="36" t="s">
        <v>436</v>
      </c>
      <c r="D192" s="37"/>
    </row>
    <row r="193" spans="1:4" ht="14.25" customHeight="1" x14ac:dyDescent="0.3">
      <c r="A193" s="36" t="s">
        <v>1068</v>
      </c>
      <c r="B193" s="36" t="s">
        <v>1066</v>
      </c>
      <c r="C193" s="36" t="s">
        <v>436</v>
      </c>
      <c r="D193" s="37"/>
    </row>
    <row r="194" spans="1:4" ht="14.25" customHeight="1" x14ac:dyDescent="0.3">
      <c r="A194" s="36" t="s">
        <v>1069</v>
      </c>
      <c r="B194" s="36" t="s">
        <v>1066</v>
      </c>
      <c r="C194" s="36" t="s">
        <v>436</v>
      </c>
      <c r="D194" s="37"/>
    </row>
    <row r="195" spans="1:4" ht="14.25" customHeight="1" x14ac:dyDescent="0.3">
      <c r="A195" s="37"/>
      <c r="B195" s="37"/>
      <c r="C195" s="37"/>
      <c r="D195" s="37"/>
    </row>
    <row r="196" spans="1:4" ht="14.25" customHeight="1" x14ac:dyDescent="0.3">
      <c r="A196" s="35" t="s">
        <v>1070</v>
      </c>
      <c r="B196" s="35"/>
      <c r="C196" s="37"/>
      <c r="D196" s="37"/>
    </row>
    <row r="197" spans="1:4" ht="14.25" customHeight="1" x14ac:dyDescent="0.3">
      <c r="A197" s="35" t="s">
        <v>903</v>
      </c>
      <c r="B197" s="35" t="s">
        <v>1071</v>
      </c>
      <c r="C197" s="37"/>
      <c r="D197" s="37"/>
    </row>
    <row r="198" spans="1:4" ht="14.25" customHeight="1" x14ac:dyDescent="0.3">
      <c r="A198" s="36" t="s">
        <v>118</v>
      </c>
      <c r="B198" s="36" t="s">
        <v>317</v>
      </c>
      <c r="C198" s="37"/>
      <c r="D198" s="37"/>
    </row>
    <row r="199" spans="1:4" ht="14.25" customHeight="1" x14ac:dyDescent="0.3">
      <c r="A199" s="36" t="s">
        <v>118</v>
      </c>
      <c r="B199" s="36" t="s">
        <v>480</v>
      </c>
      <c r="C199" s="37"/>
      <c r="D199" s="37"/>
    </row>
    <row r="200" spans="1:4" ht="14.25" customHeight="1" x14ac:dyDescent="0.3">
      <c r="A200" s="36" t="s">
        <v>118</v>
      </c>
      <c r="B200" s="36" t="s">
        <v>1072</v>
      </c>
      <c r="C200" s="37"/>
      <c r="D200" s="37"/>
    </row>
    <row r="201" spans="1:4" ht="14.25" customHeight="1" x14ac:dyDescent="0.3">
      <c r="A201" s="36" t="s">
        <v>118</v>
      </c>
      <c r="B201" s="36" t="s">
        <v>1073</v>
      </c>
      <c r="C201" s="37"/>
      <c r="D201" s="37"/>
    </row>
    <row r="202" spans="1:4" ht="14.25" customHeight="1" x14ac:dyDescent="0.3">
      <c r="A202" s="36" t="s">
        <v>118</v>
      </c>
      <c r="B202" s="36" t="s">
        <v>1074</v>
      </c>
      <c r="C202" s="37"/>
      <c r="D202" s="37"/>
    </row>
    <row r="203" spans="1:4" ht="14.25" customHeight="1" x14ac:dyDescent="0.3">
      <c r="A203" s="36" t="s">
        <v>195</v>
      </c>
      <c r="B203" s="36" t="s">
        <v>1075</v>
      </c>
      <c r="C203" s="37"/>
      <c r="D203" s="37"/>
    </row>
    <row r="204" spans="1:4" ht="14.25" customHeight="1" x14ac:dyDescent="0.3">
      <c r="A204" s="36" t="s">
        <v>195</v>
      </c>
      <c r="B204" s="36" t="s">
        <v>1076</v>
      </c>
      <c r="C204" s="37"/>
      <c r="D204" s="37"/>
    </row>
    <row r="205" spans="1:4" ht="14.25" customHeight="1" x14ac:dyDescent="0.3">
      <c r="A205" s="36" t="s">
        <v>195</v>
      </c>
      <c r="B205" s="36" t="s">
        <v>1077</v>
      </c>
      <c r="C205" s="37"/>
      <c r="D205" s="37"/>
    </row>
    <row r="206" spans="1:4" ht="14.25" customHeight="1" x14ac:dyDescent="0.3">
      <c r="A206" s="36" t="s">
        <v>195</v>
      </c>
      <c r="B206" s="36" t="s">
        <v>1078</v>
      </c>
      <c r="C206" s="37"/>
      <c r="D206" s="37"/>
    </row>
    <row r="207" spans="1:4" ht="14.25" customHeight="1" x14ac:dyDescent="0.3">
      <c r="A207" s="36" t="s">
        <v>195</v>
      </c>
      <c r="B207" s="36" t="s">
        <v>1079</v>
      </c>
      <c r="C207" s="37"/>
      <c r="D207" s="37"/>
    </row>
    <row r="208" spans="1:4" ht="14.25" customHeight="1" x14ac:dyDescent="0.3">
      <c r="A208" s="36" t="s">
        <v>195</v>
      </c>
      <c r="B208" s="36" t="s">
        <v>1080</v>
      </c>
      <c r="C208" s="37"/>
      <c r="D208" s="37"/>
    </row>
    <row r="209" spans="1:4" ht="14.25" customHeight="1" x14ac:dyDescent="0.3">
      <c r="A209" s="36" t="s">
        <v>195</v>
      </c>
      <c r="B209" s="36" t="s">
        <v>1081</v>
      </c>
      <c r="C209" s="37"/>
      <c r="D209" s="37"/>
    </row>
    <row r="210" spans="1:4" ht="14.25" customHeight="1" x14ac:dyDescent="0.3">
      <c r="A210" s="36" t="s">
        <v>195</v>
      </c>
      <c r="B210" s="36" t="s">
        <v>1082</v>
      </c>
      <c r="C210" s="37"/>
      <c r="D210" s="37"/>
    </row>
    <row r="211" spans="1:4" ht="14.25" customHeight="1" x14ac:dyDescent="0.3">
      <c r="A211" s="36" t="s">
        <v>195</v>
      </c>
      <c r="B211" s="36" t="s">
        <v>1083</v>
      </c>
      <c r="C211" s="37"/>
      <c r="D211" s="37"/>
    </row>
    <row r="212" spans="1:4" ht="14.25" customHeight="1" x14ac:dyDescent="0.3">
      <c r="A212" s="36" t="s">
        <v>195</v>
      </c>
      <c r="B212" s="36" t="s">
        <v>1084</v>
      </c>
      <c r="C212" s="37"/>
      <c r="D212" s="37"/>
    </row>
    <row r="213" spans="1:4" ht="14.25" customHeight="1" x14ac:dyDescent="0.3">
      <c r="A213" s="36" t="s">
        <v>195</v>
      </c>
      <c r="B213" s="36" t="s">
        <v>1085</v>
      </c>
      <c r="C213" s="37"/>
      <c r="D213" s="37"/>
    </row>
    <row r="214" spans="1:4" ht="14.25" customHeight="1" x14ac:dyDescent="0.3">
      <c r="A214" s="36" t="s">
        <v>195</v>
      </c>
      <c r="B214" s="36" t="s">
        <v>1086</v>
      </c>
      <c r="C214" s="37"/>
      <c r="D214" s="37"/>
    </row>
    <row r="215" spans="1:4" ht="14.25" customHeight="1" x14ac:dyDescent="0.3">
      <c r="A215" s="36" t="s">
        <v>195</v>
      </c>
      <c r="B215" s="36" t="s">
        <v>1087</v>
      </c>
      <c r="C215" s="37"/>
      <c r="D215" s="37"/>
    </row>
    <row r="216" spans="1:4" ht="14.25" customHeight="1" x14ac:dyDescent="0.3">
      <c r="A216" s="36" t="s">
        <v>653</v>
      </c>
      <c r="B216" s="36" t="s">
        <v>599</v>
      </c>
      <c r="C216" s="37"/>
      <c r="D216" s="37"/>
    </row>
    <row r="217" spans="1:4" ht="14.25" customHeight="1" x14ac:dyDescent="0.3">
      <c r="A217" s="36" t="s">
        <v>653</v>
      </c>
      <c r="B217" s="36" t="s">
        <v>711</v>
      </c>
      <c r="C217" s="37"/>
      <c r="D217" s="37"/>
    </row>
    <row r="218" spans="1:4" ht="14.25" customHeight="1" x14ac:dyDescent="0.3">
      <c r="A218" s="36" t="s">
        <v>97</v>
      </c>
      <c r="B218" s="36" t="s">
        <v>769</v>
      </c>
      <c r="C218" s="37"/>
      <c r="D218" s="37"/>
    </row>
    <row r="219" spans="1:4" ht="14.25" customHeight="1" x14ac:dyDescent="0.3">
      <c r="A219" s="36" t="s">
        <v>97</v>
      </c>
      <c r="B219" s="36" t="s">
        <v>1088</v>
      </c>
      <c r="C219" s="37"/>
      <c r="D219" s="37"/>
    </row>
    <row r="220" spans="1:4" ht="14.25" customHeight="1" x14ac:dyDescent="0.3">
      <c r="A220" s="36" t="s">
        <v>97</v>
      </c>
      <c r="B220" s="36" t="s">
        <v>767</v>
      </c>
      <c r="C220" s="37"/>
      <c r="D220" s="37"/>
    </row>
    <row r="221" spans="1:4" ht="14.25" customHeight="1" x14ac:dyDescent="0.3">
      <c r="A221" s="36" t="s">
        <v>97</v>
      </c>
      <c r="B221" s="36" t="s">
        <v>1089</v>
      </c>
      <c r="C221" s="37"/>
      <c r="D221" s="37"/>
    </row>
    <row r="222" spans="1:4" ht="14.25" customHeight="1" x14ac:dyDescent="0.3">
      <c r="A222" s="36" t="s">
        <v>97</v>
      </c>
      <c r="B222" s="36" t="s">
        <v>1090</v>
      </c>
      <c r="C222" s="37"/>
      <c r="D222" s="37"/>
    </row>
    <row r="223" spans="1:4" ht="14.25" customHeight="1" x14ac:dyDescent="0.3">
      <c r="A223" s="36" t="s">
        <v>685</v>
      </c>
      <c r="B223" s="36" t="s">
        <v>686</v>
      </c>
      <c r="C223" s="37"/>
      <c r="D223" s="37"/>
    </row>
    <row r="224" spans="1:4" ht="14.25" customHeight="1" x14ac:dyDescent="0.3">
      <c r="A224" s="36" t="s">
        <v>685</v>
      </c>
      <c r="B224" s="36" t="s">
        <v>1091</v>
      </c>
      <c r="C224" s="37"/>
      <c r="D224" s="37"/>
    </row>
    <row r="225" spans="1:4" ht="14.25" customHeight="1" x14ac:dyDescent="0.3">
      <c r="A225" s="36" t="s">
        <v>685</v>
      </c>
      <c r="B225" s="36" t="s">
        <v>688</v>
      </c>
      <c r="C225" s="37"/>
      <c r="D225" s="37"/>
    </row>
    <row r="226" spans="1:4" ht="14.25" customHeight="1" x14ac:dyDescent="0.3">
      <c r="A226" s="36" t="s">
        <v>133</v>
      </c>
      <c r="B226" s="36" t="s">
        <v>1092</v>
      </c>
      <c r="C226" s="37"/>
      <c r="D226" s="37"/>
    </row>
    <row r="227" spans="1:4" ht="14.25" customHeight="1" x14ac:dyDescent="0.3">
      <c r="A227" s="36" t="s">
        <v>133</v>
      </c>
      <c r="B227" s="36" t="s">
        <v>1093</v>
      </c>
      <c r="C227" s="37"/>
      <c r="D227" s="37"/>
    </row>
    <row r="228" spans="1:4" ht="14.25" customHeight="1" x14ac:dyDescent="0.3">
      <c r="A228" s="36" t="s">
        <v>133</v>
      </c>
      <c r="B228" s="36" t="s">
        <v>1094</v>
      </c>
      <c r="C228" s="37"/>
      <c r="D228" s="37"/>
    </row>
    <row r="229" spans="1:4" ht="14.25" customHeight="1" x14ac:dyDescent="0.3">
      <c r="A229" s="36" t="s">
        <v>133</v>
      </c>
      <c r="B229" s="36" t="s">
        <v>1095</v>
      </c>
      <c r="C229" s="37"/>
      <c r="D229" s="37"/>
    </row>
    <row r="230" spans="1:4" ht="14.25" customHeight="1" x14ac:dyDescent="0.3">
      <c r="A230" s="36" t="s">
        <v>133</v>
      </c>
      <c r="B230" s="36" t="s">
        <v>1096</v>
      </c>
      <c r="C230" s="37"/>
      <c r="D230" s="37"/>
    </row>
    <row r="231" spans="1:4" ht="14.25" customHeight="1" x14ac:dyDescent="0.3">
      <c r="A231" s="36" t="s">
        <v>436</v>
      </c>
      <c r="B231" s="36" t="s">
        <v>1097</v>
      </c>
      <c r="C231" s="37"/>
      <c r="D231" s="37"/>
    </row>
    <row r="232" spans="1:4" ht="14.25" customHeight="1" x14ac:dyDescent="0.3">
      <c r="A232" s="36" t="s">
        <v>436</v>
      </c>
      <c r="B232" s="36" t="s">
        <v>1098</v>
      </c>
      <c r="C232" s="37"/>
      <c r="D232" s="37"/>
    </row>
    <row r="233" spans="1:4" ht="14.25" customHeight="1" x14ac:dyDescent="0.3">
      <c r="A233" s="36" t="s">
        <v>436</v>
      </c>
      <c r="B233" s="36" t="s">
        <v>1099</v>
      </c>
      <c r="C233" s="37"/>
      <c r="D233" s="37"/>
    </row>
    <row r="234" spans="1:4" ht="14.25" customHeight="1" x14ac:dyDescent="0.3">
      <c r="A234" s="36" t="s">
        <v>436</v>
      </c>
      <c r="B234" s="36" t="s">
        <v>1100</v>
      </c>
      <c r="C234" s="37"/>
      <c r="D234" s="37"/>
    </row>
    <row r="235" spans="1:4" ht="14.25" customHeight="1" x14ac:dyDescent="0.3">
      <c r="A235" s="36" t="s">
        <v>436</v>
      </c>
      <c r="B235" s="36" t="s">
        <v>1101</v>
      </c>
      <c r="C235" s="37"/>
      <c r="D235" s="37"/>
    </row>
    <row r="236" spans="1:4" ht="14.25" customHeight="1" x14ac:dyDescent="0.3">
      <c r="A236" s="36" t="s">
        <v>436</v>
      </c>
      <c r="B236" s="36" t="s">
        <v>1102</v>
      </c>
      <c r="C236" s="37"/>
      <c r="D236" s="37"/>
    </row>
    <row r="237" spans="1:4" ht="14.25" customHeight="1" x14ac:dyDescent="0.3">
      <c r="A237" s="36" t="s">
        <v>436</v>
      </c>
      <c r="B237" s="36" t="s">
        <v>1103</v>
      </c>
      <c r="C237" s="37"/>
      <c r="D237" s="37"/>
    </row>
    <row r="238" spans="1:4" ht="14.25" customHeight="1" x14ac:dyDescent="0.3">
      <c r="A238" s="36" t="s">
        <v>436</v>
      </c>
      <c r="B238" s="36" t="s">
        <v>1104</v>
      </c>
      <c r="C238" s="37"/>
      <c r="D238" s="37"/>
    </row>
    <row r="239" spans="1:4" ht="14.25" customHeight="1" x14ac:dyDescent="0.3">
      <c r="A239" s="37"/>
      <c r="B239" s="37"/>
      <c r="C239" s="37"/>
      <c r="D239" s="37"/>
    </row>
    <row r="240" spans="1:4" ht="14.25" customHeight="1" x14ac:dyDescent="0.3">
      <c r="A240" s="37"/>
      <c r="B240" s="37"/>
      <c r="C240" s="37"/>
      <c r="D240" s="37"/>
    </row>
    <row r="241" spans="1:4" ht="14.25" customHeight="1" x14ac:dyDescent="0.3">
      <c r="A241" s="35" t="s">
        <v>1105</v>
      </c>
      <c r="B241" s="35" t="s">
        <v>1106</v>
      </c>
      <c r="C241" s="38"/>
      <c r="D241" s="37"/>
    </row>
    <row r="242" spans="1:4" ht="14.25" customHeight="1" x14ac:dyDescent="0.3">
      <c r="A242" s="36">
        <v>1</v>
      </c>
      <c r="B242" s="36" t="s">
        <v>1107</v>
      </c>
      <c r="C242" s="36"/>
      <c r="D242" s="37"/>
    </row>
    <row r="243" spans="1:4" ht="14.25" customHeight="1" x14ac:dyDescent="0.3">
      <c r="A243" s="36">
        <v>2</v>
      </c>
      <c r="B243" s="36" t="s">
        <v>1108</v>
      </c>
      <c r="C243" s="36"/>
      <c r="D243" s="37"/>
    </row>
    <row r="244" spans="1:4" ht="14.25" customHeight="1" x14ac:dyDescent="0.3">
      <c r="A244" s="36">
        <v>3</v>
      </c>
      <c r="B244" s="36" t="s">
        <v>1109</v>
      </c>
      <c r="C244" s="36"/>
      <c r="D244" s="37"/>
    </row>
    <row r="245" spans="1:4" ht="14.25" customHeight="1" x14ac:dyDescent="0.3">
      <c r="A245" s="36">
        <v>4</v>
      </c>
      <c r="B245" s="36" t="s">
        <v>1110</v>
      </c>
      <c r="C245" s="36"/>
      <c r="D245" s="37"/>
    </row>
    <row r="246" spans="1:4" ht="14.25" customHeight="1" x14ac:dyDescent="0.3">
      <c r="A246" s="36">
        <v>5</v>
      </c>
      <c r="B246" s="36" t="s">
        <v>1111</v>
      </c>
      <c r="C246" s="36"/>
      <c r="D246" s="37"/>
    </row>
    <row r="247" spans="1:4" ht="14.25" customHeight="1" x14ac:dyDescent="0.3">
      <c r="A247" s="36">
        <v>6</v>
      </c>
      <c r="B247" s="36" t="s">
        <v>1112</v>
      </c>
      <c r="C247" s="36"/>
      <c r="D247" s="37"/>
    </row>
    <row r="248" spans="1:4" ht="14.25" customHeight="1" x14ac:dyDescent="0.3">
      <c r="A248" s="36">
        <v>7</v>
      </c>
      <c r="B248" s="36" t="s">
        <v>1113</v>
      </c>
      <c r="C248" s="36"/>
      <c r="D248" s="37"/>
    </row>
    <row r="249" spans="1:4" ht="14.25" customHeight="1" x14ac:dyDescent="0.3">
      <c r="A249" s="36">
        <v>8</v>
      </c>
      <c r="B249" s="36" t="s">
        <v>1114</v>
      </c>
      <c r="C249" s="36" t="s">
        <v>1115</v>
      </c>
      <c r="D249" s="37"/>
    </row>
    <row r="250" spans="1:4" ht="14.25" customHeight="1" x14ac:dyDescent="0.3">
      <c r="A250" s="36">
        <v>9</v>
      </c>
      <c r="B250" s="36" t="s">
        <v>1116</v>
      </c>
      <c r="C250" s="36" t="s">
        <v>1115</v>
      </c>
      <c r="D250" s="37"/>
    </row>
    <row r="251" spans="1:4" ht="14.25" customHeight="1" x14ac:dyDescent="0.3">
      <c r="A251" s="36">
        <v>10</v>
      </c>
      <c r="B251" s="36" t="s">
        <v>1117</v>
      </c>
      <c r="C251" s="36" t="s">
        <v>1115</v>
      </c>
      <c r="D251" s="37"/>
    </row>
    <row r="252" spans="1:4" ht="14.25" customHeight="1" x14ac:dyDescent="0.3">
      <c r="A252" s="36">
        <v>11</v>
      </c>
      <c r="B252" s="36" t="s">
        <v>1118</v>
      </c>
      <c r="C252" s="36" t="s">
        <v>1115</v>
      </c>
      <c r="D252" s="37"/>
    </row>
    <row r="253" spans="1:4" ht="14.25" customHeight="1" x14ac:dyDescent="0.3">
      <c r="A253" s="36">
        <v>12</v>
      </c>
      <c r="B253" s="36" t="s">
        <v>1119</v>
      </c>
      <c r="C253" s="36" t="s">
        <v>1115</v>
      </c>
      <c r="D253" s="37"/>
    </row>
    <row r="254" spans="1:4" ht="14.25" customHeight="1" x14ac:dyDescent="0.3">
      <c r="A254" s="36">
        <v>13</v>
      </c>
      <c r="B254" s="36" t="s">
        <v>1120</v>
      </c>
      <c r="C254" s="36" t="s">
        <v>1115</v>
      </c>
      <c r="D254" s="37"/>
    </row>
    <row r="255" spans="1:4" ht="14.25" customHeight="1" x14ac:dyDescent="0.3">
      <c r="A255" s="36">
        <v>14</v>
      </c>
      <c r="B255" s="36" t="s">
        <v>1121</v>
      </c>
      <c r="C255" s="36" t="s">
        <v>1115</v>
      </c>
      <c r="D255" s="37"/>
    </row>
    <row r="256" spans="1:4" ht="14.25" customHeight="1" x14ac:dyDescent="0.3">
      <c r="A256" s="36">
        <v>15</v>
      </c>
      <c r="B256" s="36" t="s">
        <v>1122</v>
      </c>
      <c r="C256" s="36" t="s">
        <v>1115</v>
      </c>
      <c r="D256" s="37"/>
    </row>
    <row r="257" spans="1:4" ht="14.25" customHeight="1" x14ac:dyDescent="0.3">
      <c r="A257" s="36">
        <v>16</v>
      </c>
      <c r="B257" s="36" t="s">
        <v>1123</v>
      </c>
      <c r="C257" s="36" t="s">
        <v>1115</v>
      </c>
      <c r="D257" s="37"/>
    </row>
    <row r="258" spans="1:4" ht="14.25" customHeight="1" x14ac:dyDescent="0.3">
      <c r="A258" s="36">
        <v>17</v>
      </c>
      <c r="B258" s="36" t="s">
        <v>1124</v>
      </c>
      <c r="C258" s="36" t="s">
        <v>1115</v>
      </c>
      <c r="D258" s="37"/>
    </row>
    <row r="259" spans="1:4" ht="14.25" customHeight="1" x14ac:dyDescent="0.3">
      <c r="A259" s="36">
        <v>18</v>
      </c>
      <c r="B259" s="36" t="s">
        <v>1125</v>
      </c>
      <c r="C259" s="36" t="s">
        <v>1115</v>
      </c>
      <c r="D259" s="37"/>
    </row>
    <row r="260" spans="1:4" ht="14.25" customHeight="1" x14ac:dyDescent="0.3">
      <c r="A260" s="36">
        <v>19</v>
      </c>
      <c r="B260" s="36" t="s">
        <v>1126</v>
      </c>
      <c r="C260" s="36" t="s">
        <v>1115</v>
      </c>
      <c r="D260" s="37"/>
    </row>
    <row r="261" spans="1:4" ht="14.25" customHeight="1" x14ac:dyDescent="0.3">
      <c r="A261" s="36">
        <v>20</v>
      </c>
      <c r="B261" s="36" t="s">
        <v>1127</v>
      </c>
      <c r="C261" s="36" t="s">
        <v>714</v>
      </c>
      <c r="D261" s="37"/>
    </row>
    <row r="262" spans="1:4" ht="14.25" customHeight="1" x14ac:dyDescent="0.3">
      <c r="A262" s="36">
        <v>21</v>
      </c>
      <c r="B262" s="36" t="s">
        <v>1128</v>
      </c>
      <c r="C262" s="36" t="s">
        <v>714</v>
      </c>
      <c r="D262" s="37"/>
    </row>
    <row r="263" spans="1:4" ht="14.25" customHeight="1" x14ac:dyDescent="0.3">
      <c r="A263" s="36">
        <v>22</v>
      </c>
      <c r="B263" s="36" t="s">
        <v>1129</v>
      </c>
      <c r="C263" s="36" t="s">
        <v>714</v>
      </c>
      <c r="D263" s="37"/>
    </row>
    <row r="264" spans="1:4" ht="14.25" customHeight="1" x14ac:dyDescent="0.3">
      <c r="A264" s="36">
        <v>23</v>
      </c>
      <c r="B264" s="36" t="s">
        <v>1130</v>
      </c>
      <c r="C264" s="36" t="s">
        <v>714</v>
      </c>
      <c r="D264" s="37"/>
    </row>
    <row r="265" spans="1:4" ht="14.25" customHeight="1" x14ac:dyDescent="0.3">
      <c r="A265" s="36">
        <v>24</v>
      </c>
      <c r="B265" s="36" t="s">
        <v>1124</v>
      </c>
      <c r="C265" s="36" t="s">
        <v>714</v>
      </c>
      <c r="D265" s="37"/>
    </row>
    <row r="266" spans="1:4" ht="14.25" customHeight="1" x14ac:dyDescent="0.3">
      <c r="A266" s="36">
        <v>25</v>
      </c>
      <c r="B266" s="36" t="s">
        <v>1131</v>
      </c>
      <c r="C266" s="36" t="s">
        <v>714</v>
      </c>
      <c r="D266" s="37"/>
    </row>
    <row r="267" spans="1:4" ht="14.25" customHeight="1" x14ac:dyDescent="0.3">
      <c r="A267" s="36">
        <v>26</v>
      </c>
      <c r="B267" s="36" t="s">
        <v>1132</v>
      </c>
      <c r="C267" s="36" t="s">
        <v>714</v>
      </c>
      <c r="D267" s="37"/>
    </row>
    <row r="268" spans="1:4" ht="14.25" customHeight="1" x14ac:dyDescent="0.3">
      <c r="A268" s="36">
        <v>27</v>
      </c>
      <c r="B268" s="36" t="s">
        <v>1133</v>
      </c>
      <c r="C268" s="36" t="s">
        <v>714</v>
      </c>
      <c r="D268" s="37"/>
    </row>
    <row r="269" spans="1:4" ht="14.25" customHeight="1" x14ac:dyDescent="0.3">
      <c r="A269" s="36">
        <v>28</v>
      </c>
      <c r="B269" s="36" t="s">
        <v>1134</v>
      </c>
      <c r="C269" s="36" t="s">
        <v>714</v>
      </c>
      <c r="D269" s="37"/>
    </row>
    <row r="270" spans="1:4" ht="14.25" customHeight="1" x14ac:dyDescent="0.3">
      <c r="A270" s="36">
        <v>29</v>
      </c>
      <c r="B270" s="36" t="s">
        <v>1135</v>
      </c>
      <c r="C270" s="36" t="s">
        <v>714</v>
      </c>
      <c r="D270" s="37"/>
    </row>
    <row r="271" spans="1:4" ht="14.25" customHeight="1" x14ac:dyDescent="0.3">
      <c r="A271" s="36">
        <v>30</v>
      </c>
      <c r="B271" s="36" t="s">
        <v>1136</v>
      </c>
      <c r="C271" s="36" t="s">
        <v>1137</v>
      </c>
      <c r="D271" s="37"/>
    </row>
    <row r="272" spans="1:4" ht="14.25" customHeight="1" x14ac:dyDescent="0.3">
      <c r="A272" s="36">
        <v>31</v>
      </c>
      <c r="B272" s="36" t="s">
        <v>1130</v>
      </c>
      <c r="C272" s="36" t="s">
        <v>1137</v>
      </c>
      <c r="D272" s="37"/>
    </row>
    <row r="273" spans="1:4" ht="14.25" customHeight="1" x14ac:dyDescent="0.3">
      <c r="A273" s="36">
        <v>32</v>
      </c>
      <c r="B273" s="36" t="s">
        <v>1138</v>
      </c>
      <c r="C273" s="36" t="s">
        <v>1137</v>
      </c>
      <c r="D273" s="37"/>
    </row>
    <row r="274" spans="1:4" ht="14.25" customHeight="1" x14ac:dyDescent="0.3">
      <c r="A274" s="36">
        <v>33</v>
      </c>
      <c r="B274" s="36" t="s">
        <v>1139</v>
      </c>
      <c r="C274" s="36" t="s">
        <v>1137</v>
      </c>
      <c r="D274" s="37"/>
    </row>
    <row r="275" spans="1:4" ht="14.25" customHeight="1" x14ac:dyDescent="0.3">
      <c r="A275" s="36">
        <v>34</v>
      </c>
      <c r="B275" s="36" t="s">
        <v>1140</v>
      </c>
      <c r="C275" s="36" t="s">
        <v>1137</v>
      </c>
      <c r="D275" s="37"/>
    </row>
    <row r="276" spans="1:4" ht="14.25" customHeight="1" x14ac:dyDescent="0.3">
      <c r="A276" s="36">
        <v>35</v>
      </c>
      <c r="B276" s="36" t="s">
        <v>1126</v>
      </c>
      <c r="C276" s="36" t="s">
        <v>1137</v>
      </c>
      <c r="D276" s="37"/>
    </row>
    <row r="277" spans="1:4" ht="14.25" customHeight="1" x14ac:dyDescent="0.3">
      <c r="A277" s="36">
        <v>36</v>
      </c>
      <c r="B277" s="36" t="s">
        <v>1141</v>
      </c>
      <c r="C277" s="36" t="s">
        <v>1115</v>
      </c>
      <c r="D277" s="37"/>
    </row>
    <row r="278" spans="1:4" ht="14.25" customHeight="1" x14ac:dyDescent="0.3">
      <c r="A278" s="36">
        <v>37</v>
      </c>
      <c r="B278" s="36" t="s">
        <v>1142</v>
      </c>
      <c r="C278" s="36" t="s">
        <v>1115</v>
      </c>
      <c r="D278" s="37"/>
    </row>
    <row r="279" spans="1:4" ht="14.25" customHeight="1" x14ac:dyDescent="0.3">
      <c r="A279" s="36">
        <v>38</v>
      </c>
      <c r="B279" s="36" t="s">
        <v>1143</v>
      </c>
      <c r="C279" s="36" t="s">
        <v>714</v>
      </c>
      <c r="D279" s="37"/>
    </row>
    <row r="280" spans="1:4" ht="14.25" customHeight="1" x14ac:dyDescent="0.3">
      <c r="A280" s="36">
        <v>39</v>
      </c>
      <c r="B280" s="36" t="s">
        <v>1144</v>
      </c>
      <c r="C280" s="36" t="s">
        <v>1137</v>
      </c>
      <c r="D280" s="37"/>
    </row>
    <row r="281" spans="1:4" ht="14.25" customHeight="1" x14ac:dyDescent="0.3">
      <c r="A281" s="36">
        <v>40</v>
      </c>
      <c r="B281" s="36" t="s">
        <v>1145</v>
      </c>
      <c r="C281" s="36" t="s">
        <v>1137</v>
      </c>
      <c r="D281" s="37"/>
    </row>
    <row r="282" spans="1:4" ht="14.25" customHeight="1" x14ac:dyDescent="0.3">
      <c r="A282" s="36">
        <v>41</v>
      </c>
      <c r="B282" s="36" t="s">
        <v>1146</v>
      </c>
      <c r="C282" s="36" t="s">
        <v>1137</v>
      </c>
      <c r="D282" s="37"/>
    </row>
    <row r="283" spans="1:4" ht="14.25" customHeight="1" x14ac:dyDescent="0.3">
      <c r="A283" s="36">
        <v>42</v>
      </c>
      <c r="B283" s="36" t="s">
        <v>1143</v>
      </c>
      <c r="C283" s="36" t="s">
        <v>1137</v>
      </c>
      <c r="D283" s="37"/>
    </row>
    <row r="284" spans="1:4" ht="14.25" customHeight="1" x14ac:dyDescent="0.3">
      <c r="A284" s="36">
        <v>43</v>
      </c>
      <c r="B284" s="36" t="s">
        <v>1147</v>
      </c>
      <c r="C284" s="36" t="s">
        <v>1137</v>
      </c>
      <c r="D284" s="37"/>
    </row>
    <row r="285" spans="1:4" ht="14.25" customHeight="1" x14ac:dyDescent="0.3">
      <c r="A285" s="36">
        <v>44</v>
      </c>
      <c r="B285" s="36" t="s">
        <v>1148</v>
      </c>
      <c r="C285" s="36" t="s">
        <v>1137</v>
      </c>
      <c r="D285" s="37"/>
    </row>
    <row r="286" spans="1:4" ht="14.25" customHeight="1" x14ac:dyDescent="0.3">
      <c r="A286" s="37"/>
      <c r="B286" s="37"/>
      <c r="C286" s="37"/>
      <c r="D286" s="37"/>
    </row>
    <row r="287" spans="1:4" ht="14.25" customHeight="1" x14ac:dyDescent="0.3">
      <c r="A287" s="37"/>
      <c r="B287" s="37"/>
      <c r="C287" s="37"/>
      <c r="D287" s="37"/>
    </row>
    <row r="288" spans="1:4" ht="14.25" customHeight="1" x14ac:dyDescent="0.3">
      <c r="A288" s="35" t="s">
        <v>1149</v>
      </c>
      <c r="B288" s="38"/>
      <c r="C288" s="37"/>
      <c r="D288" s="37"/>
    </row>
    <row r="289" spans="1:4" ht="14.25" customHeight="1" x14ac:dyDescent="0.3">
      <c r="A289" s="36">
        <v>1</v>
      </c>
      <c r="B289" s="36" t="s">
        <v>1115</v>
      </c>
      <c r="C289" s="37"/>
      <c r="D289" s="37"/>
    </row>
    <row r="290" spans="1:4" ht="14.25" customHeight="1" x14ac:dyDescent="0.3">
      <c r="A290" s="36">
        <v>2</v>
      </c>
      <c r="B290" s="36" t="s">
        <v>714</v>
      </c>
      <c r="C290" s="37"/>
      <c r="D290" s="37"/>
    </row>
    <row r="291" spans="1:4" ht="14.25" customHeight="1" x14ac:dyDescent="0.3">
      <c r="A291" s="36">
        <v>3</v>
      </c>
      <c r="B291" s="36" t="s">
        <v>1137</v>
      </c>
      <c r="C291" s="37"/>
      <c r="D291" s="37"/>
    </row>
    <row r="292" spans="1:4" ht="14.25" customHeight="1" x14ac:dyDescent="0.3">
      <c r="A292" s="37"/>
      <c r="B292" s="37"/>
      <c r="C292" s="37"/>
      <c r="D292" s="37"/>
    </row>
    <row r="293" spans="1:4" ht="14.25" customHeight="1" x14ac:dyDescent="0.3">
      <c r="A293" s="35" t="s">
        <v>1150</v>
      </c>
      <c r="B293" s="38"/>
      <c r="C293" s="37"/>
      <c r="D293" s="37"/>
    </row>
    <row r="294" spans="1:4" ht="14.25" customHeight="1" x14ac:dyDescent="0.3">
      <c r="A294" s="36">
        <v>1</v>
      </c>
      <c r="B294" s="36" t="s">
        <v>659</v>
      </c>
      <c r="C294" s="37"/>
      <c r="D294" s="37"/>
    </row>
    <row r="295" spans="1:4" ht="14.25" customHeight="1" x14ac:dyDescent="0.3">
      <c r="A295" s="36">
        <v>2</v>
      </c>
      <c r="B295" s="36" t="s">
        <v>662</v>
      </c>
      <c r="C295" s="37"/>
      <c r="D295" s="37"/>
    </row>
    <row r="296" spans="1:4" ht="14.25" customHeight="1" x14ac:dyDescent="0.3">
      <c r="A296" s="36">
        <v>3</v>
      </c>
      <c r="B296" s="36" t="s">
        <v>665</v>
      </c>
      <c r="C296" s="37"/>
      <c r="D296" s="37"/>
    </row>
    <row r="297" spans="1:4" ht="14.25" customHeight="1" x14ac:dyDescent="0.3">
      <c r="A297" s="37"/>
      <c r="B297" s="37"/>
      <c r="C297" s="37"/>
      <c r="D297" s="37"/>
    </row>
    <row r="298" spans="1:4" ht="14.25" customHeight="1" x14ac:dyDescent="0.3">
      <c r="A298" s="37"/>
      <c r="B298" s="37"/>
      <c r="C298" s="37"/>
      <c r="D298" s="37"/>
    </row>
    <row r="299" spans="1:4" ht="14.25" customHeight="1" x14ac:dyDescent="0.3">
      <c r="A299" s="37" t="s">
        <v>1151</v>
      </c>
      <c r="B299" s="37"/>
      <c r="C299" s="37"/>
      <c r="D299" s="37"/>
    </row>
    <row r="300" spans="1:4" ht="14.25" customHeight="1" x14ac:dyDescent="0.3">
      <c r="A300" s="37" t="s">
        <v>1152</v>
      </c>
      <c r="B300" s="37"/>
      <c r="C300" s="37"/>
      <c r="D300" s="37"/>
    </row>
    <row r="301" spans="1:4" ht="14.25" customHeight="1" x14ac:dyDescent="0.3">
      <c r="A301" s="37"/>
      <c r="B301" s="37"/>
      <c r="C301" s="37"/>
      <c r="D301" s="37"/>
    </row>
    <row r="302" spans="1:4" ht="14.25" customHeight="1" x14ac:dyDescent="0.3">
      <c r="A302" s="39" t="s">
        <v>1153</v>
      </c>
      <c r="B302" s="37"/>
      <c r="C302" s="37"/>
      <c r="D302" s="37"/>
    </row>
    <row r="303" spans="1:4" ht="14.25" customHeight="1" x14ac:dyDescent="0.3">
      <c r="A303" s="39"/>
      <c r="B303" s="40" t="s">
        <v>1154</v>
      </c>
      <c r="C303" s="40" t="s">
        <v>1155</v>
      </c>
      <c r="D303" s="37"/>
    </row>
    <row r="304" spans="1:4" ht="14.25" customHeight="1" x14ac:dyDescent="0.3">
      <c r="A304" s="37"/>
      <c r="B304" s="36" t="s">
        <v>1156</v>
      </c>
      <c r="C304" s="41" t="s">
        <v>1157</v>
      </c>
      <c r="D304" s="37"/>
    </row>
    <row r="305" spans="1:4" ht="14.25" customHeight="1" x14ac:dyDescent="0.3">
      <c r="A305" s="37"/>
      <c r="B305" s="36" t="s">
        <v>1158</v>
      </c>
      <c r="C305" s="41" t="s">
        <v>1159</v>
      </c>
      <c r="D305" s="37"/>
    </row>
    <row r="306" spans="1:4" ht="14.25" customHeight="1" x14ac:dyDescent="0.3">
      <c r="A306" s="37"/>
      <c r="B306" s="36" t="s">
        <v>1160</v>
      </c>
      <c r="C306" s="41" t="s">
        <v>1161</v>
      </c>
      <c r="D306" s="37"/>
    </row>
    <row r="307" spans="1:4" ht="14.25" customHeight="1" x14ac:dyDescent="0.3">
      <c r="A307" s="37"/>
      <c r="B307" s="36" t="s">
        <v>1162</v>
      </c>
      <c r="C307" s="41" t="s">
        <v>1163</v>
      </c>
      <c r="D307" s="37"/>
    </row>
    <row r="308" spans="1:4" ht="14.25" customHeight="1" x14ac:dyDescent="0.3">
      <c r="A308" s="37"/>
      <c r="B308" s="36" t="s">
        <v>1164</v>
      </c>
      <c r="C308" s="41" t="s">
        <v>1165</v>
      </c>
      <c r="D308" s="37"/>
    </row>
    <row r="309" spans="1:4" ht="14.25" customHeight="1" x14ac:dyDescent="0.3">
      <c r="A309" s="37"/>
      <c r="B309" s="36" t="s">
        <v>1166</v>
      </c>
      <c r="C309" s="41" t="s">
        <v>1167</v>
      </c>
      <c r="D309" s="37"/>
    </row>
    <row r="310" spans="1:4" ht="14.25" customHeight="1" x14ac:dyDescent="0.3">
      <c r="A310" s="37"/>
      <c r="B310" s="36" t="s">
        <v>1168</v>
      </c>
      <c r="C310" s="41" t="s">
        <v>1169</v>
      </c>
      <c r="D310" s="37"/>
    </row>
    <row r="311" spans="1:4" ht="14.25" customHeight="1" x14ac:dyDescent="0.3">
      <c r="A311" s="37"/>
      <c r="B311" s="36" t="s">
        <v>1170</v>
      </c>
      <c r="C311" s="41" t="s">
        <v>1171</v>
      </c>
      <c r="D311" s="37"/>
    </row>
    <row r="312" spans="1:4" ht="14.25" customHeight="1" x14ac:dyDescent="0.3">
      <c r="A312" s="37"/>
      <c r="B312" s="36" t="s">
        <v>1172</v>
      </c>
      <c r="C312" s="41" t="s">
        <v>1173</v>
      </c>
      <c r="D312" s="37"/>
    </row>
    <row r="313" spans="1:4" ht="14.25" customHeight="1" x14ac:dyDescent="0.3">
      <c r="A313" s="37"/>
      <c r="B313" s="36" t="s">
        <v>1174</v>
      </c>
      <c r="C313" s="41" t="s">
        <v>1175</v>
      </c>
      <c r="D313" s="37"/>
    </row>
    <row r="314" spans="1:4" ht="14.25" customHeight="1" x14ac:dyDescent="0.3">
      <c r="A314" s="37"/>
      <c r="B314" s="36" t="s">
        <v>1176</v>
      </c>
      <c r="C314" s="41" t="s">
        <v>1177</v>
      </c>
      <c r="D314" s="37"/>
    </row>
    <row r="315" spans="1:4" ht="14.25" customHeight="1" x14ac:dyDescent="0.3">
      <c r="A315" s="37"/>
      <c r="B315" s="36" t="s">
        <v>1178</v>
      </c>
      <c r="C315" s="41" t="s">
        <v>1179</v>
      </c>
      <c r="D315" s="37"/>
    </row>
    <row r="316" spans="1:4" ht="14.25" customHeight="1" x14ac:dyDescent="0.3">
      <c r="A316" s="37"/>
      <c r="B316" s="36" t="s">
        <v>1180</v>
      </c>
      <c r="C316" s="41" t="s">
        <v>1181</v>
      </c>
      <c r="D316" s="37"/>
    </row>
    <row r="317" spans="1:4" ht="14.25" customHeight="1" x14ac:dyDescent="0.3">
      <c r="A317" s="37"/>
      <c r="B317" s="36" t="s">
        <v>1182</v>
      </c>
      <c r="C317" s="41" t="s">
        <v>1183</v>
      </c>
      <c r="D317" s="37"/>
    </row>
    <row r="318" spans="1:4" ht="14.25" customHeight="1" x14ac:dyDescent="0.3">
      <c r="A318" s="37"/>
      <c r="B318" s="36" t="s">
        <v>1184</v>
      </c>
      <c r="C318" s="41" t="s">
        <v>1185</v>
      </c>
      <c r="D318" s="37"/>
    </row>
    <row r="319" spans="1:4" ht="14.25" customHeight="1" x14ac:dyDescent="0.3">
      <c r="A319" s="37"/>
      <c r="B319" s="36" t="s">
        <v>1186</v>
      </c>
      <c r="C319" s="41" t="s">
        <v>1187</v>
      </c>
      <c r="D319" s="37"/>
    </row>
    <row r="320" spans="1:4" ht="14.25" customHeight="1" x14ac:dyDescent="0.3">
      <c r="A320" s="37"/>
      <c r="B320" s="36" t="s">
        <v>1188</v>
      </c>
      <c r="C320" s="41" t="s">
        <v>1189</v>
      </c>
      <c r="D320" s="37"/>
    </row>
    <row r="321" spans="1:4" ht="14.25" customHeight="1" x14ac:dyDescent="0.3">
      <c r="A321" s="37"/>
      <c r="B321" s="36" t="s">
        <v>1190</v>
      </c>
      <c r="C321" s="41" t="s">
        <v>1191</v>
      </c>
      <c r="D321" s="37"/>
    </row>
    <row r="322" spans="1:4" ht="14.25" customHeight="1" x14ac:dyDescent="0.3">
      <c r="A322" s="37"/>
      <c r="B322" s="36" t="s">
        <v>1192</v>
      </c>
      <c r="C322" s="41" t="s">
        <v>1193</v>
      </c>
      <c r="D322" s="37"/>
    </row>
    <row r="323" spans="1:4" ht="14.25" customHeight="1" x14ac:dyDescent="0.3">
      <c r="A323" s="37"/>
      <c r="B323" s="36" t="s">
        <v>1194</v>
      </c>
      <c r="C323" s="41" t="s">
        <v>1195</v>
      </c>
      <c r="D323" s="37"/>
    </row>
    <row r="324" spans="1:4" ht="14.25" customHeight="1" x14ac:dyDescent="0.3">
      <c r="A324" s="37"/>
      <c r="B324" s="36" t="s">
        <v>1196</v>
      </c>
      <c r="C324" s="41" t="s">
        <v>1197</v>
      </c>
      <c r="D324" s="37"/>
    </row>
    <row r="325" spans="1:4" ht="14.25" customHeight="1" x14ac:dyDescent="0.3">
      <c r="A325" s="37"/>
      <c r="B325" s="36" t="s">
        <v>1198</v>
      </c>
      <c r="C325" s="41" t="s">
        <v>1199</v>
      </c>
      <c r="D325" s="37"/>
    </row>
    <row r="326" spans="1:4" ht="14.25" customHeight="1" x14ac:dyDescent="0.3">
      <c r="A326" s="37"/>
      <c r="B326" s="36" t="s">
        <v>1200</v>
      </c>
      <c r="C326" s="41" t="s">
        <v>1201</v>
      </c>
      <c r="D326" s="37"/>
    </row>
    <row r="327" spans="1:4" ht="14.25" customHeight="1" x14ac:dyDescent="0.3">
      <c r="A327" s="37"/>
      <c r="B327" s="36" t="s">
        <v>1202</v>
      </c>
      <c r="C327" s="41" t="s">
        <v>1203</v>
      </c>
      <c r="D327" s="37"/>
    </row>
    <row r="328" spans="1:4" ht="14.25" customHeight="1" x14ac:dyDescent="0.3">
      <c r="A328" s="37"/>
      <c r="B328" s="36" t="s">
        <v>1204</v>
      </c>
      <c r="C328" s="41" t="s">
        <v>1205</v>
      </c>
      <c r="D328" s="37"/>
    </row>
    <row r="329" spans="1:4" ht="14.25" customHeight="1" x14ac:dyDescent="0.3">
      <c r="A329" s="37"/>
      <c r="B329" s="36" t="s">
        <v>1206</v>
      </c>
      <c r="C329" s="41" t="s">
        <v>1207</v>
      </c>
      <c r="D329" s="37"/>
    </row>
    <row r="330" spans="1:4" ht="14.25" customHeight="1" x14ac:dyDescent="0.3">
      <c r="A330" s="37"/>
      <c r="B330" s="36" t="s">
        <v>1208</v>
      </c>
      <c r="C330" s="41" t="s">
        <v>1209</v>
      </c>
      <c r="D330" s="37"/>
    </row>
    <row r="331" spans="1:4" ht="14.25" customHeight="1" x14ac:dyDescent="0.3">
      <c r="A331" s="37"/>
      <c r="B331" s="36" t="s">
        <v>1210</v>
      </c>
      <c r="C331" s="41" t="s">
        <v>1211</v>
      </c>
      <c r="D331" s="37"/>
    </row>
    <row r="332" spans="1:4" ht="14.25" customHeight="1" x14ac:dyDescent="0.3">
      <c r="A332" s="37"/>
      <c r="B332" s="36" t="s">
        <v>1212</v>
      </c>
      <c r="C332" s="41" t="s">
        <v>1213</v>
      </c>
      <c r="D332" s="37"/>
    </row>
    <row r="333" spans="1:4" ht="14.25" customHeight="1" x14ac:dyDescent="0.3">
      <c r="A333" s="37"/>
      <c r="B333" s="36" t="s">
        <v>1214</v>
      </c>
      <c r="C333" s="41" t="s">
        <v>1215</v>
      </c>
      <c r="D333" s="37"/>
    </row>
    <row r="334" spans="1:4" ht="14.25" customHeight="1" x14ac:dyDescent="0.3">
      <c r="A334" s="37"/>
      <c r="B334" s="36" t="s">
        <v>1216</v>
      </c>
      <c r="C334" s="41" t="s">
        <v>1217</v>
      </c>
      <c r="D334" s="37"/>
    </row>
    <row r="335" spans="1:4" ht="14.25" customHeight="1" x14ac:dyDescent="0.3">
      <c r="A335" s="37"/>
      <c r="B335" s="36" t="s">
        <v>1218</v>
      </c>
      <c r="C335" s="41" t="s">
        <v>1219</v>
      </c>
      <c r="D335" s="37"/>
    </row>
    <row r="336" spans="1:4" ht="14.25" customHeight="1" x14ac:dyDescent="0.3">
      <c r="A336" s="37"/>
      <c r="B336" s="36" t="s">
        <v>1220</v>
      </c>
      <c r="C336" s="41" t="s">
        <v>1221</v>
      </c>
      <c r="D336" s="37"/>
    </row>
    <row r="337" spans="1:4" ht="14.25" customHeight="1" x14ac:dyDescent="0.3">
      <c r="A337" s="37"/>
      <c r="B337" s="36" t="s">
        <v>1222</v>
      </c>
      <c r="C337" s="41" t="s">
        <v>1223</v>
      </c>
      <c r="D337" s="37"/>
    </row>
    <row r="338" spans="1:4" ht="14.25" customHeight="1" x14ac:dyDescent="0.3">
      <c r="A338" s="37"/>
      <c r="B338" s="36" t="s">
        <v>1224</v>
      </c>
      <c r="C338" s="41" t="s">
        <v>1225</v>
      </c>
      <c r="D338" s="37"/>
    </row>
    <row r="339" spans="1:4" ht="14.25" customHeight="1" x14ac:dyDescent="0.3">
      <c r="A339" s="37"/>
      <c r="B339" s="36" t="s">
        <v>1226</v>
      </c>
      <c r="C339" s="41" t="s">
        <v>1227</v>
      </c>
      <c r="D339" s="37"/>
    </row>
    <row r="340" spans="1:4" ht="14.25" customHeight="1" x14ac:dyDescent="0.3">
      <c r="A340" s="37"/>
      <c r="B340" s="36" t="s">
        <v>1228</v>
      </c>
      <c r="C340" s="41" t="s">
        <v>1229</v>
      </c>
      <c r="D340" s="37"/>
    </row>
    <row r="341" spans="1:4" ht="14.25" customHeight="1" x14ac:dyDescent="0.3">
      <c r="A341" s="37"/>
      <c r="B341" s="36" t="s">
        <v>1230</v>
      </c>
      <c r="C341" s="41" t="s">
        <v>1231</v>
      </c>
      <c r="D341" s="37"/>
    </row>
    <row r="342" spans="1:4" ht="14.25" customHeight="1" x14ac:dyDescent="0.3">
      <c r="A342" s="37"/>
      <c r="B342" s="36" t="s">
        <v>1232</v>
      </c>
      <c r="C342" s="41" t="s">
        <v>1233</v>
      </c>
      <c r="D342" s="37"/>
    </row>
    <row r="343" spans="1:4" ht="14.25" customHeight="1" x14ac:dyDescent="0.3">
      <c r="A343" s="37"/>
      <c r="B343" s="36" t="s">
        <v>1234</v>
      </c>
      <c r="C343" s="41" t="s">
        <v>1235</v>
      </c>
      <c r="D343" s="37"/>
    </row>
    <row r="344" spans="1:4" ht="14.25" customHeight="1" x14ac:dyDescent="0.3">
      <c r="A344" s="37"/>
      <c r="B344" s="36" t="s">
        <v>1236</v>
      </c>
      <c r="C344" s="41" t="s">
        <v>1237</v>
      </c>
      <c r="D344" s="37"/>
    </row>
    <row r="345" spans="1:4" ht="14.25" customHeight="1" x14ac:dyDescent="0.3">
      <c r="A345" s="37"/>
      <c r="B345" s="36" t="s">
        <v>1238</v>
      </c>
      <c r="C345" s="41" t="s">
        <v>1239</v>
      </c>
      <c r="D345" s="37"/>
    </row>
    <row r="346" spans="1:4" ht="14.25" customHeight="1" x14ac:dyDescent="0.3">
      <c r="A346" s="37"/>
      <c r="B346" s="36" t="s">
        <v>1240</v>
      </c>
      <c r="C346" s="41" t="s">
        <v>1241</v>
      </c>
      <c r="D346" s="37"/>
    </row>
    <row r="347" spans="1:4" ht="14.25" customHeight="1" x14ac:dyDescent="0.3">
      <c r="A347" s="37"/>
      <c r="B347" s="36" t="s">
        <v>1242</v>
      </c>
      <c r="C347" s="41" t="s">
        <v>1243</v>
      </c>
      <c r="D347" s="37"/>
    </row>
    <row r="348" spans="1:4" ht="14.25" customHeight="1" x14ac:dyDescent="0.3">
      <c r="A348" s="37"/>
      <c r="B348" s="36" t="s">
        <v>1244</v>
      </c>
      <c r="C348" s="41" t="s">
        <v>1245</v>
      </c>
      <c r="D348" s="37"/>
    </row>
    <row r="349" spans="1:4" ht="14.25" customHeight="1" x14ac:dyDescent="0.3">
      <c r="A349" s="37"/>
      <c r="B349" s="36" t="s">
        <v>1246</v>
      </c>
      <c r="C349" s="41" t="s">
        <v>1247</v>
      </c>
      <c r="D349" s="37"/>
    </row>
    <row r="350" spans="1:4" ht="14.25" customHeight="1" x14ac:dyDescent="0.3">
      <c r="A350" s="37"/>
      <c r="B350" s="36" t="s">
        <v>1248</v>
      </c>
      <c r="C350" s="41" t="s">
        <v>1249</v>
      </c>
      <c r="D350" s="37"/>
    </row>
    <row r="351" spans="1:4" ht="14.25" customHeight="1" x14ac:dyDescent="0.3">
      <c r="A351" s="37"/>
      <c r="B351" s="36" t="s">
        <v>1250</v>
      </c>
      <c r="C351" s="41" t="s">
        <v>1251</v>
      </c>
      <c r="D351" s="37"/>
    </row>
    <row r="352" spans="1:4" ht="14.25" customHeight="1" x14ac:dyDescent="0.3">
      <c r="A352" s="37"/>
      <c r="B352" s="36" t="s">
        <v>1252</v>
      </c>
      <c r="C352" s="41" t="s">
        <v>1253</v>
      </c>
      <c r="D352" s="37"/>
    </row>
    <row r="353" spans="1:4" ht="14.25" customHeight="1" x14ac:dyDescent="0.3">
      <c r="A353" s="37"/>
      <c r="B353" s="36" t="s">
        <v>1254</v>
      </c>
      <c r="C353" s="41" t="s">
        <v>1255</v>
      </c>
      <c r="D353" s="37"/>
    </row>
    <row r="354" spans="1:4" ht="14.25" customHeight="1" x14ac:dyDescent="0.3">
      <c r="A354" s="37"/>
      <c r="B354" s="36" t="s">
        <v>1256</v>
      </c>
      <c r="C354" s="41" t="s">
        <v>1257</v>
      </c>
      <c r="D354" s="37"/>
    </row>
    <row r="355" spans="1:4" ht="14.25" customHeight="1" x14ac:dyDescent="0.3">
      <c r="A355" s="37"/>
      <c r="B355" s="36" t="s">
        <v>1258</v>
      </c>
      <c r="C355" s="41" t="s">
        <v>1259</v>
      </c>
      <c r="D355" s="37"/>
    </row>
    <row r="356" spans="1:4" ht="14.25" customHeight="1" x14ac:dyDescent="0.3">
      <c r="A356" s="37"/>
      <c r="B356" s="36" t="s">
        <v>1260</v>
      </c>
      <c r="C356" s="41" t="s">
        <v>1261</v>
      </c>
      <c r="D356" s="37"/>
    </row>
    <row r="357" spans="1:4" ht="14.25" customHeight="1" x14ac:dyDescent="0.3">
      <c r="A357" s="37"/>
      <c r="B357" s="36" t="s">
        <v>1262</v>
      </c>
      <c r="C357" s="41" t="s">
        <v>1263</v>
      </c>
      <c r="D357" s="37"/>
    </row>
    <row r="358" spans="1:4" ht="14.25" customHeight="1" x14ac:dyDescent="0.3">
      <c r="A358" s="37"/>
      <c r="B358" s="36" t="s">
        <v>1264</v>
      </c>
      <c r="C358" s="41" t="s">
        <v>1265</v>
      </c>
      <c r="D358" s="37"/>
    </row>
    <row r="359" spans="1:4" ht="14.25" customHeight="1" x14ac:dyDescent="0.3">
      <c r="A359" s="37"/>
      <c r="B359" s="36" t="s">
        <v>1266</v>
      </c>
      <c r="C359" s="41" t="s">
        <v>1267</v>
      </c>
      <c r="D359" s="37"/>
    </row>
    <row r="360" spans="1:4" ht="14.25" customHeight="1" x14ac:dyDescent="0.3">
      <c r="A360" s="37"/>
      <c r="B360" s="36" t="s">
        <v>1268</v>
      </c>
      <c r="C360" s="41" t="s">
        <v>1269</v>
      </c>
      <c r="D360" s="37"/>
    </row>
    <row r="361" spans="1:4" ht="14.25" customHeight="1" x14ac:dyDescent="0.3">
      <c r="A361" s="37"/>
      <c r="B361" s="36" t="s">
        <v>1270</v>
      </c>
      <c r="C361" s="41" t="s">
        <v>1271</v>
      </c>
      <c r="D361" s="37"/>
    </row>
    <row r="362" spans="1:4" ht="14.25" customHeight="1" x14ac:dyDescent="0.3">
      <c r="A362" s="37"/>
      <c r="B362" s="36" t="s">
        <v>1272</v>
      </c>
      <c r="C362" s="41" t="s">
        <v>1273</v>
      </c>
      <c r="D362" s="37"/>
    </row>
    <row r="363" spans="1:4" ht="14.25" customHeight="1" x14ac:dyDescent="0.3">
      <c r="A363" s="37"/>
      <c r="B363" s="36" t="s">
        <v>1274</v>
      </c>
      <c r="C363" s="41" t="s">
        <v>1275</v>
      </c>
      <c r="D363" s="37"/>
    </row>
    <row r="364" spans="1:4" ht="14.25" customHeight="1" x14ac:dyDescent="0.3">
      <c r="A364" s="37"/>
      <c r="B364" s="36" t="s">
        <v>1276</v>
      </c>
      <c r="C364" s="41" t="s">
        <v>1277</v>
      </c>
      <c r="D364" s="37"/>
    </row>
    <row r="365" spans="1:4" ht="14.25" customHeight="1" x14ac:dyDescent="0.3">
      <c r="A365" s="37"/>
      <c r="B365" s="36" t="s">
        <v>1278</v>
      </c>
      <c r="C365" s="41" t="s">
        <v>1279</v>
      </c>
      <c r="D365" s="37"/>
    </row>
    <row r="366" spans="1:4" ht="14.25" customHeight="1" x14ac:dyDescent="0.3">
      <c r="A366" s="37"/>
      <c r="B366" s="36" t="s">
        <v>1280</v>
      </c>
      <c r="C366" s="41" t="s">
        <v>1281</v>
      </c>
      <c r="D366" s="37"/>
    </row>
    <row r="367" spans="1:4" ht="14.25" customHeight="1" x14ac:dyDescent="0.3">
      <c r="A367" s="37"/>
      <c r="B367" s="36" t="s">
        <v>1282</v>
      </c>
      <c r="C367" s="41" t="s">
        <v>1283</v>
      </c>
      <c r="D367" s="37"/>
    </row>
    <row r="368" spans="1:4" ht="14.25" customHeight="1" x14ac:dyDescent="0.3">
      <c r="A368" s="37"/>
      <c r="B368" s="36" t="s">
        <v>1284</v>
      </c>
      <c r="C368" s="41" t="s">
        <v>1285</v>
      </c>
      <c r="D368" s="37"/>
    </row>
    <row r="369" spans="1:4" ht="14.25" customHeight="1" x14ac:dyDescent="0.3">
      <c r="A369" s="37"/>
      <c r="B369" s="36" t="s">
        <v>1286</v>
      </c>
      <c r="C369" s="41" t="s">
        <v>1287</v>
      </c>
      <c r="D369" s="37"/>
    </row>
    <row r="370" spans="1:4" ht="14.25" customHeight="1" x14ac:dyDescent="0.3">
      <c r="A370" s="37"/>
      <c r="B370" s="36" t="s">
        <v>1288</v>
      </c>
      <c r="C370" s="41" t="s">
        <v>1289</v>
      </c>
      <c r="D370" s="37"/>
    </row>
    <row r="371" spans="1:4" ht="14.25" customHeight="1" x14ac:dyDescent="0.3">
      <c r="A371" s="37"/>
      <c r="B371" s="36" t="s">
        <v>1290</v>
      </c>
      <c r="C371" s="41" t="s">
        <v>1291</v>
      </c>
      <c r="D371" s="37"/>
    </row>
    <row r="372" spans="1:4" ht="14.25" customHeight="1" x14ac:dyDescent="0.3">
      <c r="A372" s="37"/>
      <c r="B372" s="36" t="s">
        <v>1292</v>
      </c>
      <c r="C372" s="41" t="s">
        <v>1293</v>
      </c>
      <c r="D372" s="37"/>
    </row>
    <row r="373" spans="1:4" ht="14.25" customHeight="1" x14ac:dyDescent="0.3">
      <c r="A373" s="37"/>
      <c r="B373" s="36" t="s">
        <v>1294</v>
      </c>
      <c r="C373" s="41" t="s">
        <v>1295</v>
      </c>
      <c r="D373" s="37"/>
    </row>
    <row r="374" spans="1:4" ht="14.25" customHeight="1" x14ac:dyDescent="0.3">
      <c r="A374" s="37"/>
      <c r="B374" s="36" t="s">
        <v>1296</v>
      </c>
      <c r="C374" s="41" t="s">
        <v>1297</v>
      </c>
      <c r="D374" s="37"/>
    </row>
    <row r="375" spans="1:4" ht="14.25" customHeight="1" x14ac:dyDescent="0.3">
      <c r="A375" s="37"/>
      <c r="B375" s="36" t="s">
        <v>1298</v>
      </c>
      <c r="C375" s="41" t="s">
        <v>1299</v>
      </c>
      <c r="D375" s="37"/>
    </row>
    <row r="376" spans="1:4" ht="14.25" customHeight="1" x14ac:dyDescent="0.3">
      <c r="A376" s="37"/>
      <c r="B376" s="36" t="s">
        <v>1300</v>
      </c>
      <c r="C376" s="41" t="s">
        <v>1301</v>
      </c>
      <c r="D376" s="37"/>
    </row>
    <row r="377" spans="1:4" ht="14.25" customHeight="1" x14ac:dyDescent="0.3">
      <c r="A377" s="37"/>
      <c r="B377" s="36" t="s">
        <v>1302</v>
      </c>
      <c r="C377" s="41" t="s">
        <v>1303</v>
      </c>
      <c r="D377" s="37"/>
    </row>
    <row r="378" spans="1:4" ht="14.25" customHeight="1" x14ac:dyDescent="0.3">
      <c r="A378" s="37"/>
      <c r="B378" s="36" t="s">
        <v>1304</v>
      </c>
      <c r="C378" s="41" t="s">
        <v>1305</v>
      </c>
      <c r="D378" s="37"/>
    </row>
    <row r="379" spans="1:4" ht="14.25" customHeight="1" x14ac:dyDescent="0.3">
      <c r="A379" s="37"/>
      <c r="B379" s="36" t="s">
        <v>1306</v>
      </c>
      <c r="C379" s="41" t="s">
        <v>1307</v>
      </c>
      <c r="D379" s="37"/>
    </row>
    <row r="380" spans="1:4" ht="14.25" customHeight="1" x14ac:dyDescent="0.3">
      <c r="A380" s="37"/>
      <c r="B380" s="36" t="s">
        <v>725</v>
      </c>
      <c r="C380" s="41" t="s">
        <v>1308</v>
      </c>
      <c r="D380" s="37"/>
    </row>
    <row r="381" spans="1:4" ht="14.25" customHeight="1" x14ac:dyDescent="0.3">
      <c r="A381" s="37"/>
      <c r="B381" s="36" t="s">
        <v>113</v>
      </c>
      <c r="C381" s="41" t="s">
        <v>114</v>
      </c>
      <c r="D381" s="37"/>
    </row>
    <row r="382" spans="1:4" ht="14.25" customHeight="1" x14ac:dyDescent="0.3">
      <c r="A382" s="37"/>
      <c r="B382" s="36" t="s">
        <v>1309</v>
      </c>
      <c r="C382" s="41" t="s">
        <v>1310</v>
      </c>
      <c r="D382" s="37"/>
    </row>
    <row r="383" spans="1:4" ht="14.25" customHeight="1" x14ac:dyDescent="0.3">
      <c r="A383" s="37"/>
      <c r="B383" s="36" t="s">
        <v>1311</v>
      </c>
      <c r="C383" s="41" t="s">
        <v>1312</v>
      </c>
      <c r="D383" s="37"/>
    </row>
    <row r="384" spans="1:4" ht="14.25" customHeight="1" x14ac:dyDescent="0.3">
      <c r="A384" s="37"/>
      <c r="B384" s="36" t="s">
        <v>1313</v>
      </c>
      <c r="C384" s="41" t="s">
        <v>1314</v>
      </c>
      <c r="D384" s="37"/>
    </row>
    <row r="385" spans="1:4" ht="14.25" customHeight="1" x14ac:dyDescent="0.3">
      <c r="A385" s="37"/>
      <c r="B385" s="36" t="s">
        <v>1315</v>
      </c>
      <c r="C385" s="41" t="s">
        <v>1316</v>
      </c>
      <c r="D385" s="37"/>
    </row>
    <row r="386" spans="1:4" ht="14.25" customHeight="1" x14ac:dyDescent="0.3">
      <c r="A386" s="37"/>
      <c r="B386" s="36" t="s">
        <v>1317</v>
      </c>
      <c r="C386" s="41" t="s">
        <v>1318</v>
      </c>
      <c r="D386" s="37"/>
    </row>
    <row r="387" spans="1:4" ht="14.25" customHeight="1" x14ac:dyDescent="0.3">
      <c r="A387" s="37"/>
      <c r="B387" s="36" t="s">
        <v>1319</v>
      </c>
      <c r="C387" s="41" t="s">
        <v>1320</v>
      </c>
      <c r="D387" s="37"/>
    </row>
    <row r="388" spans="1:4" ht="14.25" customHeight="1" x14ac:dyDescent="0.3">
      <c r="A388" s="37"/>
      <c r="B388" s="36" t="s">
        <v>1321</v>
      </c>
      <c r="C388" s="41" t="s">
        <v>1322</v>
      </c>
      <c r="D388" s="37"/>
    </row>
    <row r="389" spans="1:4" ht="14.25" customHeight="1" x14ac:dyDescent="0.3">
      <c r="A389" s="37"/>
      <c r="B389" s="36" t="s">
        <v>1323</v>
      </c>
      <c r="C389" s="41" t="s">
        <v>1324</v>
      </c>
      <c r="D389" s="37"/>
    </row>
    <row r="390" spans="1:4" ht="14.25" customHeight="1" x14ac:dyDescent="0.3">
      <c r="A390" s="37"/>
      <c r="B390" s="36" t="s">
        <v>1325</v>
      </c>
      <c r="C390" s="41" t="s">
        <v>1326</v>
      </c>
      <c r="D390" s="37"/>
    </row>
    <row r="391" spans="1:4" ht="14.25" customHeight="1" x14ac:dyDescent="0.3">
      <c r="A391" s="37"/>
      <c r="B391" s="36" t="s">
        <v>1327</v>
      </c>
      <c r="C391" s="41" t="s">
        <v>1328</v>
      </c>
      <c r="D391" s="37"/>
    </row>
    <row r="392" spans="1:4" ht="14.25" customHeight="1" x14ac:dyDescent="0.3">
      <c r="A392" s="37"/>
      <c r="B392" s="42" t="s">
        <v>604</v>
      </c>
      <c r="C392" s="43" t="s">
        <v>605</v>
      </c>
      <c r="D392" s="37"/>
    </row>
    <row r="393" spans="1:4" ht="14.25" customHeight="1" x14ac:dyDescent="0.3">
      <c r="A393" s="37"/>
      <c r="B393" s="36" t="s">
        <v>1329</v>
      </c>
      <c r="C393" s="41" t="s">
        <v>1330</v>
      </c>
      <c r="D393" s="37"/>
    </row>
    <row r="394" spans="1:4" ht="14.25" customHeight="1" x14ac:dyDescent="0.3">
      <c r="A394" s="37"/>
      <c r="B394" s="36" t="s">
        <v>1331</v>
      </c>
      <c r="C394" s="41" t="s">
        <v>1332</v>
      </c>
      <c r="D394" s="37"/>
    </row>
    <row r="395" spans="1:4" ht="14.25" customHeight="1" x14ac:dyDescent="0.3">
      <c r="A395" s="37"/>
      <c r="B395" s="36" t="s">
        <v>1333</v>
      </c>
      <c r="C395" s="41" t="s">
        <v>1334</v>
      </c>
      <c r="D395" s="37"/>
    </row>
    <row r="396" spans="1:4" ht="14.25" customHeight="1" x14ac:dyDescent="0.3">
      <c r="A396" s="37"/>
      <c r="B396" s="36" t="s">
        <v>1335</v>
      </c>
      <c r="C396" s="41" t="s">
        <v>1336</v>
      </c>
      <c r="D396" s="37"/>
    </row>
    <row r="397" spans="1:4" ht="14.25" customHeight="1" x14ac:dyDescent="0.3">
      <c r="A397" s="37"/>
      <c r="B397" s="36" t="s">
        <v>1337</v>
      </c>
      <c r="C397" s="41" t="s">
        <v>1338</v>
      </c>
      <c r="D397" s="37"/>
    </row>
    <row r="398" spans="1:4" ht="14.25" customHeight="1" x14ac:dyDescent="0.3">
      <c r="A398" s="37"/>
      <c r="B398" s="36" t="s">
        <v>1339</v>
      </c>
      <c r="C398" s="41" t="s">
        <v>1340</v>
      </c>
      <c r="D398" s="37"/>
    </row>
    <row r="399" spans="1:4" ht="14.25" customHeight="1" x14ac:dyDescent="0.3">
      <c r="A399" s="37"/>
      <c r="B399" s="36" t="s">
        <v>1341</v>
      </c>
      <c r="C399" s="41" t="s">
        <v>1342</v>
      </c>
      <c r="D399" s="37"/>
    </row>
    <row r="400" spans="1:4" ht="14.25" customHeight="1" x14ac:dyDescent="0.3">
      <c r="A400" s="37"/>
      <c r="B400" s="36" t="s">
        <v>1343</v>
      </c>
      <c r="C400" s="41" t="s">
        <v>1344</v>
      </c>
      <c r="D400" s="37"/>
    </row>
    <row r="401" spans="1:4" ht="14.25" customHeight="1" x14ac:dyDescent="0.3">
      <c r="A401" s="37"/>
      <c r="B401" s="36" t="s">
        <v>1345</v>
      </c>
      <c r="C401" s="41" t="s">
        <v>1346</v>
      </c>
      <c r="D401" s="37"/>
    </row>
    <row r="402" spans="1:4" ht="14.25" customHeight="1" x14ac:dyDescent="0.3">
      <c r="A402" s="37"/>
      <c r="B402" s="36" t="s">
        <v>1347</v>
      </c>
      <c r="C402" s="41" t="s">
        <v>1348</v>
      </c>
      <c r="D402" s="37"/>
    </row>
    <row r="403" spans="1:4" ht="14.25" customHeight="1" x14ac:dyDescent="0.3">
      <c r="A403" s="37"/>
      <c r="B403" s="36" t="s">
        <v>1349</v>
      </c>
      <c r="C403" s="41" t="s">
        <v>1350</v>
      </c>
      <c r="D403" s="37"/>
    </row>
    <row r="404" spans="1:4" ht="14.25" customHeight="1" x14ac:dyDescent="0.3">
      <c r="A404" s="37"/>
      <c r="B404" s="36" t="s">
        <v>1351</v>
      </c>
      <c r="C404" s="41" t="s">
        <v>1352</v>
      </c>
      <c r="D404" s="37"/>
    </row>
    <row r="405" spans="1:4" ht="14.25" customHeight="1" x14ac:dyDescent="0.3">
      <c r="A405" s="37"/>
      <c r="B405" s="36" t="s">
        <v>1353</v>
      </c>
      <c r="C405" s="41" t="s">
        <v>1354</v>
      </c>
      <c r="D405" s="37"/>
    </row>
    <row r="406" spans="1:4" ht="14.25" customHeight="1" x14ac:dyDescent="0.3">
      <c r="A406" s="37"/>
      <c r="B406" s="36" t="s">
        <v>1355</v>
      </c>
      <c r="C406" s="41" t="s">
        <v>1356</v>
      </c>
      <c r="D406" s="37"/>
    </row>
    <row r="407" spans="1:4" ht="14.25" customHeight="1" x14ac:dyDescent="0.3">
      <c r="A407" s="37"/>
      <c r="B407" s="36" t="s">
        <v>1357</v>
      </c>
      <c r="C407" s="41" t="s">
        <v>1358</v>
      </c>
      <c r="D407" s="37"/>
    </row>
    <row r="408" spans="1:4" ht="14.25" customHeight="1" x14ac:dyDescent="0.3">
      <c r="A408" s="37"/>
      <c r="B408" s="36" t="s">
        <v>1359</v>
      </c>
      <c r="C408" s="41" t="s">
        <v>1360</v>
      </c>
      <c r="D408" s="37"/>
    </row>
    <row r="409" spans="1:4" ht="14.25" customHeight="1" x14ac:dyDescent="0.3">
      <c r="A409" s="37"/>
      <c r="B409" s="36" t="s">
        <v>1361</v>
      </c>
      <c r="C409" s="41" t="s">
        <v>1362</v>
      </c>
      <c r="D409" s="37"/>
    </row>
    <row r="410" spans="1:4" ht="14.25" customHeight="1" x14ac:dyDescent="0.3">
      <c r="A410" s="37"/>
      <c r="B410" s="36" t="s">
        <v>1363</v>
      </c>
      <c r="C410" s="41" t="s">
        <v>1364</v>
      </c>
      <c r="D410" s="37"/>
    </row>
    <row r="411" spans="1:4" ht="14.25" customHeight="1" x14ac:dyDescent="0.3">
      <c r="A411" s="37"/>
      <c r="B411" s="36" t="s">
        <v>1365</v>
      </c>
      <c r="C411" s="41" t="s">
        <v>1366</v>
      </c>
      <c r="D411" s="37"/>
    </row>
    <row r="412" spans="1:4" ht="14.25" customHeight="1" x14ac:dyDescent="0.3">
      <c r="A412" s="37"/>
      <c r="B412" s="36" t="s">
        <v>1367</v>
      </c>
      <c r="C412" s="41" t="s">
        <v>1368</v>
      </c>
      <c r="D412" s="37"/>
    </row>
    <row r="413" spans="1:4" ht="14.25" customHeight="1" x14ac:dyDescent="0.3">
      <c r="A413" s="37"/>
      <c r="B413" s="36" t="s">
        <v>1369</v>
      </c>
      <c r="C413" s="41" t="s">
        <v>1370</v>
      </c>
      <c r="D413" s="37"/>
    </row>
    <row r="414" spans="1:4" ht="14.25" customHeight="1" x14ac:dyDescent="0.3">
      <c r="A414" s="37"/>
      <c r="B414" s="36" t="s">
        <v>1371</v>
      </c>
      <c r="C414" s="41" t="s">
        <v>1372</v>
      </c>
      <c r="D414" s="37"/>
    </row>
    <row r="415" spans="1:4" ht="14.25" customHeight="1" x14ac:dyDescent="0.3">
      <c r="A415" s="37"/>
      <c r="B415" s="36" t="s">
        <v>1373</v>
      </c>
      <c r="C415" s="41" t="s">
        <v>1374</v>
      </c>
      <c r="D415" s="37"/>
    </row>
    <row r="416" spans="1:4" ht="14.25" customHeight="1" x14ac:dyDescent="0.3">
      <c r="A416" s="37"/>
      <c r="B416" s="36" t="s">
        <v>1375</v>
      </c>
      <c r="C416" s="41" t="s">
        <v>1376</v>
      </c>
      <c r="D416" s="37"/>
    </row>
    <row r="417" spans="1:4" ht="14.25" customHeight="1" x14ac:dyDescent="0.3">
      <c r="A417" s="37"/>
      <c r="B417" s="36" t="s">
        <v>1377</v>
      </c>
      <c r="C417" s="41" t="s">
        <v>1378</v>
      </c>
      <c r="D417" s="37"/>
    </row>
    <row r="418" spans="1:4" ht="14.25" customHeight="1" x14ac:dyDescent="0.3">
      <c r="A418" s="37"/>
      <c r="B418" s="36" t="s">
        <v>1379</v>
      </c>
      <c r="C418" s="41" t="s">
        <v>1380</v>
      </c>
      <c r="D418" s="37"/>
    </row>
    <row r="419" spans="1:4" ht="14.25" customHeight="1" x14ac:dyDescent="0.3">
      <c r="A419" s="37"/>
      <c r="B419" s="36" t="s">
        <v>1381</v>
      </c>
      <c r="C419" s="41" t="s">
        <v>1382</v>
      </c>
      <c r="D419" s="37"/>
    </row>
    <row r="420" spans="1:4" ht="14.25" customHeight="1" x14ac:dyDescent="0.3">
      <c r="A420" s="37"/>
      <c r="B420" s="36" t="s">
        <v>1383</v>
      </c>
      <c r="C420" s="41" t="s">
        <v>1384</v>
      </c>
      <c r="D420" s="37"/>
    </row>
    <row r="421" spans="1:4" ht="14.25" customHeight="1" x14ac:dyDescent="0.3">
      <c r="A421" s="37"/>
      <c r="B421" s="36" t="s">
        <v>1385</v>
      </c>
      <c r="C421" s="41" t="s">
        <v>1386</v>
      </c>
      <c r="D421" s="37"/>
    </row>
    <row r="422" spans="1:4" ht="14.25" customHeight="1" x14ac:dyDescent="0.3">
      <c r="A422" s="37"/>
      <c r="B422" s="36" t="s">
        <v>1387</v>
      </c>
      <c r="C422" s="41" t="s">
        <v>1388</v>
      </c>
      <c r="D422" s="37"/>
    </row>
    <row r="423" spans="1:4" ht="14.25" customHeight="1" x14ac:dyDescent="0.3">
      <c r="A423" s="37"/>
      <c r="B423" s="36" t="s">
        <v>1389</v>
      </c>
      <c r="C423" s="41" t="s">
        <v>1390</v>
      </c>
      <c r="D423" s="37"/>
    </row>
    <row r="424" spans="1:4" ht="14.25" customHeight="1" x14ac:dyDescent="0.3">
      <c r="A424" s="37"/>
      <c r="B424" s="36" t="s">
        <v>1391</v>
      </c>
      <c r="C424" s="41" t="s">
        <v>1392</v>
      </c>
      <c r="D424" s="37"/>
    </row>
    <row r="425" spans="1:4" ht="14.25" customHeight="1" x14ac:dyDescent="0.3">
      <c r="A425" s="37"/>
      <c r="B425" s="36" t="s">
        <v>1393</v>
      </c>
      <c r="C425" s="41" t="s">
        <v>1394</v>
      </c>
      <c r="D425" s="37"/>
    </row>
    <row r="426" spans="1:4" ht="14.25" customHeight="1" x14ac:dyDescent="0.3">
      <c r="A426" s="37"/>
      <c r="B426" s="36" t="s">
        <v>1395</v>
      </c>
      <c r="C426" s="41" t="s">
        <v>1396</v>
      </c>
      <c r="D426" s="37"/>
    </row>
    <row r="427" spans="1:4" ht="14.25" customHeight="1" x14ac:dyDescent="0.3">
      <c r="A427" s="37"/>
      <c r="B427" s="36" t="s">
        <v>1397</v>
      </c>
      <c r="C427" s="41" t="s">
        <v>1398</v>
      </c>
      <c r="D427" s="37"/>
    </row>
    <row r="428" spans="1:4" ht="14.25" customHeight="1" x14ac:dyDescent="0.3">
      <c r="A428" s="37"/>
      <c r="B428" s="36" t="s">
        <v>1399</v>
      </c>
      <c r="C428" s="41" t="s">
        <v>1400</v>
      </c>
      <c r="D428" s="37"/>
    </row>
    <row r="429" spans="1:4" ht="14.25" customHeight="1" x14ac:dyDescent="0.3">
      <c r="A429" s="37"/>
      <c r="B429" s="36" t="s">
        <v>1401</v>
      </c>
      <c r="C429" s="41" t="s">
        <v>1402</v>
      </c>
      <c r="D429" s="37"/>
    </row>
    <row r="430" spans="1:4" ht="14.25" customHeight="1" x14ac:dyDescent="0.3">
      <c r="A430" s="37"/>
      <c r="B430" s="36" t="s">
        <v>1403</v>
      </c>
      <c r="C430" s="41" t="s">
        <v>1404</v>
      </c>
      <c r="D430" s="37"/>
    </row>
    <row r="431" spans="1:4" ht="14.25" customHeight="1" x14ac:dyDescent="0.3">
      <c r="A431" s="37"/>
      <c r="B431" s="36" t="s">
        <v>1405</v>
      </c>
      <c r="C431" s="41" t="s">
        <v>1406</v>
      </c>
      <c r="D431" s="37"/>
    </row>
    <row r="432" spans="1:4" ht="14.25" customHeight="1" x14ac:dyDescent="0.3">
      <c r="A432" s="37"/>
      <c r="B432" s="36" t="s">
        <v>1407</v>
      </c>
      <c r="C432" s="41" t="s">
        <v>1408</v>
      </c>
      <c r="D432" s="37"/>
    </row>
    <row r="433" spans="1:4" ht="14.25" customHeight="1" x14ac:dyDescent="0.3">
      <c r="A433" s="37"/>
      <c r="B433" s="36" t="s">
        <v>1409</v>
      </c>
      <c r="C433" s="41" t="s">
        <v>1410</v>
      </c>
      <c r="D433" s="37"/>
    </row>
    <row r="434" spans="1:4" ht="14.25" customHeight="1" x14ac:dyDescent="0.3">
      <c r="A434" s="37"/>
      <c r="B434" s="36" t="s">
        <v>1411</v>
      </c>
      <c r="C434" s="41" t="s">
        <v>1412</v>
      </c>
      <c r="D434" s="37"/>
    </row>
    <row r="435" spans="1:4" ht="14.25" customHeight="1" x14ac:dyDescent="0.3">
      <c r="A435" s="37"/>
      <c r="B435" s="36" t="s">
        <v>1413</v>
      </c>
      <c r="C435" s="41" t="s">
        <v>1414</v>
      </c>
      <c r="D435" s="37"/>
    </row>
    <row r="436" spans="1:4" ht="14.25" customHeight="1" x14ac:dyDescent="0.3">
      <c r="A436" s="37"/>
      <c r="B436" s="36" t="s">
        <v>1415</v>
      </c>
      <c r="C436" s="41" t="s">
        <v>1416</v>
      </c>
      <c r="D436" s="37"/>
    </row>
    <row r="437" spans="1:4" ht="14.25" customHeight="1" x14ac:dyDescent="0.3">
      <c r="A437" s="37"/>
      <c r="B437" s="36" t="s">
        <v>1417</v>
      </c>
      <c r="C437" s="41" t="s">
        <v>1418</v>
      </c>
      <c r="D437" s="37"/>
    </row>
    <row r="438" spans="1:4" ht="14.25" customHeight="1" x14ac:dyDescent="0.3">
      <c r="A438" s="37"/>
      <c r="B438" s="36" t="s">
        <v>1419</v>
      </c>
      <c r="C438" s="41" t="s">
        <v>1420</v>
      </c>
      <c r="D438" s="37"/>
    </row>
    <row r="439" spans="1:4" ht="14.25" customHeight="1" x14ac:dyDescent="0.3">
      <c r="A439" s="37"/>
      <c r="B439" s="36" t="s">
        <v>1421</v>
      </c>
      <c r="C439" s="41" t="s">
        <v>1422</v>
      </c>
      <c r="D439" s="37"/>
    </row>
    <row r="440" spans="1:4" ht="14.25" customHeight="1" x14ac:dyDescent="0.3">
      <c r="A440" s="37"/>
      <c r="B440" s="36" t="s">
        <v>1423</v>
      </c>
      <c r="C440" s="41" t="s">
        <v>1424</v>
      </c>
      <c r="D440" s="37"/>
    </row>
    <row r="441" spans="1:4" ht="14.25" customHeight="1" x14ac:dyDescent="0.3">
      <c r="A441" s="37"/>
      <c r="B441" s="36" t="s">
        <v>1425</v>
      </c>
      <c r="C441" s="41" t="s">
        <v>1426</v>
      </c>
      <c r="D441" s="37"/>
    </row>
    <row r="442" spans="1:4" ht="14.25" customHeight="1" x14ac:dyDescent="0.3">
      <c r="A442" s="37"/>
      <c r="B442" s="36" t="s">
        <v>1427</v>
      </c>
      <c r="C442" s="41" t="s">
        <v>1428</v>
      </c>
      <c r="D442" s="37"/>
    </row>
    <row r="443" spans="1:4" ht="14.25" customHeight="1" x14ac:dyDescent="0.3">
      <c r="A443" s="37"/>
      <c r="B443" s="36" t="s">
        <v>1429</v>
      </c>
      <c r="C443" s="41" t="s">
        <v>1430</v>
      </c>
      <c r="D443" s="37"/>
    </row>
    <row r="444" spans="1:4" ht="14.25" customHeight="1" x14ac:dyDescent="0.3">
      <c r="A444" s="37"/>
      <c r="B444" s="36" t="s">
        <v>1431</v>
      </c>
      <c r="C444" s="41" t="s">
        <v>1432</v>
      </c>
      <c r="D444" s="37"/>
    </row>
    <row r="445" spans="1:4" ht="14.25" customHeight="1" x14ac:dyDescent="0.3">
      <c r="A445" s="37"/>
      <c r="B445" s="36" t="s">
        <v>1433</v>
      </c>
      <c r="C445" s="41" t="s">
        <v>1434</v>
      </c>
      <c r="D445" s="37"/>
    </row>
    <row r="446" spans="1:4" ht="14.25" customHeight="1" x14ac:dyDescent="0.3">
      <c r="A446" s="37"/>
      <c r="B446" s="36" t="s">
        <v>1435</v>
      </c>
      <c r="C446" s="41" t="s">
        <v>1436</v>
      </c>
      <c r="D446" s="37"/>
    </row>
    <row r="447" spans="1:4" ht="14.25" customHeight="1" x14ac:dyDescent="0.3">
      <c r="A447" s="37"/>
      <c r="B447" s="36" t="s">
        <v>1437</v>
      </c>
      <c r="C447" s="41" t="s">
        <v>1438</v>
      </c>
      <c r="D447" s="37"/>
    </row>
    <row r="448" spans="1:4" ht="14.25" customHeight="1" x14ac:dyDescent="0.3">
      <c r="A448" s="37"/>
      <c r="B448" s="36" t="s">
        <v>1439</v>
      </c>
      <c r="C448" s="41" t="s">
        <v>1440</v>
      </c>
      <c r="D448" s="37"/>
    </row>
    <row r="449" spans="1:4" ht="14.25" customHeight="1" x14ac:dyDescent="0.3">
      <c r="A449" s="37"/>
      <c r="B449" s="36" t="s">
        <v>1441</v>
      </c>
      <c r="C449" s="41" t="s">
        <v>1442</v>
      </c>
      <c r="D449" s="37"/>
    </row>
    <row r="450" spans="1:4" ht="14.25" customHeight="1" x14ac:dyDescent="0.3">
      <c r="A450" s="37"/>
      <c r="B450" s="36" t="s">
        <v>1443</v>
      </c>
      <c r="C450" s="41" t="s">
        <v>1444</v>
      </c>
      <c r="D450" s="37"/>
    </row>
    <row r="451" spans="1:4" ht="14.25" customHeight="1" x14ac:dyDescent="0.3">
      <c r="A451" s="37"/>
      <c r="B451" s="36" t="s">
        <v>1445</v>
      </c>
      <c r="C451" s="41" t="s">
        <v>1446</v>
      </c>
      <c r="D451" s="37"/>
    </row>
    <row r="452" spans="1:4" ht="14.25" customHeight="1" x14ac:dyDescent="0.3">
      <c r="A452" s="37"/>
      <c r="B452" s="36" t="s">
        <v>1447</v>
      </c>
      <c r="C452" s="41" t="s">
        <v>1448</v>
      </c>
      <c r="D452" s="37"/>
    </row>
    <row r="453" spans="1:4" ht="14.25" customHeight="1" x14ac:dyDescent="0.3">
      <c r="A453" s="37"/>
      <c r="B453" s="36" t="s">
        <v>1449</v>
      </c>
      <c r="C453" s="41" t="s">
        <v>1450</v>
      </c>
      <c r="D453" s="37"/>
    </row>
    <row r="454" spans="1:4" ht="14.25" customHeight="1" x14ac:dyDescent="0.3">
      <c r="A454" s="37"/>
      <c r="B454" s="36" t="s">
        <v>1451</v>
      </c>
      <c r="C454" s="41" t="s">
        <v>1452</v>
      </c>
      <c r="D454" s="37"/>
    </row>
    <row r="455" spans="1:4" ht="14.25" customHeight="1" x14ac:dyDescent="0.3">
      <c r="A455" s="37"/>
      <c r="B455" s="36" t="s">
        <v>1453</v>
      </c>
      <c r="C455" s="41" t="s">
        <v>1454</v>
      </c>
      <c r="D455" s="37"/>
    </row>
    <row r="456" spans="1:4" ht="14.25" customHeight="1" x14ac:dyDescent="0.3">
      <c r="A456" s="37"/>
      <c r="B456" s="36" t="s">
        <v>1455</v>
      </c>
      <c r="C456" s="41" t="s">
        <v>1456</v>
      </c>
      <c r="D456" s="37"/>
    </row>
    <row r="457" spans="1:4" ht="14.25" customHeight="1" x14ac:dyDescent="0.3">
      <c r="A457" s="37"/>
      <c r="B457" s="36" t="s">
        <v>1457</v>
      </c>
      <c r="C457" s="41" t="s">
        <v>1458</v>
      </c>
      <c r="D457" s="37"/>
    </row>
    <row r="458" spans="1:4" ht="14.25" customHeight="1" x14ac:dyDescent="0.3">
      <c r="A458" s="37"/>
      <c r="B458" s="36" t="s">
        <v>1459</v>
      </c>
      <c r="C458" s="41" t="s">
        <v>1460</v>
      </c>
      <c r="D458" s="37"/>
    </row>
    <row r="459" spans="1:4" ht="14.25" customHeight="1" x14ac:dyDescent="0.3">
      <c r="A459" s="37"/>
      <c r="B459" s="36" t="s">
        <v>1461</v>
      </c>
      <c r="C459" s="41" t="s">
        <v>1462</v>
      </c>
      <c r="D459" s="37"/>
    </row>
    <row r="460" spans="1:4" ht="14.25" customHeight="1" x14ac:dyDescent="0.3">
      <c r="A460" s="37"/>
      <c r="B460" s="36" t="s">
        <v>1463</v>
      </c>
      <c r="C460" s="41" t="s">
        <v>1464</v>
      </c>
      <c r="D460" s="37"/>
    </row>
    <row r="461" spans="1:4" ht="14.25" customHeight="1" x14ac:dyDescent="0.3">
      <c r="A461" s="37"/>
      <c r="B461" s="36" t="s">
        <v>1465</v>
      </c>
      <c r="C461" s="41" t="s">
        <v>1466</v>
      </c>
      <c r="D461" s="37"/>
    </row>
    <row r="462" spans="1:4" ht="14.25" customHeight="1" x14ac:dyDescent="0.3">
      <c r="A462" s="37"/>
      <c r="B462" s="36" t="s">
        <v>1467</v>
      </c>
      <c r="C462" s="41" t="s">
        <v>1468</v>
      </c>
      <c r="D462" s="37"/>
    </row>
    <row r="463" spans="1:4" ht="14.25" customHeight="1" x14ac:dyDescent="0.3">
      <c r="A463" s="37"/>
      <c r="B463" s="36" t="s">
        <v>1469</v>
      </c>
      <c r="C463" s="41" t="s">
        <v>1470</v>
      </c>
      <c r="D463" s="37"/>
    </row>
    <row r="464" spans="1:4" ht="14.25" customHeight="1" x14ac:dyDescent="0.3">
      <c r="A464" s="37"/>
      <c r="B464" s="36" t="s">
        <v>1471</v>
      </c>
      <c r="C464" s="41" t="s">
        <v>1472</v>
      </c>
      <c r="D464" s="37"/>
    </row>
    <row r="465" spans="1:4" ht="14.25" customHeight="1" x14ac:dyDescent="0.3">
      <c r="A465" s="37"/>
      <c r="B465" s="36" t="s">
        <v>1473</v>
      </c>
      <c r="C465" s="41" t="s">
        <v>1474</v>
      </c>
      <c r="D465" s="37"/>
    </row>
    <row r="466" spans="1:4" ht="14.25" customHeight="1" x14ac:dyDescent="0.3">
      <c r="A466" s="37"/>
      <c r="B466" s="36" t="s">
        <v>1475</v>
      </c>
      <c r="C466" s="41" t="s">
        <v>1476</v>
      </c>
      <c r="D466" s="37"/>
    </row>
    <row r="467" spans="1:4" ht="14.25" customHeight="1" x14ac:dyDescent="0.3">
      <c r="A467" s="37"/>
      <c r="B467" s="36" t="s">
        <v>1477</v>
      </c>
      <c r="C467" s="41" t="s">
        <v>1478</v>
      </c>
      <c r="D467" s="37"/>
    </row>
    <row r="468" spans="1:4" ht="14.25" customHeight="1" x14ac:dyDescent="0.3">
      <c r="A468" s="37"/>
      <c r="B468" s="36" t="s">
        <v>1479</v>
      </c>
      <c r="C468" s="41" t="s">
        <v>1480</v>
      </c>
      <c r="D468" s="37"/>
    </row>
    <row r="469" spans="1:4" ht="14.25" customHeight="1" x14ac:dyDescent="0.3">
      <c r="A469" s="37"/>
      <c r="B469" s="36" t="s">
        <v>1481</v>
      </c>
      <c r="C469" s="41" t="s">
        <v>1482</v>
      </c>
      <c r="D469" s="37"/>
    </row>
    <row r="470" spans="1:4" ht="14.25" customHeight="1" x14ac:dyDescent="0.3">
      <c r="A470" s="37"/>
      <c r="B470" s="36" t="s">
        <v>1483</v>
      </c>
      <c r="C470" s="41" t="s">
        <v>1484</v>
      </c>
      <c r="D470" s="37"/>
    </row>
    <row r="471" spans="1:4" ht="14.25" customHeight="1" x14ac:dyDescent="0.3">
      <c r="A471" s="37"/>
      <c r="B471" s="36" t="s">
        <v>1485</v>
      </c>
      <c r="C471" s="41" t="s">
        <v>1486</v>
      </c>
      <c r="D471" s="37"/>
    </row>
    <row r="472" spans="1:4" ht="14.25" customHeight="1" x14ac:dyDescent="0.3">
      <c r="A472" s="37"/>
      <c r="B472" s="36" t="s">
        <v>1487</v>
      </c>
      <c r="C472" s="41" t="s">
        <v>1488</v>
      </c>
      <c r="D472" s="37"/>
    </row>
    <row r="473" spans="1:4" ht="14.25" customHeight="1" x14ac:dyDescent="0.3">
      <c r="A473" s="37"/>
      <c r="B473" s="36" t="s">
        <v>1489</v>
      </c>
      <c r="C473" s="41" t="s">
        <v>1490</v>
      </c>
      <c r="D473" s="37"/>
    </row>
    <row r="474" spans="1:4" ht="14.25" customHeight="1" x14ac:dyDescent="0.3">
      <c r="A474" s="37"/>
      <c r="B474" s="36" t="s">
        <v>1491</v>
      </c>
      <c r="C474" s="41" t="s">
        <v>1492</v>
      </c>
      <c r="D474" s="37"/>
    </row>
    <row r="475" spans="1:4" ht="14.25" customHeight="1" x14ac:dyDescent="0.3">
      <c r="A475" s="37"/>
      <c r="B475" s="36" t="s">
        <v>1493</v>
      </c>
      <c r="C475" s="41" t="s">
        <v>1494</v>
      </c>
      <c r="D475" s="37"/>
    </row>
    <row r="476" spans="1:4" ht="14.25" customHeight="1" x14ac:dyDescent="0.3">
      <c r="A476" s="37"/>
      <c r="B476" s="36" t="s">
        <v>1495</v>
      </c>
      <c r="C476" s="41" t="s">
        <v>1496</v>
      </c>
      <c r="D476" s="37"/>
    </row>
    <row r="477" spans="1:4" ht="14.25" customHeight="1" x14ac:dyDescent="0.3">
      <c r="A477" s="37"/>
      <c r="B477" s="36" t="s">
        <v>1497</v>
      </c>
      <c r="C477" s="41" t="s">
        <v>1498</v>
      </c>
      <c r="D477" s="37"/>
    </row>
    <row r="478" spans="1:4" ht="14.25" customHeight="1" x14ac:dyDescent="0.3">
      <c r="A478" s="37"/>
      <c r="B478" s="36" t="s">
        <v>1499</v>
      </c>
      <c r="C478" s="41" t="s">
        <v>1500</v>
      </c>
      <c r="D478" s="37"/>
    </row>
    <row r="479" spans="1:4" ht="14.25" customHeight="1" x14ac:dyDescent="0.3">
      <c r="A479" s="37"/>
      <c r="B479" s="36" t="s">
        <v>1501</v>
      </c>
      <c r="C479" s="41" t="s">
        <v>1502</v>
      </c>
      <c r="D479" s="37"/>
    </row>
    <row r="480" spans="1:4" ht="14.25" customHeight="1" x14ac:dyDescent="0.3">
      <c r="A480" s="37"/>
      <c r="B480" s="36" t="s">
        <v>1503</v>
      </c>
      <c r="C480" s="41" t="s">
        <v>1504</v>
      </c>
      <c r="D480" s="37"/>
    </row>
    <row r="481" spans="1:4" ht="14.25" customHeight="1" x14ac:dyDescent="0.3">
      <c r="A481" s="37"/>
      <c r="B481" s="36" t="s">
        <v>1505</v>
      </c>
      <c r="C481" s="41" t="s">
        <v>1506</v>
      </c>
      <c r="D481" s="37"/>
    </row>
    <row r="482" spans="1:4" ht="14.25" customHeight="1" x14ac:dyDescent="0.3">
      <c r="A482" s="37"/>
      <c r="B482" s="36" t="s">
        <v>1507</v>
      </c>
      <c r="C482" s="41" t="s">
        <v>1508</v>
      </c>
      <c r="D482" s="37"/>
    </row>
    <row r="483" spans="1:4" ht="14.25" customHeight="1" x14ac:dyDescent="0.3">
      <c r="A483" s="37"/>
      <c r="B483" s="36" t="s">
        <v>1509</v>
      </c>
      <c r="C483" s="41" t="s">
        <v>1510</v>
      </c>
      <c r="D483" s="37"/>
    </row>
    <row r="484" spans="1:4" ht="14.25" customHeight="1" x14ac:dyDescent="0.3">
      <c r="A484" s="37"/>
      <c r="B484" s="36" t="s">
        <v>1511</v>
      </c>
      <c r="C484" s="41" t="s">
        <v>1512</v>
      </c>
      <c r="D484" s="37"/>
    </row>
    <row r="485" spans="1:4" ht="14.25" customHeight="1" x14ac:dyDescent="0.3">
      <c r="A485" s="37"/>
      <c r="B485" s="36" t="s">
        <v>1513</v>
      </c>
      <c r="C485" s="41" t="s">
        <v>1514</v>
      </c>
      <c r="D485" s="37"/>
    </row>
    <row r="486" spans="1:4" ht="14.25" customHeight="1" x14ac:dyDescent="0.3">
      <c r="A486" s="37"/>
      <c r="B486" s="36" t="s">
        <v>1515</v>
      </c>
      <c r="C486" s="41" t="s">
        <v>1516</v>
      </c>
      <c r="D486" s="37"/>
    </row>
    <row r="487" spans="1:4" ht="14.25" customHeight="1" x14ac:dyDescent="0.3">
      <c r="A487" s="37"/>
      <c r="B487" s="36" t="s">
        <v>1517</v>
      </c>
      <c r="C487" s="41" t="s">
        <v>1518</v>
      </c>
      <c r="D487" s="37"/>
    </row>
    <row r="488" spans="1:4" ht="14.25" customHeight="1" x14ac:dyDescent="0.3">
      <c r="A488" s="37"/>
      <c r="B488" s="36" t="s">
        <v>1519</v>
      </c>
      <c r="C488" s="41" t="s">
        <v>1520</v>
      </c>
      <c r="D488" s="37"/>
    </row>
    <row r="489" spans="1:4" ht="14.25" customHeight="1" x14ac:dyDescent="0.3">
      <c r="A489" s="37"/>
      <c r="B489" s="36" t="s">
        <v>1521</v>
      </c>
      <c r="C489" s="41" t="s">
        <v>1522</v>
      </c>
      <c r="D489" s="37"/>
    </row>
    <row r="490" spans="1:4" ht="14.25" customHeight="1" x14ac:dyDescent="0.3">
      <c r="A490" s="37"/>
      <c r="B490" s="36" t="s">
        <v>1523</v>
      </c>
      <c r="C490" s="41" t="s">
        <v>1524</v>
      </c>
      <c r="D490" s="37"/>
    </row>
    <row r="491" spans="1:4" ht="14.25" customHeight="1" x14ac:dyDescent="0.3">
      <c r="A491" s="37"/>
      <c r="B491" s="36" t="s">
        <v>1525</v>
      </c>
      <c r="C491" s="41" t="s">
        <v>1526</v>
      </c>
      <c r="D491" s="37"/>
    </row>
    <row r="492" spans="1:4" ht="14.25" customHeight="1" x14ac:dyDescent="0.3">
      <c r="A492" s="37"/>
      <c r="B492" s="36" t="s">
        <v>1527</v>
      </c>
      <c r="C492" s="41" t="s">
        <v>1528</v>
      </c>
      <c r="D492" s="37"/>
    </row>
    <row r="493" spans="1:4" ht="14.25" customHeight="1" x14ac:dyDescent="0.3">
      <c r="A493" s="37"/>
      <c r="B493" s="36" t="s">
        <v>1529</v>
      </c>
      <c r="C493" s="41" t="s">
        <v>1530</v>
      </c>
      <c r="D493" s="37"/>
    </row>
    <row r="494" spans="1:4" ht="14.25" customHeight="1" x14ac:dyDescent="0.3">
      <c r="A494" s="37"/>
      <c r="B494" s="36" t="s">
        <v>1531</v>
      </c>
      <c r="C494" s="41" t="s">
        <v>1532</v>
      </c>
      <c r="D494" s="37"/>
    </row>
    <row r="495" spans="1:4" ht="14.25" customHeight="1" x14ac:dyDescent="0.3">
      <c r="A495" s="37"/>
      <c r="B495" s="36" t="s">
        <v>1533</v>
      </c>
      <c r="C495" s="41" t="s">
        <v>1534</v>
      </c>
      <c r="D495" s="37"/>
    </row>
    <row r="496" spans="1:4" ht="14.25" customHeight="1" x14ac:dyDescent="0.3">
      <c r="A496" s="37"/>
      <c r="B496" s="36" t="s">
        <v>1535</v>
      </c>
      <c r="C496" s="41" t="s">
        <v>1536</v>
      </c>
      <c r="D496" s="37"/>
    </row>
    <row r="497" spans="1:4" ht="14.25" customHeight="1" x14ac:dyDescent="0.3">
      <c r="A497" s="37"/>
      <c r="B497" s="36" t="s">
        <v>1537</v>
      </c>
      <c r="C497" s="41" t="s">
        <v>1538</v>
      </c>
      <c r="D497" s="37"/>
    </row>
    <row r="498" spans="1:4" ht="14.25" customHeight="1" x14ac:dyDescent="0.3">
      <c r="A498" s="37"/>
      <c r="B498" s="36" t="s">
        <v>1539</v>
      </c>
      <c r="C498" s="41" t="s">
        <v>1540</v>
      </c>
      <c r="D498" s="37"/>
    </row>
    <row r="499" spans="1:4" ht="14.25" customHeight="1" x14ac:dyDescent="0.3">
      <c r="A499" s="37"/>
      <c r="B499" s="36" t="s">
        <v>1541</v>
      </c>
      <c r="C499" s="41" t="s">
        <v>1542</v>
      </c>
      <c r="D499" s="37"/>
    </row>
    <row r="500" spans="1:4" ht="14.25" customHeight="1" x14ac:dyDescent="0.3">
      <c r="A500" s="37"/>
      <c r="B500" s="36" t="s">
        <v>1543</v>
      </c>
      <c r="C500" s="41" t="s">
        <v>1544</v>
      </c>
      <c r="D500" s="37"/>
    </row>
    <row r="501" spans="1:4" ht="14.25" customHeight="1" x14ac:dyDescent="0.3">
      <c r="A501" s="37"/>
      <c r="B501" s="36" t="s">
        <v>1545</v>
      </c>
      <c r="C501" s="41" t="s">
        <v>1546</v>
      </c>
      <c r="D501" s="37"/>
    </row>
    <row r="502" spans="1:4" ht="14.25" customHeight="1" x14ac:dyDescent="0.3">
      <c r="A502" s="37"/>
      <c r="B502" s="36" t="s">
        <v>1547</v>
      </c>
      <c r="C502" s="41" t="s">
        <v>1548</v>
      </c>
      <c r="D502" s="37"/>
    </row>
    <row r="503" spans="1:4" ht="14.25" customHeight="1" x14ac:dyDescent="0.3">
      <c r="A503" s="37"/>
      <c r="B503" s="36" t="s">
        <v>1549</v>
      </c>
      <c r="C503" s="41" t="s">
        <v>1550</v>
      </c>
      <c r="D503" s="37"/>
    </row>
    <row r="504" spans="1:4" ht="14.25" customHeight="1" x14ac:dyDescent="0.3">
      <c r="A504" s="37"/>
      <c r="B504" s="36" t="s">
        <v>1551</v>
      </c>
      <c r="C504" s="41" t="s">
        <v>1552</v>
      </c>
      <c r="D504" s="37"/>
    </row>
    <row r="505" spans="1:4" ht="14.25" customHeight="1" x14ac:dyDescent="0.3">
      <c r="A505" s="37"/>
      <c r="B505" s="36" t="s">
        <v>1553</v>
      </c>
      <c r="C505" s="41" t="s">
        <v>1554</v>
      </c>
      <c r="D505" s="37"/>
    </row>
    <row r="506" spans="1:4" ht="14.25" customHeight="1" x14ac:dyDescent="0.3">
      <c r="A506" s="37"/>
      <c r="B506" s="36" t="s">
        <v>1555</v>
      </c>
      <c r="C506" s="41" t="s">
        <v>1556</v>
      </c>
      <c r="D506" s="37"/>
    </row>
    <row r="507" spans="1:4" ht="14.25" customHeight="1" x14ac:dyDescent="0.3">
      <c r="A507" s="37"/>
      <c r="B507" s="44" t="s">
        <v>1557</v>
      </c>
      <c r="C507" s="41" t="s">
        <v>1558</v>
      </c>
      <c r="D507" s="37"/>
    </row>
    <row r="508" spans="1:4" ht="14.25" customHeight="1" x14ac:dyDescent="0.3">
      <c r="A508" s="37"/>
      <c r="B508" s="36" t="s">
        <v>1559</v>
      </c>
      <c r="C508" s="41" t="s">
        <v>1560</v>
      </c>
      <c r="D508" s="37"/>
    </row>
    <row r="509" spans="1:4" ht="14.25" customHeight="1" x14ac:dyDescent="0.3">
      <c r="A509" s="37"/>
      <c r="B509" s="36" t="s">
        <v>1561</v>
      </c>
      <c r="C509" s="41" t="s">
        <v>1562</v>
      </c>
      <c r="D509" s="37"/>
    </row>
    <row r="510" spans="1:4" ht="14.25" customHeight="1" x14ac:dyDescent="0.3">
      <c r="A510" s="37"/>
      <c r="B510" s="36" t="s">
        <v>1563</v>
      </c>
      <c r="C510" s="41" t="s">
        <v>1564</v>
      </c>
      <c r="D510" s="37"/>
    </row>
    <row r="511" spans="1:4" ht="14.25" customHeight="1" x14ac:dyDescent="0.3">
      <c r="A511" s="37"/>
      <c r="B511" s="36" t="s">
        <v>1565</v>
      </c>
      <c r="C511" s="41" t="s">
        <v>1566</v>
      </c>
      <c r="D511" s="37"/>
    </row>
    <row r="512" spans="1:4" ht="14.25" customHeight="1" x14ac:dyDescent="0.3">
      <c r="A512" s="37"/>
      <c r="B512" s="36" t="s">
        <v>1567</v>
      </c>
      <c r="C512" s="41" t="s">
        <v>1568</v>
      </c>
      <c r="D512" s="37"/>
    </row>
    <row r="513" spans="1:4" ht="14.25" customHeight="1" x14ac:dyDescent="0.3">
      <c r="A513" s="37"/>
      <c r="B513" s="36" t="s">
        <v>1569</v>
      </c>
      <c r="C513" s="41" t="s">
        <v>1570</v>
      </c>
      <c r="D513" s="37"/>
    </row>
    <row r="514" spans="1:4" ht="14.25" customHeight="1" x14ac:dyDescent="0.3">
      <c r="A514" s="37"/>
      <c r="B514" s="36" t="s">
        <v>1571</v>
      </c>
      <c r="C514" s="41" t="s">
        <v>1572</v>
      </c>
      <c r="D514" s="37"/>
    </row>
    <row r="515" spans="1:4" ht="14.25" customHeight="1" x14ac:dyDescent="0.3">
      <c r="A515" s="37"/>
      <c r="B515" s="36" t="s">
        <v>1573</v>
      </c>
      <c r="C515" s="41" t="s">
        <v>1574</v>
      </c>
      <c r="D515" s="37"/>
    </row>
    <row r="516" spans="1:4" ht="14.25" customHeight="1" x14ac:dyDescent="0.3">
      <c r="A516" s="37"/>
      <c r="B516" s="36" t="s">
        <v>1575</v>
      </c>
      <c r="C516" s="41" t="s">
        <v>1576</v>
      </c>
      <c r="D516" s="37"/>
    </row>
    <row r="517" spans="1:4" ht="14.25" customHeight="1" x14ac:dyDescent="0.3">
      <c r="A517" s="37"/>
      <c r="B517" s="36" t="s">
        <v>1577</v>
      </c>
      <c r="C517" s="41" t="s">
        <v>1578</v>
      </c>
      <c r="D517" s="37"/>
    </row>
    <row r="518" spans="1:4" ht="14.25" customHeight="1" x14ac:dyDescent="0.3">
      <c r="A518" s="37"/>
      <c r="B518" s="36" t="s">
        <v>1579</v>
      </c>
      <c r="C518" s="41" t="s">
        <v>1580</v>
      </c>
      <c r="D518" s="37"/>
    </row>
    <row r="519" spans="1:4" ht="14.25" customHeight="1" x14ac:dyDescent="0.3">
      <c r="A519" s="37"/>
      <c r="B519" s="36" t="s">
        <v>1581</v>
      </c>
      <c r="C519" s="41" t="s">
        <v>1582</v>
      </c>
      <c r="D519" s="37"/>
    </row>
    <row r="520" spans="1:4" ht="14.25" customHeight="1" x14ac:dyDescent="0.3">
      <c r="A520" s="37"/>
      <c r="B520" s="36" t="s">
        <v>1583</v>
      </c>
      <c r="C520" s="43" t="s">
        <v>1584</v>
      </c>
      <c r="D520" s="37"/>
    </row>
    <row r="521" spans="1:4" ht="14.25" customHeight="1" x14ac:dyDescent="0.3">
      <c r="A521" s="37"/>
      <c r="B521" s="36" t="s">
        <v>1585</v>
      </c>
      <c r="C521" s="41" t="s">
        <v>1586</v>
      </c>
      <c r="D521" s="37"/>
    </row>
    <row r="522" spans="1:4" ht="14.25" customHeight="1" x14ac:dyDescent="0.3">
      <c r="A522" s="37"/>
      <c r="B522" s="36" t="s">
        <v>1587</v>
      </c>
      <c r="C522" s="41" t="s">
        <v>1588</v>
      </c>
      <c r="D522" s="37"/>
    </row>
    <row r="523" spans="1:4" ht="14.25" customHeight="1" x14ac:dyDescent="0.3">
      <c r="A523" s="37"/>
      <c r="B523" s="36" t="s">
        <v>1589</v>
      </c>
      <c r="C523" s="41" t="s">
        <v>1590</v>
      </c>
      <c r="D523" s="37"/>
    </row>
    <row r="524" spans="1:4" ht="14.25" customHeight="1" x14ac:dyDescent="0.3">
      <c r="A524" s="37"/>
      <c r="B524" s="36" t="s">
        <v>1591</v>
      </c>
      <c r="C524" s="41" t="s">
        <v>726</v>
      </c>
      <c r="D524" s="37"/>
    </row>
    <row r="525" spans="1:4" ht="14.25" customHeight="1" x14ac:dyDescent="0.3">
      <c r="A525" s="37"/>
      <c r="B525" s="36" t="s">
        <v>1592</v>
      </c>
      <c r="C525" s="41" t="s">
        <v>1593</v>
      </c>
      <c r="D525" s="37"/>
    </row>
    <row r="526" spans="1:4" ht="14.25" customHeight="1" x14ac:dyDescent="0.3">
      <c r="A526" s="37"/>
      <c r="B526" s="36" t="s">
        <v>1594</v>
      </c>
      <c r="C526" s="41" t="s">
        <v>1595</v>
      </c>
      <c r="D526" s="37"/>
    </row>
    <row r="527" spans="1:4" ht="14.25" customHeight="1" x14ac:dyDescent="0.3">
      <c r="A527" s="37"/>
      <c r="B527" s="36" t="s">
        <v>1596</v>
      </c>
      <c r="C527" s="41" t="s">
        <v>1597</v>
      </c>
      <c r="D527" s="37"/>
    </row>
    <row r="528" spans="1:4" ht="14.25" customHeight="1" x14ac:dyDescent="0.3">
      <c r="A528" s="37"/>
      <c r="B528" s="36" t="s">
        <v>1598</v>
      </c>
      <c r="C528" s="41" t="s">
        <v>1599</v>
      </c>
      <c r="D528" s="37"/>
    </row>
    <row r="529" spans="1:4" ht="14.25" customHeight="1" x14ac:dyDescent="0.3">
      <c r="A529" s="37"/>
      <c r="B529" s="36" t="s">
        <v>1600</v>
      </c>
      <c r="C529" s="41" t="s">
        <v>1601</v>
      </c>
      <c r="D529" s="37"/>
    </row>
    <row r="530" spans="1:4" ht="14.25" customHeight="1" x14ac:dyDescent="0.3">
      <c r="A530" s="37"/>
      <c r="B530" s="36" t="s">
        <v>1602</v>
      </c>
      <c r="C530" s="41" t="s">
        <v>1603</v>
      </c>
      <c r="D530" s="37"/>
    </row>
    <row r="531" spans="1:4" ht="14.25" customHeight="1" x14ac:dyDescent="0.3">
      <c r="A531" s="37"/>
      <c r="B531" s="36" t="s">
        <v>1604</v>
      </c>
      <c r="C531" s="41" t="s">
        <v>1605</v>
      </c>
      <c r="D531" s="37"/>
    </row>
    <row r="532" spans="1:4" ht="14.25" customHeight="1" x14ac:dyDescent="0.3">
      <c r="A532" s="37"/>
      <c r="B532" s="36" t="s">
        <v>1606</v>
      </c>
      <c r="C532" s="41" t="s">
        <v>1607</v>
      </c>
      <c r="D532" s="37"/>
    </row>
    <row r="533" spans="1:4" ht="14.25" customHeight="1" x14ac:dyDescent="0.3">
      <c r="A533" s="37"/>
      <c r="B533" s="36" t="s">
        <v>1608</v>
      </c>
      <c r="C533" s="41" t="s">
        <v>1609</v>
      </c>
      <c r="D533" s="37"/>
    </row>
    <row r="534" spans="1:4" ht="14.25" customHeight="1" x14ac:dyDescent="0.3">
      <c r="A534" s="37"/>
      <c r="B534" s="36" t="s">
        <v>1610</v>
      </c>
      <c r="C534" s="41" t="s">
        <v>1611</v>
      </c>
      <c r="D534" s="37"/>
    </row>
    <row r="535" spans="1:4" ht="14.25" customHeight="1" x14ac:dyDescent="0.3">
      <c r="A535" s="37"/>
      <c r="B535" s="37"/>
      <c r="C535" s="45"/>
      <c r="D535" s="37"/>
    </row>
    <row r="536" spans="1:4" ht="14.25" customHeight="1" x14ac:dyDescent="0.3">
      <c r="A536" s="37"/>
      <c r="B536" s="37"/>
      <c r="C536" s="37"/>
      <c r="D536" s="37"/>
    </row>
    <row r="537" spans="1:4" ht="14.25" customHeight="1" x14ac:dyDescent="0.3">
      <c r="A537" s="35" t="s">
        <v>1612</v>
      </c>
      <c r="B537" s="35"/>
      <c r="C537" s="37"/>
      <c r="D537" s="37"/>
    </row>
    <row r="538" spans="1:4" ht="14.25" customHeight="1" x14ac:dyDescent="0.3">
      <c r="A538" s="36"/>
      <c r="B538" s="36" t="s">
        <v>115</v>
      </c>
      <c r="C538" s="37"/>
      <c r="D538" s="37"/>
    </row>
    <row r="539" spans="1:4" ht="14.25" customHeight="1" x14ac:dyDescent="0.3">
      <c r="A539" s="36"/>
      <c r="B539" s="36" t="s">
        <v>783</v>
      </c>
      <c r="C539" s="37"/>
      <c r="D539" s="37"/>
    </row>
    <row r="540" spans="1:4" ht="14.25" customHeight="1" x14ac:dyDescent="0.3">
      <c r="A540" s="36"/>
      <c r="B540" s="36" t="s">
        <v>777</v>
      </c>
      <c r="C540" s="37"/>
      <c r="D540" s="37"/>
    </row>
    <row r="541" spans="1:4" ht="14.25" customHeight="1" x14ac:dyDescent="0.3">
      <c r="A541" s="36"/>
      <c r="B541" s="36" t="s">
        <v>1613</v>
      </c>
      <c r="C541" s="37"/>
      <c r="D541" s="37"/>
    </row>
    <row r="542" spans="1:4" ht="14.25" customHeight="1" x14ac:dyDescent="0.3">
      <c r="A542" s="36"/>
      <c r="B542" s="36" t="s">
        <v>683</v>
      </c>
      <c r="C542" s="37"/>
      <c r="D542" s="37"/>
    </row>
    <row r="543" spans="1:4" ht="14.25" customHeight="1" x14ac:dyDescent="0.3">
      <c r="A543" s="36"/>
      <c r="B543" s="36" t="s">
        <v>1614</v>
      </c>
      <c r="C543" s="37"/>
      <c r="D543" s="37"/>
    </row>
    <row r="544" spans="1:4" ht="14.25" customHeight="1" x14ac:dyDescent="0.3">
      <c r="A544" s="36"/>
      <c r="B544" s="36" t="s">
        <v>1615</v>
      </c>
      <c r="C544" s="37"/>
      <c r="D544" s="37"/>
    </row>
    <row r="545" spans="1:4" ht="14.25" customHeight="1" x14ac:dyDescent="0.3">
      <c r="A545" s="36"/>
      <c r="B545" s="36" t="s">
        <v>533</v>
      </c>
      <c r="C545" s="37"/>
      <c r="D545" s="37"/>
    </row>
    <row r="546" spans="1:4" ht="14.25" customHeight="1" x14ac:dyDescent="0.3">
      <c r="A546" s="36"/>
      <c r="B546" s="36" t="s">
        <v>508</v>
      </c>
      <c r="C546" s="37"/>
      <c r="D546" s="37"/>
    </row>
    <row r="547" spans="1:4" ht="14.25" customHeight="1" x14ac:dyDescent="0.3">
      <c r="A547" s="36"/>
      <c r="B547" s="36" t="s">
        <v>1616</v>
      </c>
      <c r="C547" s="37"/>
      <c r="D547" s="37"/>
    </row>
    <row r="548" spans="1:4" ht="14.25" customHeight="1" x14ac:dyDescent="0.3">
      <c r="A548" s="36"/>
      <c r="B548" s="36" t="s">
        <v>1617</v>
      </c>
      <c r="C548" s="37"/>
      <c r="D548" s="37"/>
    </row>
    <row r="549" spans="1:4" ht="14.25" customHeight="1" x14ac:dyDescent="0.3">
      <c r="A549" s="36"/>
      <c r="B549" s="36" t="s">
        <v>1618</v>
      </c>
      <c r="C549" s="37"/>
      <c r="D549" s="37"/>
    </row>
    <row r="550" spans="1:4" ht="14.25" customHeight="1" x14ac:dyDescent="0.3">
      <c r="A550" s="36"/>
      <c r="B550" s="36" t="s">
        <v>1619</v>
      </c>
      <c r="C550" s="37"/>
      <c r="D550" s="37"/>
    </row>
    <row r="551" spans="1:4" ht="14.25" customHeight="1" x14ac:dyDescent="0.3">
      <c r="A551" s="36"/>
      <c r="B551" s="36" t="s">
        <v>1620</v>
      </c>
      <c r="C551" s="37"/>
      <c r="D551" s="37"/>
    </row>
    <row r="552" spans="1:4" ht="14.25" customHeight="1" x14ac:dyDescent="0.3">
      <c r="A552" s="36"/>
      <c r="B552" s="36" t="s">
        <v>1621</v>
      </c>
      <c r="C552" s="37"/>
      <c r="D552" s="37"/>
    </row>
    <row r="553" spans="1:4" ht="14.25" customHeight="1" x14ac:dyDescent="0.3">
      <c r="A553" s="36"/>
      <c r="B553" s="36" t="s">
        <v>1622</v>
      </c>
      <c r="C553" s="37"/>
      <c r="D553" s="37"/>
    </row>
    <row r="554" spans="1:4" ht="14.25" customHeight="1" x14ac:dyDescent="0.3">
      <c r="A554" s="36"/>
      <c r="B554" s="36" t="s">
        <v>1623</v>
      </c>
      <c r="C554" s="37"/>
      <c r="D554" s="37"/>
    </row>
    <row r="555" spans="1:4" ht="14.25" customHeight="1" x14ac:dyDescent="0.3">
      <c r="A555" s="36"/>
      <c r="B555" s="36" t="s">
        <v>1624</v>
      </c>
      <c r="C555" s="37"/>
      <c r="D555" s="37"/>
    </row>
    <row r="556" spans="1:4" ht="14.25" customHeight="1" x14ac:dyDescent="0.3">
      <c r="A556" s="36"/>
      <c r="B556" s="36" t="s">
        <v>699</v>
      </c>
      <c r="C556" s="37"/>
      <c r="D556" s="37"/>
    </row>
    <row r="557" spans="1:4" ht="14.25" customHeight="1" x14ac:dyDescent="0.3">
      <c r="A557" s="36"/>
      <c r="B557" s="36" t="s">
        <v>812</v>
      </c>
      <c r="C557" s="37"/>
      <c r="D557" s="37"/>
    </row>
    <row r="558" spans="1:4" ht="14.25" customHeight="1" x14ac:dyDescent="0.3">
      <c r="A558" s="37"/>
      <c r="B558" s="37"/>
      <c r="C558" s="37"/>
      <c r="D558" s="37"/>
    </row>
    <row r="559" spans="1:4" ht="14.25" customHeight="1" x14ac:dyDescent="0.3">
      <c r="A559" s="37"/>
      <c r="B559" s="37"/>
      <c r="C559" s="37"/>
      <c r="D559" s="37"/>
    </row>
    <row r="560" spans="1:4" ht="14.25" customHeight="1" x14ac:dyDescent="0.3">
      <c r="A560" s="35" t="s">
        <v>1625</v>
      </c>
      <c r="B560" s="35" t="s">
        <v>1626</v>
      </c>
      <c r="C560" s="37"/>
      <c r="D560" s="37"/>
    </row>
    <row r="561" spans="1:4" ht="14.25" customHeight="1" x14ac:dyDescent="0.3">
      <c r="A561" s="46"/>
      <c r="B561" s="47" t="s">
        <v>324</v>
      </c>
      <c r="C561" s="46"/>
      <c r="D561" s="46"/>
    </row>
    <row r="562" spans="1:4" ht="14.25" customHeight="1" x14ac:dyDescent="0.3">
      <c r="A562" s="46"/>
      <c r="B562" s="47" t="s">
        <v>467</v>
      </c>
      <c r="C562" s="46"/>
      <c r="D562" s="46"/>
    </row>
    <row r="563" spans="1:4" ht="14.25" customHeight="1" x14ac:dyDescent="0.3">
      <c r="A563" s="46"/>
      <c r="B563" s="47" t="s">
        <v>312</v>
      </c>
      <c r="C563" s="46"/>
      <c r="D563" s="46"/>
    </row>
    <row r="564" spans="1:4" ht="14.25" customHeight="1" x14ac:dyDescent="0.3">
      <c r="A564" s="46"/>
      <c r="B564" s="47" t="s">
        <v>311</v>
      </c>
      <c r="C564" s="46"/>
      <c r="D564" s="46"/>
    </row>
    <row r="565" spans="1:4" ht="14.25" customHeight="1" x14ac:dyDescent="0.3">
      <c r="A565" s="46"/>
      <c r="B565" s="47" t="s">
        <v>337</v>
      </c>
      <c r="C565" s="46"/>
      <c r="D565" s="46"/>
    </row>
    <row r="566" spans="1:4" ht="14.25" customHeight="1" x14ac:dyDescent="0.3">
      <c r="A566" s="46"/>
      <c r="B566" s="47" t="s">
        <v>1627</v>
      </c>
      <c r="C566" s="46"/>
      <c r="D566" s="46"/>
    </row>
    <row r="567" spans="1:4" ht="14.25" customHeight="1" x14ac:dyDescent="0.3">
      <c r="A567" s="46"/>
      <c r="B567" s="47" t="s">
        <v>1628</v>
      </c>
      <c r="C567" s="46"/>
      <c r="D567" s="46"/>
    </row>
    <row r="568" spans="1:4" ht="14.25" customHeight="1" x14ac:dyDescent="0.3">
      <c r="A568" s="46"/>
      <c r="B568" s="47" t="s">
        <v>1629</v>
      </c>
      <c r="C568" s="46"/>
      <c r="D568" s="46"/>
    </row>
    <row r="569" spans="1:4" ht="14.25" customHeight="1" x14ac:dyDescent="0.3">
      <c r="A569" s="46"/>
      <c r="B569" s="47" t="s">
        <v>173</v>
      </c>
      <c r="C569" s="46"/>
      <c r="D569" s="46"/>
    </row>
    <row r="570" spans="1:4" ht="14.25" customHeight="1" x14ac:dyDescent="0.3">
      <c r="A570" s="46"/>
      <c r="B570" s="47" t="s">
        <v>285</v>
      </c>
      <c r="C570" s="46"/>
      <c r="D570" s="46"/>
    </row>
    <row r="571" spans="1:4" ht="14.25" customHeight="1" x14ac:dyDescent="0.3">
      <c r="A571" s="46"/>
      <c r="B571" s="47" t="s">
        <v>400</v>
      </c>
      <c r="C571" s="46"/>
      <c r="D571" s="46"/>
    </row>
    <row r="572" spans="1:4" ht="14.25" customHeight="1" x14ac:dyDescent="0.3">
      <c r="A572" s="46"/>
      <c r="B572" s="47" t="s">
        <v>295</v>
      </c>
      <c r="C572" s="46"/>
      <c r="D572" s="46"/>
    </row>
    <row r="573" spans="1:4" ht="14.25" customHeight="1" x14ac:dyDescent="0.3">
      <c r="A573" s="46"/>
      <c r="B573" s="47" t="s">
        <v>1630</v>
      </c>
      <c r="C573" s="46"/>
      <c r="D573" s="46"/>
    </row>
    <row r="574" spans="1:4" ht="14.25" customHeight="1" x14ac:dyDescent="0.3">
      <c r="A574" s="46"/>
      <c r="B574" s="47" t="s">
        <v>281</v>
      </c>
      <c r="C574" s="46"/>
      <c r="D574" s="46"/>
    </row>
    <row r="575" spans="1:4" ht="14.25" customHeight="1" x14ac:dyDescent="0.3">
      <c r="A575" s="46"/>
      <c r="B575" s="47" t="s">
        <v>274</v>
      </c>
      <c r="C575" s="46"/>
      <c r="D575" s="46"/>
    </row>
    <row r="576" spans="1:4" ht="14.25" customHeight="1" x14ac:dyDescent="0.3">
      <c r="A576" s="46"/>
      <c r="B576" s="47" t="s">
        <v>379</v>
      </c>
      <c r="C576" s="46"/>
      <c r="D576" s="46"/>
    </row>
    <row r="577" spans="1:4" ht="14.25" customHeight="1" x14ac:dyDescent="0.3">
      <c r="A577" s="46"/>
      <c r="B577" s="47" t="s">
        <v>383</v>
      </c>
      <c r="C577" s="46"/>
      <c r="D577" s="46"/>
    </row>
    <row r="578" spans="1:4" ht="14.25" customHeight="1" x14ac:dyDescent="0.3">
      <c r="A578" s="46"/>
      <c r="B578" s="47" t="s">
        <v>394</v>
      </c>
      <c r="C578" s="46"/>
      <c r="D578" s="46"/>
    </row>
    <row r="579" spans="1:4" ht="14.25" customHeight="1" x14ac:dyDescent="0.3">
      <c r="A579" s="46"/>
      <c r="B579" s="47" t="s">
        <v>335</v>
      </c>
      <c r="C579" s="46"/>
      <c r="D579" s="46"/>
    </row>
    <row r="580" spans="1:4" ht="14.25" customHeight="1" x14ac:dyDescent="0.3">
      <c r="A580" s="46"/>
      <c r="B580" s="47" t="s">
        <v>318</v>
      </c>
      <c r="C580" s="46"/>
      <c r="D580" s="46"/>
    </row>
    <row r="581" spans="1:4" ht="14.25" customHeight="1" x14ac:dyDescent="0.3">
      <c r="A581" s="46"/>
      <c r="B581" s="47" t="s">
        <v>1631</v>
      </c>
      <c r="C581" s="46"/>
      <c r="D581" s="46"/>
    </row>
    <row r="582" spans="1:4" ht="14.25" customHeight="1" x14ac:dyDescent="0.3">
      <c r="A582" s="46"/>
      <c r="B582" s="47" t="s">
        <v>1632</v>
      </c>
      <c r="C582" s="46"/>
      <c r="D582" s="46"/>
    </row>
    <row r="583" spans="1:4" ht="14.25" customHeight="1" x14ac:dyDescent="0.3">
      <c r="A583" s="46"/>
      <c r="B583" s="47" t="s">
        <v>768</v>
      </c>
      <c r="C583" s="46"/>
      <c r="D583" s="46"/>
    </row>
    <row r="584" spans="1:4" ht="14.25" customHeight="1" x14ac:dyDescent="0.3">
      <c r="A584" s="46"/>
      <c r="B584" s="47" t="s">
        <v>1633</v>
      </c>
      <c r="C584" s="46"/>
      <c r="D584" s="46"/>
    </row>
    <row r="585" spans="1:4" ht="14.25" customHeight="1" x14ac:dyDescent="0.3">
      <c r="A585" s="46"/>
      <c r="B585" s="47" t="s">
        <v>1634</v>
      </c>
      <c r="C585" s="46"/>
      <c r="D585" s="46"/>
    </row>
    <row r="586" spans="1:4" ht="14.25" customHeight="1" x14ac:dyDescent="0.3">
      <c r="A586" s="46"/>
      <c r="B586" s="47" t="s">
        <v>1635</v>
      </c>
      <c r="C586" s="46"/>
      <c r="D586" s="46"/>
    </row>
    <row r="587" spans="1:4" ht="14.25" customHeight="1" x14ac:dyDescent="0.3">
      <c r="A587" s="46"/>
      <c r="B587" s="47" t="s">
        <v>1636</v>
      </c>
      <c r="C587" s="46"/>
      <c r="D587" s="46"/>
    </row>
    <row r="588" spans="1:4" ht="14.25" customHeight="1" x14ac:dyDescent="0.3">
      <c r="A588" s="46"/>
      <c r="B588" s="47" t="s">
        <v>1637</v>
      </c>
      <c r="C588" s="46"/>
      <c r="D588" s="46"/>
    </row>
    <row r="589" spans="1:4" ht="14.25" customHeight="1" x14ac:dyDescent="0.3">
      <c r="A589" s="46"/>
      <c r="B589" s="47" t="s">
        <v>1638</v>
      </c>
      <c r="C589" s="46"/>
      <c r="D589" s="46"/>
    </row>
    <row r="590" spans="1:4" ht="14.25" customHeight="1" x14ac:dyDescent="0.3">
      <c r="A590" s="46"/>
      <c r="B590" s="47" t="s">
        <v>1639</v>
      </c>
      <c r="C590" s="46"/>
      <c r="D590" s="46"/>
    </row>
    <row r="591" spans="1:4" ht="14.25" customHeight="1" x14ac:dyDescent="0.3">
      <c r="A591" s="46"/>
      <c r="B591" s="47" t="s">
        <v>1640</v>
      </c>
      <c r="C591" s="46"/>
      <c r="D591" s="46"/>
    </row>
    <row r="592" spans="1:4" ht="14.25" customHeight="1" x14ac:dyDescent="0.3">
      <c r="A592" s="46"/>
      <c r="B592" s="47" t="s">
        <v>1641</v>
      </c>
      <c r="C592" s="46"/>
      <c r="D592" s="46"/>
    </row>
    <row r="593" spans="1:4" ht="14.25" customHeight="1" x14ac:dyDescent="0.3">
      <c r="A593" s="46"/>
      <c r="B593" s="47" t="s">
        <v>1642</v>
      </c>
      <c r="C593" s="46"/>
      <c r="D593" s="46"/>
    </row>
    <row r="594" spans="1:4" ht="14.25" customHeight="1" x14ac:dyDescent="0.3">
      <c r="A594" s="46"/>
      <c r="B594" s="47" t="s">
        <v>1643</v>
      </c>
      <c r="C594" s="46"/>
      <c r="D594" s="46"/>
    </row>
    <row r="595" spans="1:4" ht="14.25" customHeight="1" x14ac:dyDescent="0.3">
      <c r="A595" s="46"/>
      <c r="B595" s="47" t="s">
        <v>1644</v>
      </c>
      <c r="C595" s="46"/>
      <c r="D595" s="46"/>
    </row>
    <row r="596" spans="1:4" ht="14.25" customHeight="1" x14ac:dyDescent="0.3">
      <c r="A596" s="46"/>
      <c r="B596" s="47" t="s">
        <v>1645</v>
      </c>
      <c r="C596" s="46"/>
      <c r="D596" s="46"/>
    </row>
    <row r="597" spans="1:4" ht="14.25" customHeight="1" x14ac:dyDescent="0.3">
      <c r="A597" s="46"/>
      <c r="B597" s="47" t="s">
        <v>1646</v>
      </c>
      <c r="C597" s="46"/>
      <c r="D597" s="46"/>
    </row>
    <row r="598" spans="1:4" ht="14.25" customHeight="1" x14ac:dyDescent="0.3">
      <c r="A598" s="46"/>
      <c r="B598" s="47" t="s">
        <v>1647</v>
      </c>
      <c r="C598" s="46"/>
      <c r="D598" s="46"/>
    </row>
    <row r="599" spans="1:4" ht="14.25" customHeight="1" x14ac:dyDescent="0.3">
      <c r="A599" s="46"/>
      <c r="B599" s="47" t="s">
        <v>1648</v>
      </c>
      <c r="C599" s="46"/>
      <c r="D599" s="46"/>
    </row>
    <row r="600" spans="1:4" ht="14.25" customHeight="1" x14ac:dyDescent="0.3">
      <c r="A600" s="46"/>
      <c r="B600" s="47" t="s">
        <v>222</v>
      </c>
      <c r="C600" s="46"/>
      <c r="D600" s="46"/>
    </row>
    <row r="601" spans="1:4" ht="14.25" customHeight="1" x14ac:dyDescent="0.3">
      <c r="A601" s="46"/>
      <c r="B601" s="47" t="s">
        <v>1649</v>
      </c>
      <c r="C601" s="46"/>
      <c r="D601" s="46"/>
    </row>
    <row r="602" spans="1:4" ht="14.25" customHeight="1" x14ac:dyDescent="0.3">
      <c r="A602" s="46"/>
      <c r="B602" s="47" t="s">
        <v>1650</v>
      </c>
      <c r="C602" s="46"/>
      <c r="D602" s="46"/>
    </row>
    <row r="603" spans="1:4" ht="14.25" customHeight="1" x14ac:dyDescent="0.3">
      <c r="A603" s="46"/>
      <c r="B603" s="47" t="s">
        <v>1651</v>
      </c>
      <c r="C603" s="46"/>
      <c r="D603" s="46"/>
    </row>
    <row r="604" spans="1:4" ht="14.25" customHeight="1" x14ac:dyDescent="0.3">
      <c r="A604" s="46"/>
      <c r="B604" s="47" t="s">
        <v>1652</v>
      </c>
      <c r="C604" s="46"/>
      <c r="D604" s="46"/>
    </row>
    <row r="605" spans="1:4" ht="14.25" customHeight="1" x14ac:dyDescent="0.3">
      <c r="A605" s="46"/>
      <c r="B605" s="47" t="s">
        <v>1653</v>
      </c>
      <c r="C605" s="46"/>
      <c r="D605" s="46"/>
    </row>
    <row r="606" spans="1:4" ht="14.25" customHeight="1" x14ac:dyDescent="0.3">
      <c r="A606" s="46"/>
      <c r="B606" s="47" t="s">
        <v>1654</v>
      </c>
      <c r="C606" s="46"/>
      <c r="D606" s="46"/>
    </row>
    <row r="607" spans="1:4" ht="14.25" customHeight="1" x14ac:dyDescent="0.3">
      <c r="A607" s="46"/>
      <c r="B607" s="47" t="s">
        <v>1655</v>
      </c>
      <c r="C607" s="46"/>
      <c r="D607" s="46"/>
    </row>
    <row r="608" spans="1:4" ht="14.25" customHeight="1" x14ac:dyDescent="0.3">
      <c r="A608" s="46"/>
      <c r="B608" s="47" t="s">
        <v>1656</v>
      </c>
      <c r="C608" s="46"/>
      <c r="D608" s="46"/>
    </row>
    <row r="609" spans="1:4" ht="14.25" customHeight="1" x14ac:dyDescent="0.3">
      <c r="A609" s="46"/>
      <c r="B609" s="47" t="s">
        <v>1657</v>
      </c>
      <c r="C609" s="46"/>
      <c r="D609" s="46"/>
    </row>
    <row r="610" spans="1:4" ht="14.25" customHeight="1" x14ac:dyDescent="0.3">
      <c r="A610" s="46"/>
      <c r="B610" s="47" t="s">
        <v>234</v>
      </c>
      <c r="C610" s="46"/>
      <c r="D610" s="46"/>
    </row>
    <row r="611" spans="1:4" ht="14.25" customHeight="1" x14ac:dyDescent="0.3">
      <c r="A611" s="46"/>
      <c r="B611" s="47" t="s">
        <v>1658</v>
      </c>
      <c r="C611" s="46"/>
      <c r="D611" s="46"/>
    </row>
    <row r="612" spans="1:4" ht="14.25" customHeight="1" x14ac:dyDescent="0.3">
      <c r="A612" s="46"/>
      <c r="B612" s="47" t="s">
        <v>1659</v>
      </c>
      <c r="C612" s="46"/>
      <c r="D612" s="46"/>
    </row>
    <row r="613" spans="1:4" ht="14.25" customHeight="1" x14ac:dyDescent="0.3">
      <c r="A613" s="46"/>
      <c r="B613" s="47" t="s">
        <v>1660</v>
      </c>
      <c r="C613" s="46"/>
      <c r="D613" s="46"/>
    </row>
    <row r="614" spans="1:4" ht="14.25" customHeight="1" x14ac:dyDescent="0.3">
      <c r="A614" s="46"/>
      <c r="B614" s="47" t="s">
        <v>224</v>
      </c>
      <c r="C614" s="46"/>
      <c r="D614" s="46"/>
    </row>
    <row r="615" spans="1:4" ht="14.25" customHeight="1" x14ac:dyDescent="0.3">
      <c r="A615" s="46"/>
      <c r="B615" s="47" t="s">
        <v>1661</v>
      </c>
      <c r="C615" s="46"/>
      <c r="D615" s="46"/>
    </row>
    <row r="616" spans="1:4" ht="14.25" customHeight="1" x14ac:dyDescent="0.3">
      <c r="A616" s="46"/>
      <c r="B616" s="47" t="s">
        <v>1662</v>
      </c>
      <c r="C616" s="46"/>
      <c r="D616" s="46"/>
    </row>
    <row r="617" spans="1:4" ht="14.25" customHeight="1" x14ac:dyDescent="0.3">
      <c r="A617" s="46"/>
      <c r="B617" s="47" t="s">
        <v>1663</v>
      </c>
      <c r="C617" s="46"/>
      <c r="D617" s="46"/>
    </row>
    <row r="618" spans="1:4" ht="14.25" customHeight="1" x14ac:dyDescent="0.3">
      <c r="A618" s="46"/>
      <c r="B618" s="47" t="s">
        <v>1664</v>
      </c>
      <c r="C618" s="46"/>
      <c r="D618" s="46"/>
    </row>
    <row r="619" spans="1:4" ht="14.25" customHeight="1" x14ac:dyDescent="0.3">
      <c r="A619" s="46"/>
      <c r="B619" s="47" t="s">
        <v>1665</v>
      </c>
      <c r="C619" s="46"/>
      <c r="D619" s="46"/>
    </row>
    <row r="620" spans="1:4" ht="14.25" customHeight="1" x14ac:dyDescent="0.3">
      <c r="A620" s="46"/>
      <c r="B620" s="47" t="s">
        <v>1666</v>
      </c>
      <c r="C620" s="46"/>
      <c r="D620" s="46"/>
    </row>
    <row r="621" spans="1:4" ht="14.25" customHeight="1" x14ac:dyDescent="0.3">
      <c r="A621" s="46"/>
      <c r="B621" s="47" t="s">
        <v>218</v>
      </c>
      <c r="C621" s="46"/>
      <c r="D621" s="46"/>
    </row>
    <row r="622" spans="1:4" ht="14.25" customHeight="1" x14ac:dyDescent="0.3">
      <c r="A622" s="46"/>
      <c r="B622" s="47" t="s">
        <v>227</v>
      </c>
      <c r="C622" s="46"/>
      <c r="D622" s="46"/>
    </row>
    <row r="623" spans="1:4" ht="14.25" customHeight="1" x14ac:dyDescent="0.3">
      <c r="A623" s="46"/>
      <c r="B623" s="47" t="s">
        <v>1667</v>
      </c>
      <c r="C623" s="46"/>
      <c r="D623" s="46"/>
    </row>
    <row r="624" spans="1:4" ht="14.25" customHeight="1" x14ac:dyDescent="0.3">
      <c r="A624" s="46"/>
      <c r="B624" s="47" t="s">
        <v>1668</v>
      </c>
      <c r="C624" s="46"/>
      <c r="D624" s="46"/>
    </row>
    <row r="625" spans="1:4" ht="14.25" customHeight="1" x14ac:dyDescent="0.3">
      <c r="A625" s="46"/>
      <c r="B625" s="47" t="s">
        <v>1669</v>
      </c>
      <c r="C625" s="46"/>
      <c r="D625" s="46"/>
    </row>
    <row r="626" spans="1:4" ht="14.25" customHeight="1" x14ac:dyDescent="0.3">
      <c r="A626" s="46"/>
      <c r="B626" s="47" t="s">
        <v>1670</v>
      </c>
      <c r="C626" s="46"/>
      <c r="D626" s="46"/>
    </row>
    <row r="627" spans="1:4" ht="14.25" customHeight="1" x14ac:dyDescent="0.3">
      <c r="A627" s="46"/>
      <c r="B627" s="47" t="s">
        <v>621</v>
      </c>
      <c r="C627" s="46"/>
      <c r="D627" s="46"/>
    </row>
    <row r="628" spans="1:4" ht="14.25" customHeight="1" x14ac:dyDescent="0.3">
      <c r="A628" s="46"/>
      <c r="B628" s="47" t="s">
        <v>124</v>
      </c>
      <c r="C628" s="46"/>
      <c r="D628" s="46"/>
    </row>
    <row r="629" spans="1:4" ht="14.25" customHeight="1" x14ac:dyDescent="0.3">
      <c r="A629" s="46"/>
      <c r="B629" s="47" t="s">
        <v>153</v>
      </c>
      <c r="C629" s="46"/>
      <c r="D629" s="46"/>
    </row>
    <row r="630" spans="1:4" ht="14.25" customHeight="1" x14ac:dyDescent="0.3">
      <c r="A630" s="46"/>
      <c r="B630" s="47" t="s">
        <v>1671</v>
      </c>
      <c r="C630" s="46"/>
      <c r="D630" s="46"/>
    </row>
    <row r="631" spans="1:4" ht="14.25" customHeight="1" x14ac:dyDescent="0.3">
      <c r="A631" s="46"/>
      <c r="B631" s="47" t="s">
        <v>1672</v>
      </c>
      <c r="C631" s="46"/>
      <c r="D631" s="46"/>
    </row>
    <row r="632" spans="1:4" ht="14.25" customHeight="1" x14ac:dyDescent="0.3">
      <c r="A632" s="46"/>
      <c r="B632" s="47" t="s">
        <v>1673</v>
      </c>
      <c r="C632" s="46"/>
      <c r="D632" s="46"/>
    </row>
    <row r="633" spans="1:4" ht="14.25" customHeight="1" x14ac:dyDescent="0.3">
      <c r="A633" s="46"/>
      <c r="B633" s="47" t="s">
        <v>1674</v>
      </c>
      <c r="C633" s="46"/>
      <c r="D633" s="46"/>
    </row>
    <row r="634" spans="1:4" ht="14.25" customHeight="1" x14ac:dyDescent="0.3">
      <c r="A634" s="46"/>
      <c r="B634" s="36" t="s">
        <v>340</v>
      </c>
      <c r="C634" s="46"/>
      <c r="D634" s="46"/>
    </row>
    <row r="635" spans="1:4" ht="14.25" customHeight="1" x14ac:dyDescent="0.3">
      <c r="A635" s="46"/>
      <c r="B635" s="36" t="s">
        <v>374</v>
      </c>
      <c r="C635" s="46"/>
      <c r="D635" s="46"/>
    </row>
    <row r="636" spans="1:4" ht="14.25" customHeight="1" x14ac:dyDescent="0.3">
      <c r="A636" s="46"/>
      <c r="B636" s="47" t="s">
        <v>1675</v>
      </c>
      <c r="C636" s="46"/>
      <c r="D636" s="46"/>
    </row>
    <row r="637" spans="1:4" ht="14.25" customHeight="1" x14ac:dyDescent="0.3">
      <c r="A637" s="46"/>
      <c r="B637" s="47" t="s">
        <v>451</v>
      </c>
      <c r="C637" s="46"/>
      <c r="D637" s="46"/>
    </row>
    <row r="638" spans="1:4" ht="14.25" customHeight="1" x14ac:dyDescent="0.3">
      <c r="A638" s="46"/>
      <c r="B638" s="47" t="s">
        <v>1676</v>
      </c>
      <c r="C638" s="46"/>
      <c r="D638" s="46"/>
    </row>
    <row r="639" spans="1:4" ht="14.25" customHeight="1" x14ac:dyDescent="0.3">
      <c r="A639" s="46"/>
      <c r="B639" s="47" t="s">
        <v>645</v>
      </c>
      <c r="C639" s="46"/>
      <c r="D639" s="46"/>
    </row>
    <row r="640" spans="1:4" ht="14.25" customHeight="1" x14ac:dyDescent="0.3">
      <c r="A640" s="46"/>
      <c r="B640" s="47" t="s">
        <v>1677</v>
      </c>
      <c r="C640" s="46"/>
      <c r="D640" s="46"/>
    </row>
    <row r="641" spans="1:4" ht="14.25" customHeight="1" x14ac:dyDescent="0.3">
      <c r="A641" s="46"/>
      <c r="B641" s="36" t="s">
        <v>1678</v>
      </c>
      <c r="C641" s="46"/>
      <c r="D641" s="46"/>
    </row>
    <row r="642" spans="1:4" ht="14.25" customHeight="1" x14ac:dyDescent="0.3">
      <c r="A642" s="46"/>
      <c r="B642" s="47" t="s">
        <v>474</v>
      </c>
      <c r="C642" s="46"/>
      <c r="D642" s="46"/>
    </row>
    <row r="643" spans="1:4" ht="14.25" customHeight="1" x14ac:dyDescent="0.3">
      <c r="A643" s="46"/>
      <c r="B643" s="47" t="s">
        <v>1679</v>
      </c>
      <c r="C643" s="46"/>
      <c r="D643" s="46"/>
    </row>
    <row r="644" spans="1:4" ht="14.25" customHeight="1" x14ac:dyDescent="0.3">
      <c r="A644" s="46"/>
      <c r="B644" s="36" t="s">
        <v>346</v>
      </c>
      <c r="C644" s="46"/>
      <c r="D644" s="46"/>
    </row>
    <row r="645" spans="1:4" ht="14.25" customHeight="1" x14ac:dyDescent="0.3">
      <c r="A645" s="46"/>
      <c r="B645" s="47" t="s">
        <v>639</v>
      </c>
      <c r="C645" s="46"/>
      <c r="D645" s="46"/>
    </row>
    <row r="646" spans="1:4" ht="14.25" customHeight="1" x14ac:dyDescent="0.3">
      <c r="A646" s="46"/>
      <c r="B646" s="47" t="s">
        <v>1680</v>
      </c>
      <c r="C646" s="46"/>
      <c r="D646" s="46"/>
    </row>
    <row r="647" spans="1:4" ht="14.25" customHeight="1" x14ac:dyDescent="0.3">
      <c r="A647" s="46"/>
      <c r="B647" s="47" t="s">
        <v>1681</v>
      </c>
      <c r="C647" s="46"/>
      <c r="D647" s="46"/>
    </row>
    <row r="648" spans="1:4" ht="14.25" customHeight="1" x14ac:dyDescent="0.3">
      <c r="A648" s="46"/>
      <c r="B648" s="47" t="s">
        <v>210</v>
      </c>
      <c r="C648" s="46"/>
      <c r="D648" s="46"/>
    </row>
    <row r="649" spans="1:4" ht="14.25" customHeight="1" x14ac:dyDescent="0.3">
      <c r="A649" s="46"/>
      <c r="B649" s="47" t="s">
        <v>1682</v>
      </c>
      <c r="C649" s="46"/>
      <c r="D649" s="46"/>
    </row>
    <row r="650" spans="1:4" ht="14.25" customHeight="1" x14ac:dyDescent="0.3">
      <c r="A650" s="46"/>
      <c r="B650" s="47" t="s">
        <v>188</v>
      </c>
      <c r="C650" s="46"/>
      <c r="D650" s="46"/>
    </row>
    <row r="651" spans="1:4" ht="14.25" customHeight="1" x14ac:dyDescent="0.3">
      <c r="A651" s="46"/>
      <c r="B651" s="47" t="s">
        <v>1683</v>
      </c>
      <c r="C651" s="46"/>
      <c r="D651" s="46"/>
    </row>
    <row r="652" spans="1:4" ht="14.25" customHeight="1" x14ac:dyDescent="0.3">
      <c r="A652" s="46"/>
      <c r="B652" s="47" t="s">
        <v>1684</v>
      </c>
      <c r="C652" s="46"/>
      <c r="D652" s="46"/>
    </row>
    <row r="653" spans="1:4" ht="14.25" customHeight="1" x14ac:dyDescent="0.3">
      <c r="A653" s="46"/>
      <c r="B653" s="47" t="s">
        <v>423</v>
      </c>
      <c r="C653" s="46"/>
      <c r="D653" s="46"/>
    </row>
    <row r="654" spans="1:4" ht="14.25" customHeight="1" x14ac:dyDescent="0.3">
      <c r="A654" s="46"/>
      <c r="B654" s="47" t="s">
        <v>439</v>
      </c>
      <c r="C654" s="46"/>
      <c r="D654" s="46"/>
    </row>
    <row r="655" spans="1:4" ht="14.25" customHeight="1" x14ac:dyDescent="0.3">
      <c r="A655" s="46"/>
      <c r="B655" s="47" t="s">
        <v>243</v>
      </c>
      <c r="C655" s="46"/>
      <c r="D655" s="46"/>
    </row>
    <row r="656" spans="1:4" ht="14.25" customHeight="1" x14ac:dyDescent="0.3">
      <c r="A656" s="46"/>
      <c r="B656" s="47" t="s">
        <v>1685</v>
      </c>
      <c r="C656" s="46"/>
      <c r="D656" s="46"/>
    </row>
    <row r="657" spans="1:4" ht="14.25" customHeight="1" x14ac:dyDescent="0.3">
      <c r="A657" s="46"/>
      <c r="B657" s="47" t="s">
        <v>254</v>
      </c>
      <c r="C657" s="46"/>
      <c r="D657" s="46"/>
    </row>
    <row r="658" spans="1:4" ht="14.25" customHeight="1" x14ac:dyDescent="0.3">
      <c r="A658" s="46"/>
      <c r="B658" s="36" t="s">
        <v>103</v>
      </c>
      <c r="C658" s="46"/>
      <c r="D658" s="46"/>
    </row>
    <row r="659" spans="1:4" ht="14.25" customHeight="1" x14ac:dyDescent="0.3">
      <c r="A659" s="46"/>
      <c r="B659" s="36" t="s">
        <v>413</v>
      </c>
      <c r="C659" s="46"/>
      <c r="D659" s="46"/>
    </row>
    <row r="660" spans="1:4" ht="14.25" customHeight="1" x14ac:dyDescent="0.3">
      <c r="A660" s="46"/>
      <c r="B660" s="46"/>
      <c r="C660" s="46"/>
      <c r="D660" s="46"/>
    </row>
    <row r="661" spans="1:4" ht="14.25" customHeight="1" x14ac:dyDescent="0.3">
      <c r="A661" s="46"/>
      <c r="B661" s="46"/>
      <c r="C661" s="46"/>
      <c r="D661" s="46"/>
    </row>
    <row r="662" spans="1:4" ht="14.25" customHeight="1" x14ac:dyDescent="0.3">
      <c r="A662" s="35" t="s">
        <v>1686</v>
      </c>
      <c r="B662" s="35" t="s">
        <v>1687</v>
      </c>
      <c r="C662" s="35" t="s">
        <v>1688</v>
      </c>
      <c r="D662" s="35" t="s">
        <v>1689</v>
      </c>
    </row>
    <row r="663" spans="1:4" ht="14.25" customHeight="1" x14ac:dyDescent="0.3">
      <c r="A663" s="36" t="s">
        <v>1690</v>
      </c>
      <c r="B663" s="60" t="s">
        <v>1691</v>
      </c>
      <c r="C663" s="61" t="s">
        <v>1692</v>
      </c>
      <c r="D663" s="36" t="s">
        <v>1693</v>
      </c>
    </row>
    <row r="664" spans="1:4" ht="14.25" customHeight="1" x14ac:dyDescent="0.3">
      <c r="A664" s="36" t="s">
        <v>1690</v>
      </c>
      <c r="B664" s="60" t="s">
        <v>1691</v>
      </c>
      <c r="C664" s="61" t="s">
        <v>1692</v>
      </c>
      <c r="D664" s="36" t="s">
        <v>155</v>
      </c>
    </row>
    <row r="665" spans="1:4" ht="14.25" customHeight="1" x14ac:dyDescent="0.3">
      <c r="A665" s="36" t="s">
        <v>1690</v>
      </c>
      <c r="B665" s="60" t="s">
        <v>1691</v>
      </c>
      <c r="C665" s="61" t="s">
        <v>1692</v>
      </c>
      <c r="D665" s="36" t="s">
        <v>562</v>
      </c>
    </row>
    <row r="666" spans="1:4" ht="14.25" customHeight="1" x14ac:dyDescent="0.3">
      <c r="A666" s="36" t="s">
        <v>1694</v>
      </c>
      <c r="B666" s="62" t="s">
        <v>196</v>
      </c>
      <c r="C666" s="61" t="s">
        <v>907</v>
      </c>
      <c r="D666" s="36" t="s">
        <v>1695</v>
      </c>
    </row>
    <row r="667" spans="1:4" ht="14.25" customHeight="1" x14ac:dyDescent="0.3">
      <c r="A667" s="36" t="s">
        <v>1694</v>
      </c>
      <c r="B667" s="62" t="s">
        <v>196</v>
      </c>
      <c r="C667" s="61" t="s">
        <v>907</v>
      </c>
      <c r="D667" s="36" t="s">
        <v>1696</v>
      </c>
    </row>
    <row r="668" spans="1:4" ht="14.25" customHeight="1" x14ac:dyDescent="0.3">
      <c r="A668" s="36" t="s">
        <v>1694</v>
      </c>
      <c r="B668" s="62" t="s">
        <v>196</v>
      </c>
      <c r="C668" s="61" t="s">
        <v>907</v>
      </c>
      <c r="D668" s="36" t="s">
        <v>1697</v>
      </c>
    </row>
    <row r="669" spans="1:4" ht="14.25" customHeight="1" x14ac:dyDescent="0.3">
      <c r="A669" s="36" t="s">
        <v>1694</v>
      </c>
      <c r="B669" s="62" t="s">
        <v>196</v>
      </c>
      <c r="C669" s="61" t="s">
        <v>907</v>
      </c>
      <c r="D669" s="36" t="s">
        <v>1698</v>
      </c>
    </row>
    <row r="670" spans="1:4" ht="14.25" customHeight="1" x14ac:dyDescent="0.3">
      <c r="A670" s="36" t="s">
        <v>1699</v>
      </c>
      <c r="B670" s="62" t="s">
        <v>119</v>
      </c>
      <c r="C670" s="61" t="s">
        <v>1700</v>
      </c>
      <c r="D670" s="36" t="s">
        <v>1701</v>
      </c>
    </row>
    <row r="671" spans="1:4" ht="14.25" customHeight="1" x14ac:dyDescent="0.3">
      <c r="A671" s="36" t="s">
        <v>1699</v>
      </c>
      <c r="B671" s="62" t="s">
        <v>119</v>
      </c>
      <c r="C671" s="61" t="s">
        <v>1700</v>
      </c>
      <c r="D671" s="36" t="s">
        <v>709</v>
      </c>
    </row>
    <row r="672" spans="1:4" ht="14.25" customHeight="1" x14ac:dyDescent="0.3">
      <c r="A672" s="36" t="s">
        <v>1699</v>
      </c>
      <c r="B672" s="62" t="s">
        <v>119</v>
      </c>
      <c r="C672" s="61" t="s">
        <v>1700</v>
      </c>
      <c r="D672" s="36" t="s">
        <v>729</v>
      </c>
    </row>
    <row r="673" spans="1:4" ht="14.25" customHeight="1" x14ac:dyDescent="0.3">
      <c r="A673" s="36" t="s">
        <v>1699</v>
      </c>
      <c r="B673" s="62" t="s">
        <v>119</v>
      </c>
      <c r="C673" s="61" t="s">
        <v>1700</v>
      </c>
      <c r="D673" s="36" t="s">
        <v>982</v>
      </c>
    </row>
    <row r="674" spans="1:4" ht="14.25" customHeight="1" x14ac:dyDescent="0.3">
      <c r="A674" s="36" t="s">
        <v>97</v>
      </c>
      <c r="B674" s="62" t="s">
        <v>98</v>
      </c>
      <c r="C674" s="61" t="s">
        <v>1702</v>
      </c>
      <c r="D674" s="36" t="s">
        <v>1703</v>
      </c>
    </row>
    <row r="675" spans="1:4" ht="14.25" customHeight="1" x14ac:dyDescent="0.3">
      <c r="A675" s="36" t="s">
        <v>97</v>
      </c>
      <c r="B675" s="62" t="s">
        <v>98</v>
      </c>
      <c r="C675" s="61" t="s">
        <v>1702</v>
      </c>
      <c r="D675" s="36" t="s">
        <v>1704</v>
      </c>
    </row>
    <row r="676" spans="1:4" ht="14.25" customHeight="1" x14ac:dyDescent="0.3">
      <c r="A676" s="36" t="s">
        <v>97</v>
      </c>
      <c r="B676" s="62" t="s">
        <v>98</v>
      </c>
      <c r="C676" s="61" t="s">
        <v>1702</v>
      </c>
      <c r="D676" s="36" t="s">
        <v>1705</v>
      </c>
    </row>
    <row r="677" spans="1:4" ht="14.25" customHeight="1" x14ac:dyDescent="0.3">
      <c r="A677" s="36" t="s">
        <v>97</v>
      </c>
      <c r="B677" s="62" t="s">
        <v>98</v>
      </c>
      <c r="C677" s="61" t="s">
        <v>1702</v>
      </c>
      <c r="D677" s="36" t="s">
        <v>1706</v>
      </c>
    </row>
    <row r="678" spans="1:4" ht="14.25" customHeight="1" x14ac:dyDescent="0.3">
      <c r="A678" s="36" t="s">
        <v>97</v>
      </c>
      <c r="B678" s="62" t="s">
        <v>98</v>
      </c>
      <c r="C678" s="61" t="s">
        <v>1702</v>
      </c>
      <c r="D678" s="36" t="s">
        <v>1707</v>
      </c>
    </row>
    <row r="679" spans="1:4" ht="14.25" customHeight="1" x14ac:dyDescent="0.3">
      <c r="A679" s="36" t="s">
        <v>685</v>
      </c>
      <c r="B679" s="62" t="s">
        <v>1708</v>
      </c>
      <c r="C679" s="61" t="s">
        <v>1709</v>
      </c>
      <c r="D679" s="36" t="s">
        <v>1710</v>
      </c>
    </row>
    <row r="680" spans="1:4" ht="14.25" customHeight="1" x14ac:dyDescent="0.3">
      <c r="A680" s="36" t="s">
        <v>685</v>
      </c>
      <c r="B680" s="62" t="s">
        <v>1708</v>
      </c>
      <c r="C680" s="61" t="s">
        <v>1709</v>
      </c>
      <c r="D680" s="36" t="s">
        <v>1711</v>
      </c>
    </row>
    <row r="681" spans="1:4" ht="14.25" customHeight="1" x14ac:dyDescent="0.3">
      <c r="A681" s="36" t="s">
        <v>685</v>
      </c>
      <c r="B681" s="62" t="s">
        <v>1708</v>
      </c>
      <c r="C681" s="61" t="s">
        <v>1709</v>
      </c>
      <c r="D681" s="36" t="s">
        <v>1712</v>
      </c>
    </row>
    <row r="682" spans="1:4" ht="14.25" customHeight="1" x14ac:dyDescent="0.3">
      <c r="A682" s="36" t="s">
        <v>1713</v>
      </c>
      <c r="B682" s="62" t="s">
        <v>1714</v>
      </c>
      <c r="C682" s="61" t="s">
        <v>1715</v>
      </c>
      <c r="D682" s="36" t="s">
        <v>1716</v>
      </c>
    </row>
    <row r="683" spans="1:4" ht="14.25" customHeight="1" x14ac:dyDescent="0.3">
      <c r="A683" s="36" t="s">
        <v>1713</v>
      </c>
      <c r="B683" s="62" t="s">
        <v>1714</v>
      </c>
      <c r="C683" s="61" t="s">
        <v>1715</v>
      </c>
      <c r="D683" s="36" t="s">
        <v>1717</v>
      </c>
    </row>
    <row r="684" spans="1:4" ht="14.25" customHeight="1" x14ac:dyDescent="0.3">
      <c r="A684" s="36" t="s">
        <v>1713</v>
      </c>
      <c r="B684" s="62" t="s">
        <v>1718</v>
      </c>
      <c r="C684" s="61" t="s">
        <v>1715</v>
      </c>
      <c r="D684" s="36" t="s">
        <v>1719</v>
      </c>
    </row>
    <row r="685" spans="1:4" ht="14.25" customHeight="1" x14ac:dyDescent="0.3">
      <c r="A685" s="36" t="s">
        <v>436</v>
      </c>
      <c r="B685" s="62" t="s">
        <v>437</v>
      </c>
      <c r="C685" s="61" t="s">
        <v>1720</v>
      </c>
      <c r="D685" s="36" t="s">
        <v>1721</v>
      </c>
    </row>
    <row r="686" spans="1:4" ht="14.25" customHeight="1" x14ac:dyDescent="0.3">
      <c r="A686" s="36" t="s">
        <v>436</v>
      </c>
      <c r="B686" s="62" t="s">
        <v>437</v>
      </c>
      <c r="C686" s="61" t="s">
        <v>1720</v>
      </c>
      <c r="D686" s="36" t="s">
        <v>924</v>
      </c>
    </row>
    <row r="687" spans="1:4" ht="14.25" customHeight="1" x14ac:dyDescent="0.3">
      <c r="A687" s="36" t="s">
        <v>436</v>
      </c>
      <c r="B687" s="12" t="s">
        <v>437</v>
      </c>
      <c r="C687" s="61" t="s">
        <v>1720</v>
      </c>
      <c r="D687" s="36" t="s">
        <v>1722</v>
      </c>
    </row>
    <row r="688" spans="1:4" ht="14.25" customHeight="1" x14ac:dyDescent="0.3">
      <c r="A688" s="36" t="s">
        <v>436</v>
      </c>
      <c r="B688" s="12" t="s">
        <v>437</v>
      </c>
      <c r="C688" s="61" t="s">
        <v>1720</v>
      </c>
      <c r="D688" s="36" t="s">
        <v>1723</v>
      </c>
    </row>
    <row r="689" spans="1:12" ht="14.25" customHeight="1" x14ac:dyDescent="0.3">
      <c r="A689" s="46"/>
      <c r="B689" s="54"/>
      <c r="C689" s="46"/>
      <c r="D689" s="46"/>
    </row>
    <row r="690" spans="1:12" ht="14.25" customHeight="1" x14ac:dyDescent="0.3">
      <c r="A690" s="37"/>
      <c r="B690" s="55"/>
      <c r="C690" s="46"/>
      <c r="D690" s="46"/>
    </row>
    <row r="691" spans="1:12" ht="14.25" customHeight="1" x14ac:dyDescent="0.3">
      <c r="A691" s="37"/>
      <c r="B691" s="55"/>
      <c r="C691" s="46"/>
      <c r="D691" s="46"/>
    </row>
    <row r="692" spans="1:12" ht="14.25" customHeight="1" x14ac:dyDescent="0.3">
      <c r="A692" s="35" t="s">
        <v>1724</v>
      </c>
      <c r="B692" s="55"/>
      <c r="C692" s="46"/>
      <c r="D692" s="46"/>
    </row>
    <row r="693" spans="1:12" ht="14.25" customHeight="1" x14ac:dyDescent="0.3">
      <c r="A693" s="56" t="s">
        <v>1738</v>
      </c>
      <c r="B693" s="55"/>
      <c r="C693" s="46"/>
      <c r="D693" s="46"/>
    </row>
    <row r="694" spans="1:12" ht="14.25" customHeight="1" x14ac:dyDescent="0.3">
      <c r="A694" s="56" t="s">
        <v>129</v>
      </c>
      <c r="B694" s="55"/>
      <c r="C694" s="46"/>
      <c r="D694" s="46"/>
    </row>
    <row r="695" spans="1:12" ht="14.25" customHeight="1" x14ac:dyDescent="0.3">
      <c r="A695" s="31" t="s">
        <v>803</v>
      </c>
      <c r="B695" s="46"/>
      <c r="C695" s="46"/>
      <c r="D695" s="46"/>
    </row>
    <row r="696" spans="1:12" ht="14.25" customHeight="1" x14ac:dyDescent="0.3">
      <c r="A696" s="31"/>
      <c r="B696" s="46"/>
      <c r="C696" s="46"/>
      <c r="D696" s="46"/>
    </row>
    <row r="697" spans="1:12" ht="14.25" customHeight="1" x14ac:dyDescent="0.3">
      <c r="A697" s="46"/>
      <c r="B697" s="46"/>
      <c r="C697" s="46"/>
      <c r="D697" s="46"/>
    </row>
    <row r="698" spans="1:12" ht="14.25" customHeight="1" x14ac:dyDescent="0.3">
      <c r="A698" s="35" t="s">
        <v>1726</v>
      </c>
      <c r="B698" s="46"/>
      <c r="C698" s="46"/>
      <c r="D698" s="46"/>
    </row>
    <row r="699" spans="1:12" ht="14.25" customHeight="1" x14ac:dyDescent="0.3">
      <c r="A699" s="35" t="s">
        <v>1727</v>
      </c>
      <c r="B699" s="35" t="s">
        <v>1728</v>
      </c>
      <c r="C699" s="35" t="s">
        <v>1729</v>
      </c>
      <c r="D699" s="35" t="s">
        <v>1739</v>
      </c>
      <c r="E699" s="35" t="s">
        <v>1155</v>
      </c>
      <c r="F699" s="35" t="s">
        <v>1740</v>
      </c>
      <c r="G699" s="35" t="s">
        <v>901</v>
      </c>
      <c r="H699" s="35" t="s">
        <v>1741</v>
      </c>
      <c r="I699" s="35" t="s">
        <v>1742</v>
      </c>
      <c r="J699" s="63" t="s">
        <v>1743</v>
      </c>
      <c r="K699" s="35" t="s">
        <v>1744</v>
      </c>
      <c r="L699" s="35" t="s">
        <v>1745</v>
      </c>
    </row>
    <row r="700" spans="1:12" ht="14.25" customHeight="1" x14ac:dyDescent="0.3">
      <c r="A700" s="308" t="s">
        <v>1730</v>
      </c>
      <c r="B700" s="57">
        <v>19</v>
      </c>
      <c r="C700" s="57" t="s">
        <v>1731</v>
      </c>
      <c r="D700" s="57" t="s">
        <v>1746</v>
      </c>
      <c r="E700" s="64" t="s">
        <v>1747</v>
      </c>
      <c r="F700" s="64" t="s">
        <v>1748</v>
      </c>
      <c r="G700" s="65" t="s">
        <v>1749</v>
      </c>
      <c r="H700" s="65" t="s">
        <v>1750</v>
      </c>
      <c r="I700" s="65" t="s">
        <v>1751</v>
      </c>
      <c r="J700" s="66" t="s">
        <v>727</v>
      </c>
      <c r="K700" s="66" t="s">
        <v>1752</v>
      </c>
      <c r="L700" s="67" t="s">
        <v>1753</v>
      </c>
    </row>
    <row r="701" spans="1:12" ht="14.25" customHeight="1" x14ac:dyDescent="0.3">
      <c r="A701" s="309"/>
      <c r="B701" s="58">
        <v>19</v>
      </c>
      <c r="C701" s="58" t="s">
        <v>1731</v>
      </c>
      <c r="D701" s="58" t="s">
        <v>1754</v>
      </c>
      <c r="E701" s="68" t="s">
        <v>1755</v>
      </c>
      <c r="F701" s="68" t="s">
        <v>1748</v>
      </c>
      <c r="G701" s="69" t="s">
        <v>1756</v>
      </c>
      <c r="H701" s="69" t="s">
        <v>1757</v>
      </c>
      <c r="I701" s="69" t="s">
        <v>1758</v>
      </c>
      <c r="J701" s="70" t="s">
        <v>1759</v>
      </c>
      <c r="K701" s="70" t="s">
        <v>1760</v>
      </c>
      <c r="L701" s="70" t="s">
        <v>1761</v>
      </c>
    </row>
    <row r="702" spans="1:12" ht="14.25" customHeight="1" x14ac:dyDescent="0.3">
      <c r="A702" s="309"/>
      <c r="B702" s="58">
        <v>19</v>
      </c>
      <c r="C702" s="58" t="s">
        <v>1731</v>
      </c>
      <c r="D702" s="58" t="s">
        <v>1762</v>
      </c>
      <c r="E702" s="68" t="s">
        <v>1763</v>
      </c>
      <c r="F702" s="68" t="s">
        <v>1748</v>
      </c>
      <c r="G702" s="69" t="s">
        <v>1756</v>
      </c>
      <c r="H702" s="69" t="s">
        <v>1757</v>
      </c>
      <c r="I702" s="69" t="s">
        <v>1764</v>
      </c>
      <c r="J702" s="70" t="s">
        <v>1765</v>
      </c>
      <c r="K702" s="70" t="s">
        <v>1766</v>
      </c>
      <c r="L702" s="70" t="s">
        <v>1767</v>
      </c>
    </row>
    <row r="703" spans="1:12" ht="14.25" customHeight="1" x14ac:dyDescent="0.3">
      <c r="A703" s="309"/>
      <c r="B703" s="58">
        <v>19</v>
      </c>
      <c r="C703" s="58" t="s">
        <v>1731</v>
      </c>
      <c r="D703" s="58" t="s">
        <v>1768</v>
      </c>
      <c r="E703" s="68" t="s">
        <v>1769</v>
      </c>
      <c r="F703" s="68" t="s">
        <v>1748</v>
      </c>
      <c r="G703" s="69" t="s">
        <v>1756</v>
      </c>
      <c r="H703" s="69" t="s">
        <v>1757</v>
      </c>
      <c r="I703" s="69" t="s">
        <v>1770</v>
      </c>
      <c r="J703" s="70" t="s">
        <v>1771</v>
      </c>
      <c r="K703" s="70" t="s">
        <v>1772</v>
      </c>
      <c r="L703" s="70" t="s">
        <v>1773</v>
      </c>
    </row>
    <row r="704" spans="1:12" ht="14.25" customHeight="1" x14ac:dyDescent="0.3">
      <c r="A704" s="310"/>
      <c r="B704" s="59">
        <v>19</v>
      </c>
      <c r="C704" s="59" t="s">
        <v>1731</v>
      </c>
      <c r="D704" s="59" t="s">
        <v>1774</v>
      </c>
      <c r="E704" s="71" t="s">
        <v>1775</v>
      </c>
      <c r="F704" s="71" t="s">
        <v>1748</v>
      </c>
      <c r="G704" s="72" t="s">
        <v>1749</v>
      </c>
      <c r="H704" s="72" t="s">
        <v>1750</v>
      </c>
      <c r="I704" s="72" t="s">
        <v>1776</v>
      </c>
      <c r="J704" s="73" t="s">
        <v>1777</v>
      </c>
      <c r="K704" s="73" t="s">
        <v>1778</v>
      </c>
      <c r="L704" s="73" t="s">
        <v>1779</v>
      </c>
    </row>
    <row r="705" spans="1:12" ht="14.25" customHeight="1" x14ac:dyDescent="0.3">
      <c r="A705" s="308" t="s">
        <v>104</v>
      </c>
      <c r="B705" s="57">
        <v>19</v>
      </c>
      <c r="C705" s="57" t="s">
        <v>1732</v>
      </c>
      <c r="D705" s="57" t="s">
        <v>1780</v>
      </c>
      <c r="E705" s="64" t="s">
        <v>1781</v>
      </c>
      <c r="F705" s="64" t="s">
        <v>1782</v>
      </c>
      <c r="G705" s="74" t="s">
        <v>1756</v>
      </c>
      <c r="H705" s="74" t="s">
        <v>1757</v>
      </c>
      <c r="I705" s="65" t="s">
        <v>1783</v>
      </c>
      <c r="J705" s="67" t="s">
        <v>750</v>
      </c>
      <c r="K705" s="67" t="s">
        <v>1784</v>
      </c>
      <c r="L705" s="67" t="s">
        <v>1785</v>
      </c>
    </row>
    <row r="706" spans="1:12" ht="14.25" customHeight="1" x14ac:dyDescent="0.3">
      <c r="A706" s="309"/>
      <c r="B706" s="58">
        <v>19</v>
      </c>
      <c r="C706" s="58" t="s">
        <v>1732</v>
      </c>
      <c r="D706" s="58" t="s">
        <v>1786</v>
      </c>
      <c r="E706" s="68" t="s">
        <v>1787</v>
      </c>
      <c r="F706" s="68" t="s">
        <v>1782</v>
      </c>
      <c r="G706" s="75" t="s">
        <v>1756</v>
      </c>
      <c r="H706" s="75" t="s">
        <v>1757</v>
      </c>
      <c r="I706" s="69" t="s">
        <v>1788</v>
      </c>
      <c r="J706" s="76" t="s">
        <v>1789</v>
      </c>
      <c r="K706" s="76" t="s">
        <v>1790</v>
      </c>
      <c r="L706" s="76" t="s">
        <v>1791</v>
      </c>
    </row>
    <row r="707" spans="1:12" ht="14.25" customHeight="1" x14ac:dyDescent="0.3">
      <c r="A707" s="309"/>
      <c r="B707" s="58">
        <v>19</v>
      </c>
      <c r="C707" s="58" t="s">
        <v>1732</v>
      </c>
      <c r="D707" s="58" t="s">
        <v>1792</v>
      </c>
      <c r="E707" s="68" t="s">
        <v>1793</v>
      </c>
      <c r="F707" s="68" t="s">
        <v>1782</v>
      </c>
      <c r="G707" s="75" t="s">
        <v>1756</v>
      </c>
      <c r="H707" s="75" t="s">
        <v>1757</v>
      </c>
      <c r="I707" s="69" t="s">
        <v>1794</v>
      </c>
      <c r="J707" s="76" t="s">
        <v>1795</v>
      </c>
      <c r="K707" s="76" t="s">
        <v>1796</v>
      </c>
      <c r="L707" s="76" t="s">
        <v>1797</v>
      </c>
    </row>
    <row r="708" spans="1:12" ht="14.25" customHeight="1" x14ac:dyDescent="0.3">
      <c r="A708" s="309"/>
      <c r="B708" s="58">
        <v>19</v>
      </c>
      <c r="C708" s="58" t="s">
        <v>1732</v>
      </c>
      <c r="D708" s="58" t="s">
        <v>1798</v>
      </c>
      <c r="E708" s="68" t="s">
        <v>1799</v>
      </c>
      <c r="F708" s="68" t="s">
        <v>1782</v>
      </c>
      <c r="G708" s="75" t="s">
        <v>1756</v>
      </c>
      <c r="H708" s="75" t="s">
        <v>1757</v>
      </c>
      <c r="I708" s="69" t="s">
        <v>1800</v>
      </c>
      <c r="J708" s="76" t="s">
        <v>1801</v>
      </c>
      <c r="K708" s="76" t="s">
        <v>1802</v>
      </c>
      <c r="L708" s="76" t="s">
        <v>1797</v>
      </c>
    </row>
    <row r="709" spans="1:12" ht="14.25" customHeight="1" x14ac:dyDescent="0.3">
      <c r="A709" s="309"/>
      <c r="B709" s="58">
        <v>19</v>
      </c>
      <c r="C709" s="58" t="s">
        <v>1732</v>
      </c>
      <c r="D709" s="58" t="s">
        <v>1803</v>
      </c>
      <c r="E709" s="68" t="s">
        <v>1804</v>
      </c>
      <c r="F709" s="68" t="s">
        <v>1782</v>
      </c>
      <c r="G709" s="75" t="s">
        <v>1756</v>
      </c>
      <c r="H709" s="75" t="s">
        <v>1757</v>
      </c>
      <c r="I709" s="69" t="s">
        <v>1805</v>
      </c>
      <c r="J709" s="76" t="s">
        <v>1806</v>
      </c>
      <c r="K709" s="76" t="s">
        <v>1807</v>
      </c>
      <c r="L709" s="76" t="s">
        <v>1797</v>
      </c>
    </row>
    <row r="710" spans="1:12" ht="14.25" customHeight="1" x14ac:dyDescent="0.3">
      <c r="A710" s="309"/>
      <c r="B710" s="58">
        <v>19</v>
      </c>
      <c r="C710" s="58" t="s">
        <v>1732</v>
      </c>
      <c r="D710" s="58" t="s">
        <v>1808</v>
      </c>
      <c r="E710" s="68" t="s">
        <v>1809</v>
      </c>
      <c r="F710" s="68" t="s">
        <v>1782</v>
      </c>
      <c r="G710" s="75" t="s">
        <v>1756</v>
      </c>
      <c r="H710" s="75" t="s">
        <v>1757</v>
      </c>
      <c r="I710" s="69" t="s">
        <v>1810</v>
      </c>
      <c r="J710" s="76" t="s">
        <v>1811</v>
      </c>
      <c r="K710" s="76" t="s">
        <v>1812</v>
      </c>
      <c r="L710" s="76" t="s">
        <v>1797</v>
      </c>
    </row>
    <row r="711" spans="1:12" ht="14.25" customHeight="1" x14ac:dyDescent="0.3">
      <c r="A711" s="309"/>
      <c r="B711" s="58">
        <v>19</v>
      </c>
      <c r="C711" s="58" t="s">
        <v>1732</v>
      </c>
      <c r="D711" s="58" t="s">
        <v>1813</v>
      </c>
      <c r="E711" s="68" t="s">
        <v>1814</v>
      </c>
      <c r="F711" s="68" t="s">
        <v>1782</v>
      </c>
      <c r="G711" s="75" t="s">
        <v>1756</v>
      </c>
      <c r="H711" s="75" t="s">
        <v>1757</v>
      </c>
      <c r="I711" s="69" t="s">
        <v>1815</v>
      </c>
      <c r="J711" s="76" t="s">
        <v>1816</v>
      </c>
      <c r="K711" s="76" t="s">
        <v>1817</v>
      </c>
      <c r="L711" s="76" t="s">
        <v>1818</v>
      </c>
    </row>
    <row r="712" spans="1:12" ht="14.25" customHeight="1" x14ac:dyDescent="0.3">
      <c r="A712" s="309"/>
      <c r="B712" s="58">
        <v>19</v>
      </c>
      <c r="C712" s="58" t="s">
        <v>1732</v>
      </c>
      <c r="D712" s="58" t="s">
        <v>1819</v>
      </c>
      <c r="E712" s="68" t="s">
        <v>1820</v>
      </c>
      <c r="F712" s="68" t="s">
        <v>1782</v>
      </c>
      <c r="G712" s="75" t="s">
        <v>1756</v>
      </c>
      <c r="H712" s="75" t="s">
        <v>1757</v>
      </c>
      <c r="I712" s="69" t="s">
        <v>1821</v>
      </c>
      <c r="J712" s="76" t="s">
        <v>1822</v>
      </c>
      <c r="K712" s="76" t="s">
        <v>1823</v>
      </c>
      <c r="L712" s="76" t="s">
        <v>1818</v>
      </c>
    </row>
    <row r="713" spans="1:12" ht="14.25" customHeight="1" x14ac:dyDescent="0.3">
      <c r="A713" s="309"/>
      <c r="B713" s="58">
        <v>19</v>
      </c>
      <c r="C713" s="58" t="s">
        <v>1732</v>
      </c>
      <c r="D713" s="58" t="s">
        <v>1824</v>
      </c>
      <c r="E713" s="68" t="s">
        <v>1825</v>
      </c>
      <c r="F713" s="68" t="s">
        <v>1782</v>
      </c>
      <c r="G713" s="75" t="s">
        <v>1756</v>
      </c>
      <c r="H713" s="75" t="s">
        <v>1757</v>
      </c>
      <c r="I713" s="69" t="s">
        <v>1826</v>
      </c>
      <c r="J713" s="76" t="s">
        <v>1827</v>
      </c>
      <c r="K713" s="76" t="s">
        <v>1828</v>
      </c>
      <c r="L713" s="76" t="s">
        <v>1818</v>
      </c>
    </row>
    <row r="714" spans="1:12" ht="14.25" customHeight="1" x14ac:dyDescent="0.3">
      <c r="A714" s="309"/>
      <c r="B714" s="58">
        <v>19</v>
      </c>
      <c r="C714" s="58" t="s">
        <v>1732</v>
      </c>
      <c r="D714" s="58" t="s">
        <v>1829</v>
      </c>
      <c r="E714" s="68" t="s">
        <v>1830</v>
      </c>
      <c r="F714" s="68" t="s">
        <v>1782</v>
      </c>
      <c r="G714" s="75" t="s">
        <v>1756</v>
      </c>
      <c r="H714" s="75" t="s">
        <v>1831</v>
      </c>
      <c r="I714" s="69" t="s">
        <v>1832</v>
      </c>
      <c r="J714" s="76" t="s">
        <v>1833</v>
      </c>
      <c r="K714" s="76" t="s">
        <v>1834</v>
      </c>
      <c r="L714" s="76" t="s">
        <v>1818</v>
      </c>
    </row>
    <row r="715" spans="1:12" ht="14.25" customHeight="1" x14ac:dyDescent="0.3">
      <c r="A715" s="309"/>
      <c r="B715" s="58">
        <v>19</v>
      </c>
      <c r="C715" s="58" t="s">
        <v>1732</v>
      </c>
      <c r="D715" s="58" t="s">
        <v>1835</v>
      </c>
      <c r="E715" s="68" t="s">
        <v>1836</v>
      </c>
      <c r="F715" s="68" t="s">
        <v>1782</v>
      </c>
      <c r="G715" s="75" t="s">
        <v>1756</v>
      </c>
      <c r="H715" s="75" t="s">
        <v>1831</v>
      </c>
      <c r="I715" s="69" t="s">
        <v>1837</v>
      </c>
      <c r="J715" s="76" t="s">
        <v>1838</v>
      </c>
      <c r="K715" s="76" t="s">
        <v>1839</v>
      </c>
      <c r="L715" s="76" t="s">
        <v>1818</v>
      </c>
    </row>
    <row r="716" spans="1:12" ht="14.25" customHeight="1" x14ac:dyDescent="0.3">
      <c r="A716" s="309"/>
      <c r="B716" s="58">
        <v>19</v>
      </c>
      <c r="C716" s="58" t="s">
        <v>1732</v>
      </c>
      <c r="D716" s="58" t="s">
        <v>1840</v>
      </c>
      <c r="E716" s="68" t="s">
        <v>1841</v>
      </c>
      <c r="F716" s="68" t="s">
        <v>1782</v>
      </c>
      <c r="G716" s="75" t="s">
        <v>1756</v>
      </c>
      <c r="H716" s="75" t="s">
        <v>1750</v>
      </c>
      <c r="I716" s="69" t="s">
        <v>1842</v>
      </c>
      <c r="J716" s="76" t="s">
        <v>1843</v>
      </c>
      <c r="K716" s="76" t="s">
        <v>1844</v>
      </c>
      <c r="L716" s="76" t="s">
        <v>1845</v>
      </c>
    </row>
    <row r="717" spans="1:12" ht="14.25" customHeight="1" x14ac:dyDescent="0.3">
      <c r="A717" s="309"/>
      <c r="B717" s="58">
        <v>19</v>
      </c>
      <c r="C717" s="58" t="s">
        <v>1732</v>
      </c>
      <c r="D717" s="58" t="s">
        <v>1846</v>
      </c>
      <c r="E717" s="68" t="s">
        <v>1847</v>
      </c>
      <c r="F717" s="68" t="s">
        <v>1782</v>
      </c>
      <c r="G717" s="75" t="s">
        <v>1848</v>
      </c>
      <c r="H717" s="75" t="s">
        <v>1757</v>
      </c>
      <c r="I717" s="69" t="s">
        <v>1849</v>
      </c>
      <c r="J717" s="76" t="s">
        <v>1850</v>
      </c>
      <c r="K717" s="76" t="s">
        <v>1851</v>
      </c>
      <c r="L717" s="76" t="s">
        <v>1845</v>
      </c>
    </row>
    <row r="718" spans="1:12" ht="14.25" customHeight="1" x14ac:dyDescent="0.3">
      <c r="A718" s="309"/>
      <c r="B718" s="58">
        <v>19</v>
      </c>
      <c r="C718" s="58" t="s">
        <v>1732</v>
      </c>
      <c r="D718" s="58" t="s">
        <v>1852</v>
      </c>
      <c r="E718" s="68" t="s">
        <v>1853</v>
      </c>
      <c r="F718" s="68" t="s">
        <v>1782</v>
      </c>
      <c r="G718" s="75" t="s">
        <v>1848</v>
      </c>
      <c r="H718" s="75" t="s">
        <v>1831</v>
      </c>
      <c r="I718" s="69" t="s">
        <v>1854</v>
      </c>
      <c r="J718" s="76" t="s">
        <v>1855</v>
      </c>
      <c r="K718" s="76" t="s">
        <v>1856</v>
      </c>
      <c r="L718" s="76" t="s">
        <v>1845</v>
      </c>
    </row>
    <row r="719" spans="1:12" ht="14.25" customHeight="1" x14ac:dyDescent="0.3">
      <c r="A719" s="309"/>
      <c r="B719" s="58">
        <v>19</v>
      </c>
      <c r="C719" s="58" t="s">
        <v>1732</v>
      </c>
      <c r="D719" s="58" t="s">
        <v>1857</v>
      </c>
      <c r="E719" s="68" t="s">
        <v>1858</v>
      </c>
      <c r="F719" s="68" t="s">
        <v>1782</v>
      </c>
      <c r="G719" s="75" t="s">
        <v>1848</v>
      </c>
      <c r="H719" s="75" t="s">
        <v>1831</v>
      </c>
      <c r="I719" s="69" t="s">
        <v>1859</v>
      </c>
      <c r="J719" s="76" t="s">
        <v>1860</v>
      </c>
      <c r="K719" s="76" t="s">
        <v>1861</v>
      </c>
      <c r="L719" s="76" t="s">
        <v>1845</v>
      </c>
    </row>
    <row r="720" spans="1:12" ht="14.25" customHeight="1" x14ac:dyDescent="0.3">
      <c r="A720" s="309"/>
      <c r="B720" s="58">
        <v>19</v>
      </c>
      <c r="C720" s="58" t="s">
        <v>1732</v>
      </c>
      <c r="D720" s="58" t="s">
        <v>1862</v>
      </c>
      <c r="E720" s="68" t="s">
        <v>1863</v>
      </c>
      <c r="F720" s="68" t="s">
        <v>1782</v>
      </c>
      <c r="G720" s="75" t="s">
        <v>1848</v>
      </c>
      <c r="H720" s="75" t="s">
        <v>1750</v>
      </c>
      <c r="I720" s="69" t="s">
        <v>1864</v>
      </c>
      <c r="J720" s="76" t="s">
        <v>1865</v>
      </c>
      <c r="K720" s="77" t="s">
        <v>1866</v>
      </c>
      <c r="L720" s="76" t="s">
        <v>1845</v>
      </c>
    </row>
    <row r="721" spans="1:12" ht="14.25" customHeight="1" x14ac:dyDescent="0.3">
      <c r="A721" s="309"/>
      <c r="B721" s="58">
        <v>19</v>
      </c>
      <c r="C721" s="58" t="s">
        <v>1732</v>
      </c>
      <c r="D721" s="58" t="s">
        <v>1867</v>
      </c>
      <c r="E721" s="68" t="s">
        <v>1868</v>
      </c>
      <c r="F721" s="68" t="s">
        <v>1782</v>
      </c>
      <c r="G721" s="75" t="s">
        <v>1869</v>
      </c>
      <c r="H721" s="75" t="s">
        <v>1757</v>
      </c>
      <c r="I721" s="69" t="s">
        <v>1870</v>
      </c>
      <c r="J721" s="76" t="s">
        <v>1871</v>
      </c>
      <c r="K721" s="77" t="s">
        <v>1872</v>
      </c>
      <c r="L721" s="76" t="s">
        <v>1845</v>
      </c>
    </row>
    <row r="722" spans="1:12" ht="14.25" customHeight="1" x14ac:dyDescent="0.3">
      <c r="A722" s="309"/>
      <c r="B722" s="58">
        <v>19</v>
      </c>
      <c r="C722" s="58" t="s">
        <v>1732</v>
      </c>
      <c r="D722" s="58" t="s">
        <v>1873</v>
      </c>
      <c r="E722" s="68" t="s">
        <v>1874</v>
      </c>
      <c r="F722" s="68" t="s">
        <v>1782</v>
      </c>
      <c r="G722" s="75" t="s">
        <v>1869</v>
      </c>
      <c r="H722" s="75" t="s">
        <v>1831</v>
      </c>
      <c r="I722" s="69" t="s">
        <v>1875</v>
      </c>
      <c r="J722" s="76" t="s">
        <v>1876</v>
      </c>
      <c r="K722" s="70" t="s">
        <v>1877</v>
      </c>
      <c r="L722" s="76" t="s">
        <v>1845</v>
      </c>
    </row>
    <row r="723" spans="1:12" ht="14.25" customHeight="1" x14ac:dyDescent="0.3">
      <c r="A723" s="309"/>
      <c r="B723" s="58">
        <v>19</v>
      </c>
      <c r="C723" s="58" t="s">
        <v>1732</v>
      </c>
      <c r="D723" s="58" t="s">
        <v>1878</v>
      </c>
      <c r="E723" s="68" t="s">
        <v>1879</v>
      </c>
      <c r="F723" s="68" t="s">
        <v>1782</v>
      </c>
      <c r="G723" s="75" t="s">
        <v>1869</v>
      </c>
      <c r="H723" s="75" t="s">
        <v>1831</v>
      </c>
      <c r="I723" s="69" t="s">
        <v>1880</v>
      </c>
      <c r="J723" s="76" t="s">
        <v>1881</v>
      </c>
      <c r="K723" s="76" t="s">
        <v>1882</v>
      </c>
      <c r="L723" s="76" t="s">
        <v>1845</v>
      </c>
    </row>
    <row r="724" spans="1:12" ht="14.25" customHeight="1" x14ac:dyDescent="0.3">
      <c r="A724" s="309"/>
      <c r="B724" s="58">
        <v>19</v>
      </c>
      <c r="C724" s="58" t="s">
        <v>1732</v>
      </c>
      <c r="D724" s="58" t="s">
        <v>1883</v>
      </c>
      <c r="E724" s="68" t="s">
        <v>1884</v>
      </c>
      <c r="F724" s="68" t="s">
        <v>1782</v>
      </c>
      <c r="G724" s="75" t="s">
        <v>1869</v>
      </c>
      <c r="H724" s="75" t="s">
        <v>1750</v>
      </c>
      <c r="I724" s="69" t="s">
        <v>1885</v>
      </c>
      <c r="J724" s="76" t="s">
        <v>1886</v>
      </c>
      <c r="K724" s="76" t="s">
        <v>1887</v>
      </c>
      <c r="L724" s="76" t="s">
        <v>1845</v>
      </c>
    </row>
    <row r="725" spans="1:12" ht="14.25" customHeight="1" x14ac:dyDescent="0.3">
      <c r="A725" s="309"/>
      <c r="B725" s="58">
        <v>19</v>
      </c>
      <c r="C725" s="58" t="s">
        <v>1732</v>
      </c>
      <c r="D725" s="58" t="s">
        <v>1888</v>
      </c>
      <c r="E725" s="68" t="s">
        <v>1889</v>
      </c>
      <c r="F725" s="68" t="s">
        <v>1782</v>
      </c>
      <c r="G725" s="75" t="s">
        <v>1749</v>
      </c>
      <c r="H725" s="75" t="s">
        <v>1757</v>
      </c>
      <c r="I725" s="69" t="s">
        <v>1890</v>
      </c>
      <c r="J725" s="76" t="s">
        <v>1891</v>
      </c>
      <c r="K725" s="76" t="s">
        <v>1892</v>
      </c>
      <c r="L725" s="76" t="s">
        <v>1845</v>
      </c>
    </row>
    <row r="726" spans="1:12" ht="14.25" customHeight="1" x14ac:dyDescent="0.3">
      <c r="A726" s="309"/>
      <c r="B726" s="58">
        <v>19</v>
      </c>
      <c r="C726" s="58" t="s">
        <v>1732</v>
      </c>
      <c r="D726" s="58" t="s">
        <v>1893</v>
      </c>
      <c r="E726" s="68" t="s">
        <v>1894</v>
      </c>
      <c r="F726" s="68" t="s">
        <v>1782</v>
      </c>
      <c r="G726" s="75" t="s">
        <v>1749</v>
      </c>
      <c r="H726" s="75" t="s">
        <v>1831</v>
      </c>
      <c r="I726" s="69" t="s">
        <v>1895</v>
      </c>
      <c r="J726" s="76" t="s">
        <v>1896</v>
      </c>
      <c r="K726" s="76" t="s">
        <v>1897</v>
      </c>
      <c r="L726" s="76" t="s">
        <v>1845</v>
      </c>
    </row>
    <row r="727" spans="1:12" ht="14.25" customHeight="1" x14ac:dyDescent="0.3">
      <c r="A727" s="309"/>
      <c r="B727" s="58">
        <v>19</v>
      </c>
      <c r="C727" s="58" t="s">
        <v>1732</v>
      </c>
      <c r="D727" s="58" t="s">
        <v>1898</v>
      </c>
      <c r="E727" s="68" t="s">
        <v>1899</v>
      </c>
      <c r="F727" s="68" t="s">
        <v>1782</v>
      </c>
      <c r="G727" s="75" t="s">
        <v>1749</v>
      </c>
      <c r="H727" s="75" t="s">
        <v>1831</v>
      </c>
      <c r="I727" s="69" t="s">
        <v>1900</v>
      </c>
      <c r="J727" s="76" t="s">
        <v>1901</v>
      </c>
      <c r="K727" s="76" t="s">
        <v>1902</v>
      </c>
      <c r="L727" s="76" t="s">
        <v>1845</v>
      </c>
    </row>
    <row r="728" spans="1:12" ht="14.25" customHeight="1" x14ac:dyDescent="0.3">
      <c r="A728" s="309"/>
      <c r="B728" s="58">
        <v>19</v>
      </c>
      <c r="C728" s="58" t="s">
        <v>1732</v>
      </c>
      <c r="D728" s="58" t="s">
        <v>1903</v>
      </c>
      <c r="E728" s="68" t="s">
        <v>1904</v>
      </c>
      <c r="F728" s="68" t="s">
        <v>1782</v>
      </c>
      <c r="G728" s="75" t="s">
        <v>1749</v>
      </c>
      <c r="H728" s="75" t="s">
        <v>1750</v>
      </c>
      <c r="I728" s="69" t="s">
        <v>1905</v>
      </c>
      <c r="J728" s="76" t="s">
        <v>1906</v>
      </c>
      <c r="K728" s="76" t="s">
        <v>1907</v>
      </c>
      <c r="L728" s="76" t="s">
        <v>1845</v>
      </c>
    </row>
    <row r="729" spans="1:12" ht="14.25" customHeight="1" x14ac:dyDescent="0.3">
      <c r="A729" s="309"/>
      <c r="B729" s="58">
        <v>19</v>
      </c>
      <c r="C729" s="58" t="s">
        <v>1732</v>
      </c>
      <c r="D729" s="58" t="s">
        <v>1908</v>
      </c>
      <c r="E729" s="68" t="s">
        <v>1909</v>
      </c>
      <c r="F729" s="68" t="s">
        <v>1782</v>
      </c>
      <c r="G729" s="75" t="s">
        <v>1749</v>
      </c>
      <c r="H729" s="75" t="s">
        <v>1750</v>
      </c>
      <c r="I729" s="69" t="s">
        <v>1910</v>
      </c>
      <c r="J729" s="76" t="s">
        <v>1911</v>
      </c>
      <c r="K729" s="76" t="s">
        <v>1912</v>
      </c>
      <c r="L729" s="76" t="s">
        <v>1845</v>
      </c>
    </row>
    <row r="730" spans="1:12" ht="14.25" customHeight="1" x14ac:dyDescent="0.3">
      <c r="A730" s="309"/>
      <c r="B730" s="58">
        <v>19</v>
      </c>
      <c r="C730" s="58" t="s">
        <v>1732</v>
      </c>
      <c r="D730" s="58" t="s">
        <v>1913</v>
      </c>
      <c r="E730" s="68" t="s">
        <v>1914</v>
      </c>
      <c r="F730" s="68" t="s">
        <v>1782</v>
      </c>
      <c r="G730" s="75" t="s">
        <v>1749</v>
      </c>
      <c r="H730" s="75" t="s">
        <v>1750</v>
      </c>
      <c r="I730" s="69" t="s">
        <v>1915</v>
      </c>
      <c r="J730" s="76" t="s">
        <v>1916</v>
      </c>
      <c r="K730" s="76" t="s">
        <v>1917</v>
      </c>
      <c r="L730" s="76" t="s">
        <v>1845</v>
      </c>
    </row>
    <row r="731" spans="1:12" ht="14.25" customHeight="1" x14ac:dyDescent="0.3">
      <c r="A731" s="309"/>
      <c r="B731" s="58">
        <v>19</v>
      </c>
      <c r="C731" s="58" t="s">
        <v>1732</v>
      </c>
      <c r="D731" s="58" t="s">
        <v>1918</v>
      </c>
      <c r="E731" s="68" t="s">
        <v>1919</v>
      </c>
      <c r="F731" s="68" t="s">
        <v>1782</v>
      </c>
      <c r="G731" s="75" t="s">
        <v>1749</v>
      </c>
      <c r="H731" s="75" t="s">
        <v>1750</v>
      </c>
      <c r="I731" s="69" t="s">
        <v>1920</v>
      </c>
      <c r="J731" s="76" t="s">
        <v>1921</v>
      </c>
      <c r="K731" s="76" t="s">
        <v>1922</v>
      </c>
      <c r="L731" s="76" t="s">
        <v>1845</v>
      </c>
    </row>
    <row r="732" spans="1:12" ht="14.25" customHeight="1" x14ac:dyDescent="0.3">
      <c r="A732" s="309"/>
      <c r="B732" s="58">
        <v>19</v>
      </c>
      <c r="C732" s="58" t="s">
        <v>1732</v>
      </c>
      <c r="D732" s="58" t="s">
        <v>1923</v>
      </c>
      <c r="E732" s="68" t="s">
        <v>1924</v>
      </c>
      <c r="F732" s="68" t="s">
        <v>1782</v>
      </c>
      <c r="G732" s="75" t="s">
        <v>1749</v>
      </c>
      <c r="H732" s="75" t="s">
        <v>1750</v>
      </c>
      <c r="I732" s="69" t="s">
        <v>1925</v>
      </c>
      <c r="J732" s="76" t="s">
        <v>1926</v>
      </c>
      <c r="K732" s="76" t="s">
        <v>1927</v>
      </c>
      <c r="L732" s="76" t="s">
        <v>1845</v>
      </c>
    </row>
    <row r="733" spans="1:12" ht="14.25" customHeight="1" x14ac:dyDescent="0.3">
      <c r="A733" s="309"/>
      <c r="B733" s="58">
        <v>19</v>
      </c>
      <c r="C733" s="58" t="s">
        <v>1732</v>
      </c>
      <c r="D733" s="58" t="s">
        <v>1928</v>
      </c>
      <c r="E733" s="68" t="s">
        <v>1929</v>
      </c>
      <c r="F733" s="68" t="s">
        <v>1782</v>
      </c>
      <c r="G733" s="75" t="s">
        <v>1749</v>
      </c>
      <c r="H733" s="75" t="s">
        <v>1750</v>
      </c>
      <c r="I733" s="69" t="s">
        <v>1930</v>
      </c>
      <c r="J733" s="76" t="s">
        <v>1931</v>
      </c>
      <c r="K733" s="76" t="s">
        <v>1932</v>
      </c>
      <c r="L733" s="76" t="s">
        <v>1845</v>
      </c>
    </row>
    <row r="734" spans="1:12" ht="14.25" customHeight="1" x14ac:dyDescent="0.3">
      <c r="A734" s="309"/>
      <c r="B734" s="58">
        <v>19</v>
      </c>
      <c r="C734" s="58" t="s">
        <v>1732</v>
      </c>
      <c r="D734" s="58" t="s">
        <v>1933</v>
      </c>
      <c r="E734" s="68" t="s">
        <v>1934</v>
      </c>
      <c r="F734" s="68" t="s">
        <v>1782</v>
      </c>
      <c r="G734" s="75" t="s">
        <v>1749</v>
      </c>
      <c r="H734" s="75" t="s">
        <v>1750</v>
      </c>
      <c r="I734" s="69" t="s">
        <v>1935</v>
      </c>
      <c r="J734" s="76" t="s">
        <v>1936</v>
      </c>
      <c r="K734" s="76" t="s">
        <v>1937</v>
      </c>
      <c r="L734" s="76" t="s">
        <v>1845</v>
      </c>
    </row>
    <row r="735" spans="1:12" ht="14.25" customHeight="1" x14ac:dyDescent="0.3">
      <c r="A735" s="309"/>
      <c r="B735" s="58">
        <v>19</v>
      </c>
      <c r="C735" s="58" t="s">
        <v>1732</v>
      </c>
      <c r="D735" s="58" t="s">
        <v>1938</v>
      </c>
      <c r="E735" s="68" t="s">
        <v>1939</v>
      </c>
      <c r="F735" s="68" t="s">
        <v>1782</v>
      </c>
      <c r="G735" s="75" t="s">
        <v>1749</v>
      </c>
      <c r="H735" s="75" t="s">
        <v>1750</v>
      </c>
      <c r="I735" s="69" t="s">
        <v>1940</v>
      </c>
      <c r="J735" s="76" t="s">
        <v>1941</v>
      </c>
      <c r="K735" s="76" t="s">
        <v>1942</v>
      </c>
      <c r="L735" s="76" t="s">
        <v>1845</v>
      </c>
    </row>
    <row r="736" spans="1:12" ht="14.25" customHeight="1" x14ac:dyDescent="0.3">
      <c r="A736" s="309"/>
      <c r="B736" s="58">
        <v>19</v>
      </c>
      <c r="C736" s="58" t="s">
        <v>1732</v>
      </c>
      <c r="D736" s="58" t="s">
        <v>1943</v>
      </c>
      <c r="E736" s="68" t="s">
        <v>1944</v>
      </c>
      <c r="F736" s="68" t="s">
        <v>1782</v>
      </c>
      <c r="G736" s="75" t="s">
        <v>1945</v>
      </c>
      <c r="H736" s="75" t="s">
        <v>1757</v>
      </c>
      <c r="I736" s="69" t="s">
        <v>1946</v>
      </c>
      <c r="J736" s="76" t="s">
        <v>1947</v>
      </c>
      <c r="K736" s="77" t="s">
        <v>1948</v>
      </c>
      <c r="L736" s="76" t="s">
        <v>1845</v>
      </c>
    </row>
    <row r="737" spans="1:12" ht="14.25" customHeight="1" x14ac:dyDescent="0.3">
      <c r="A737" s="309"/>
      <c r="B737" s="58">
        <v>19</v>
      </c>
      <c r="C737" s="58" t="s">
        <v>1732</v>
      </c>
      <c r="D737" s="58" t="s">
        <v>1949</v>
      </c>
      <c r="E737" s="68" t="s">
        <v>1950</v>
      </c>
      <c r="F737" s="68" t="s">
        <v>1782</v>
      </c>
      <c r="G737" s="75" t="s">
        <v>1945</v>
      </c>
      <c r="H737" s="75" t="s">
        <v>1831</v>
      </c>
      <c r="I737" s="69" t="s">
        <v>1951</v>
      </c>
      <c r="J737" s="76" t="s">
        <v>1952</v>
      </c>
      <c r="K737" s="77" t="s">
        <v>1953</v>
      </c>
      <c r="L737" s="76" t="s">
        <v>1845</v>
      </c>
    </row>
    <row r="738" spans="1:12" ht="14.25" customHeight="1" x14ac:dyDescent="0.3">
      <c r="A738" s="309"/>
      <c r="B738" s="58">
        <v>19</v>
      </c>
      <c r="C738" s="58" t="s">
        <v>1732</v>
      </c>
      <c r="D738" s="58" t="s">
        <v>1954</v>
      </c>
      <c r="E738" s="68" t="s">
        <v>1955</v>
      </c>
      <c r="F738" s="68" t="s">
        <v>1782</v>
      </c>
      <c r="G738" s="75" t="s">
        <v>1945</v>
      </c>
      <c r="H738" s="75" t="s">
        <v>1831</v>
      </c>
      <c r="I738" s="69" t="s">
        <v>1956</v>
      </c>
      <c r="J738" s="76" t="s">
        <v>1957</v>
      </c>
      <c r="K738" s="76" t="s">
        <v>1958</v>
      </c>
      <c r="L738" s="76" t="s">
        <v>1845</v>
      </c>
    </row>
    <row r="739" spans="1:12" ht="14.25" customHeight="1" x14ac:dyDescent="0.3">
      <c r="A739" s="309"/>
      <c r="B739" s="58">
        <v>19</v>
      </c>
      <c r="C739" s="58" t="s">
        <v>1732</v>
      </c>
      <c r="D739" s="58" t="s">
        <v>1959</v>
      </c>
      <c r="E739" s="68" t="s">
        <v>1960</v>
      </c>
      <c r="F739" s="68" t="s">
        <v>1782</v>
      </c>
      <c r="G739" s="75" t="s">
        <v>1945</v>
      </c>
      <c r="H739" s="75" t="s">
        <v>1750</v>
      </c>
      <c r="I739" s="69" t="s">
        <v>1961</v>
      </c>
      <c r="J739" s="76" t="s">
        <v>1962</v>
      </c>
      <c r="K739" s="76" t="s">
        <v>1963</v>
      </c>
      <c r="L739" s="76" t="s">
        <v>1845</v>
      </c>
    </row>
    <row r="740" spans="1:12" ht="14.25" customHeight="1" x14ac:dyDescent="0.3">
      <c r="A740" s="309"/>
      <c r="B740" s="58">
        <v>19</v>
      </c>
      <c r="C740" s="58" t="s">
        <v>1732</v>
      </c>
      <c r="D740" s="58" t="s">
        <v>1964</v>
      </c>
      <c r="E740" s="68" t="s">
        <v>1965</v>
      </c>
      <c r="F740" s="68" t="s">
        <v>1782</v>
      </c>
      <c r="G740" s="75" t="s">
        <v>1966</v>
      </c>
      <c r="H740" s="75" t="s">
        <v>1757</v>
      </c>
      <c r="I740" s="69" t="s">
        <v>1967</v>
      </c>
      <c r="J740" s="76" t="s">
        <v>1968</v>
      </c>
      <c r="K740" s="76" t="s">
        <v>1969</v>
      </c>
      <c r="L740" s="76" t="s">
        <v>1845</v>
      </c>
    </row>
    <row r="741" spans="1:12" ht="14.25" customHeight="1" x14ac:dyDescent="0.3">
      <c r="A741" s="309"/>
      <c r="B741" s="58">
        <v>19</v>
      </c>
      <c r="C741" s="58" t="s">
        <v>1732</v>
      </c>
      <c r="D741" s="58" t="s">
        <v>1970</v>
      </c>
      <c r="E741" s="68" t="s">
        <v>1971</v>
      </c>
      <c r="F741" s="68" t="s">
        <v>1782</v>
      </c>
      <c r="G741" s="75" t="s">
        <v>1966</v>
      </c>
      <c r="H741" s="75" t="s">
        <v>1757</v>
      </c>
      <c r="I741" s="69" t="s">
        <v>1972</v>
      </c>
      <c r="J741" s="76" t="s">
        <v>1973</v>
      </c>
      <c r="K741" s="76" t="s">
        <v>1974</v>
      </c>
      <c r="L741" s="76" t="s">
        <v>1845</v>
      </c>
    </row>
    <row r="742" spans="1:12" ht="14.25" customHeight="1" x14ac:dyDescent="0.3">
      <c r="A742" s="309"/>
      <c r="B742" s="58">
        <v>19</v>
      </c>
      <c r="C742" s="58" t="s">
        <v>1732</v>
      </c>
      <c r="D742" s="58" t="s">
        <v>1975</v>
      </c>
      <c r="E742" s="68" t="s">
        <v>1976</v>
      </c>
      <c r="F742" s="68" t="s">
        <v>1782</v>
      </c>
      <c r="G742" s="75" t="s">
        <v>1966</v>
      </c>
      <c r="H742" s="75" t="s">
        <v>1831</v>
      </c>
      <c r="I742" s="69" t="s">
        <v>1977</v>
      </c>
      <c r="J742" s="76" t="s">
        <v>1978</v>
      </c>
      <c r="K742" s="77" t="s">
        <v>1979</v>
      </c>
      <c r="L742" s="76" t="s">
        <v>1845</v>
      </c>
    </row>
    <row r="743" spans="1:12" ht="14.25" customHeight="1" x14ac:dyDescent="0.3">
      <c r="A743" s="309"/>
      <c r="B743" s="58">
        <v>19</v>
      </c>
      <c r="C743" s="58" t="s">
        <v>1732</v>
      </c>
      <c r="D743" s="58" t="s">
        <v>1980</v>
      </c>
      <c r="E743" s="68" t="s">
        <v>1981</v>
      </c>
      <c r="F743" s="68" t="s">
        <v>1782</v>
      </c>
      <c r="G743" s="75" t="s">
        <v>1966</v>
      </c>
      <c r="H743" s="75" t="s">
        <v>1831</v>
      </c>
      <c r="I743" s="69" t="s">
        <v>1982</v>
      </c>
      <c r="J743" s="76" t="s">
        <v>1983</v>
      </c>
      <c r="K743" s="76" t="s">
        <v>1984</v>
      </c>
      <c r="L743" s="76" t="s">
        <v>1845</v>
      </c>
    </row>
    <row r="744" spans="1:12" ht="14.25" customHeight="1" x14ac:dyDescent="0.3">
      <c r="A744" s="309"/>
      <c r="B744" s="58">
        <v>19</v>
      </c>
      <c r="C744" s="58" t="s">
        <v>1732</v>
      </c>
      <c r="D744" s="58" t="s">
        <v>1985</v>
      </c>
      <c r="E744" s="68" t="s">
        <v>1986</v>
      </c>
      <c r="F744" s="68" t="s">
        <v>1782</v>
      </c>
      <c r="G744" s="75" t="s">
        <v>1966</v>
      </c>
      <c r="H744" s="75" t="s">
        <v>1750</v>
      </c>
      <c r="I744" s="69" t="s">
        <v>1987</v>
      </c>
      <c r="J744" s="76" t="s">
        <v>1988</v>
      </c>
      <c r="K744" s="76" t="s">
        <v>1989</v>
      </c>
      <c r="L744" s="76" t="s">
        <v>1845</v>
      </c>
    </row>
    <row r="745" spans="1:12" ht="14.25" customHeight="1" x14ac:dyDescent="0.3">
      <c r="A745" s="309"/>
      <c r="B745" s="58">
        <v>19</v>
      </c>
      <c r="C745" s="58" t="s">
        <v>1732</v>
      </c>
      <c r="D745" s="58" t="s">
        <v>1990</v>
      </c>
      <c r="E745" s="68" t="s">
        <v>1991</v>
      </c>
      <c r="F745" s="68" t="s">
        <v>1782</v>
      </c>
      <c r="G745" s="69" t="s">
        <v>1992</v>
      </c>
      <c r="H745" s="75" t="s">
        <v>1757</v>
      </c>
      <c r="I745" s="69" t="s">
        <v>1993</v>
      </c>
      <c r="J745" s="76" t="s">
        <v>1994</v>
      </c>
      <c r="K745" s="76" t="s">
        <v>1995</v>
      </c>
      <c r="L745" s="76" t="s">
        <v>1996</v>
      </c>
    </row>
    <row r="746" spans="1:12" ht="14.25" customHeight="1" x14ac:dyDescent="0.3">
      <c r="A746" s="309"/>
      <c r="B746" s="58">
        <v>19</v>
      </c>
      <c r="C746" s="58" t="s">
        <v>1732</v>
      </c>
      <c r="D746" s="58" t="s">
        <v>1997</v>
      </c>
      <c r="E746" s="68" t="s">
        <v>1998</v>
      </c>
      <c r="F746" s="68" t="s">
        <v>1782</v>
      </c>
      <c r="G746" s="69" t="s">
        <v>1992</v>
      </c>
      <c r="H746" s="75" t="s">
        <v>1831</v>
      </c>
      <c r="I746" s="69" t="s">
        <v>1999</v>
      </c>
      <c r="J746" s="76" t="s">
        <v>2000</v>
      </c>
      <c r="K746" s="76" t="s">
        <v>2001</v>
      </c>
      <c r="L746" s="76" t="s">
        <v>2002</v>
      </c>
    </row>
    <row r="747" spans="1:12" ht="14.25" customHeight="1" x14ac:dyDescent="0.3">
      <c r="A747" s="309"/>
      <c r="B747" s="58">
        <v>19</v>
      </c>
      <c r="C747" s="58" t="s">
        <v>1732</v>
      </c>
      <c r="D747" s="58" t="s">
        <v>2003</v>
      </c>
      <c r="E747" s="68" t="s">
        <v>2004</v>
      </c>
      <c r="F747" s="68" t="s">
        <v>1782</v>
      </c>
      <c r="G747" s="69" t="s">
        <v>1992</v>
      </c>
      <c r="H747" s="75" t="s">
        <v>1831</v>
      </c>
      <c r="I747" s="69" t="s">
        <v>2005</v>
      </c>
      <c r="J747" s="76" t="s">
        <v>2006</v>
      </c>
      <c r="K747" s="76" t="s">
        <v>2007</v>
      </c>
      <c r="L747" s="76" t="s">
        <v>2002</v>
      </c>
    </row>
    <row r="748" spans="1:12" ht="14.25" customHeight="1" x14ac:dyDescent="0.3">
      <c r="A748" s="310"/>
      <c r="B748" s="59">
        <v>19</v>
      </c>
      <c r="C748" s="59" t="s">
        <v>1732</v>
      </c>
      <c r="D748" s="59" t="s">
        <v>2008</v>
      </c>
      <c r="E748" s="71" t="s">
        <v>2009</v>
      </c>
      <c r="F748" s="71" t="s">
        <v>1782</v>
      </c>
      <c r="G748" s="72" t="s">
        <v>1992</v>
      </c>
      <c r="H748" s="78" t="s">
        <v>1750</v>
      </c>
      <c r="I748" s="72" t="s">
        <v>2010</v>
      </c>
      <c r="J748" s="79" t="s">
        <v>2011</v>
      </c>
      <c r="K748" s="79" t="s">
        <v>2012</v>
      </c>
      <c r="L748" s="79" t="s">
        <v>2013</v>
      </c>
    </row>
    <row r="749" spans="1:12" ht="14.25" customHeight="1" x14ac:dyDescent="0.3">
      <c r="A749" s="308" t="s">
        <v>1733</v>
      </c>
      <c r="B749" s="57">
        <v>19</v>
      </c>
      <c r="C749" s="57" t="s">
        <v>1734</v>
      </c>
      <c r="D749" s="80">
        <v>22</v>
      </c>
      <c r="E749" s="64" t="s">
        <v>2014</v>
      </c>
      <c r="F749" s="64" t="s">
        <v>2015</v>
      </c>
      <c r="G749" s="65" t="s">
        <v>1749</v>
      </c>
      <c r="H749" s="65" t="s">
        <v>1750</v>
      </c>
      <c r="I749" s="65" t="s">
        <v>2016</v>
      </c>
      <c r="J749" s="66" t="s">
        <v>2017</v>
      </c>
      <c r="K749" s="66" t="s">
        <v>2018</v>
      </c>
      <c r="L749" s="66" t="s">
        <v>2019</v>
      </c>
    </row>
    <row r="750" spans="1:12" ht="14.25" customHeight="1" x14ac:dyDescent="0.3">
      <c r="A750" s="309"/>
      <c r="B750" s="58">
        <v>19</v>
      </c>
      <c r="C750" s="58" t="s">
        <v>1734</v>
      </c>
      <c r="D750" s="81">
        <v>23</v>
      </c>
      <c r="E750" s="68" t="s">
        <v>2020</v>
      </c>
      <c r="F750" s="68" t="s">
        <v>2015</v>
      </c>
      <c r="G750" s="69" t="s">
        <v>1749</v>
      </c>
      <c r="H750" s="69" t="s">
        <v>1750</v>
      </c>
      <c r="I750" s="69" t="s">
        <v>2021</v>
      </c>
      <c r="J750" s="70" t="s">
        <v>2022</v>
      </c>
      <c r="K750" s="70" t="s">
        <v>2023</v>
      </c>
      <c r="L750" s="70" t="s">
        <v>2019</v>
      </c>
    </row>
    <row r="751" spans="1:12" ht="14.25" customHeight="1" x14ac:dyDescent="0.3">
      <c r="A751" s="309"/>
      <c r="B751" s="58">
        <v>19</v>
      </c>
      <c r="C751" s="58" t="s">
        <v>1734</v>
      </c>
      <c r="D751" s="81">
        <v>24</v>
      </c>
      <c r="E751" s="68" t="s">
        <v>2024</v>
      </c>
      <c r="F751" s="68" t="s">
        <v>2015</v>
      </c>
      <c r="G751" s="69" t="s">
        <v>1749</v>
      </c>
      <c r="H751" s="69" t="s">
        <v>1750</v>
      </c>
      <c r="I751" s="69" t="s">
        <v>2025</v>
      </c>
      <c r="J751" s="70" t="s">
        <v>2026</v>
      </c>
      <c r="K751" s="70" t="s">
        <v>2027</v>
      </c>
      <c r="L751" s="70" t="s">
        <v>2019</v>
      </c>
    </row>
    <row r="752" spans="1:12" ht="14.25" customHeight="1" x14ac:dyDescent="0.3">
      <c r="A752" s="309"/>
      <c r="B752" s="58">
        <v>19</v>
      </c>
      <c r="C752" s="58" t="s">
        <v>1734</v>
      </c>
      <c r="D752" s="81">
        <v>25</v>
      </c>
      <c r="E752" s="68" t="s">
        <v>2028</v>
      </c>
      <c r="F752" s="68" t="s">
        <v>2015</v>
      </c>
      <c r="G752" s="69" t="s">
        <v>1749</v>
      </c>
      <c r="H752" s="69" t="s">
        <v>1750</v>
      </c>
      <c r="I752" s="69" t="s">
        <v>2029</v>
      </c>
      <c r="J752" s="70" t="s">
        <v>2030</v>
      </c>
      <c r="K752" s="70" t="s">
        <v>2031</v>
      </c>
      <c r="L752" s="70" t="s">
        <v>2032</v>
      </c>
    </row>
    <row r="753" spans="1:12" ht="14.25" customHeight="1" x14ac:dyDescent="0.3">
      <c r="A753" s="309"/>
      <c r="B753" s="58">
        <v>19</v>
      </c>
      <c r="C753" s="58" t="s">
        <v>1734</v>
      </c>
      <c r="D753" s="81">
        <v>26</v>
      </c>
      <c r="E753" s="68" t="s">
        <v>2033</v>
      </c>
      <c r="F753" s="68" t="s">
        <v>2015</v>
      </c>
      <c r="G753" s="69" t="s">
        <v>1749</v>
      </c>
      <c r="H753" s="69" t="s">
        <v>1750</v>
      </c>
      <c r="I753" s="69" t="s">
        <v>2034</v>
      </c>
      <c r="J753" s="70" t="s">
        <v>2035</v>
      </c>
      <c r="K753" s="70" t="s">
        <v>2036</v>
      </c>
      <c r="L753" s="70" t="s">
        <v>2037</v>
      </c>
    </row>
    <row r="754" spans="1:12" ht="14.25" customHeight="1" x14ac:dyDescent="0.3">
      <c r="A754" s="309"/>
      <c r="B754" s="58">
        <v>19</v>
      </c>
      <c r="C754" s="58" t="s">
        <v>1734</v>
      </c>
      <c r="D754" s="81">
        <v>27</v>
      </c>
      <c r="E754" s="68" t="s">
        <v>2038</v>
      </c>
      <c r="F754" s="68" t="s">
        <v>2015</v>
      </c>
      <c r="G754" s="69" t="s">
        <v>1756</v>
      </c>
      <c r="H754" s="69" t="s">
        <v>1757</v>
      </c>
      <c r="I754" s="69" t="s">
        <v>2039</v>
      </c>
      <c r="J754" s="70" t="s">
        <v>2040</v>
      </c>
      <c r="K754" s="70" t="s">
        <v>2041</v>
      </c>
      <c r="L754" s="70" t="s">
        <v>2042</v>
      </c>
    </row>
    <row r="755" spans="1:12" ht="14.25" customHeight="1" x14ac:dyDescent="0.3">
      <c r="A755" s="309"/>
      <c r="B755" s="58">
        <v>19</v>
      </c>
      <c r="C755" s="58" t="s">
        <v>1734</v>
      </c>
      <c r="D755" s="81">
        <v>28</v>
      </c>
      <c r="E755" s="68" t="s">
        <v>2043</v>
      </c>
      <c r="F755" s="68" t="s">
        <v>2015</v>
      </c>
      <c r="G755" s="69" t="s">
        <v>1749</v>
      </c>
      <c r="H755" s="69" t="s">
        <v>1750</v>
      </c>
      <c r="I755" s="69" t="s">
        <v>2044</v>
      </c>
      <c r="J755" s="70" t="s">
        <v>2045</v>
      </c>
      <c r="K755" s="70" t="s">
        <v>2046</v>
      </c>
      <c r="L755" s="70" t="s">
        <v>2047</v>
      </c>
    </row>
    <row r="756" spans="1:12" ht="14.25" customHeight="1" x14ac:dyDescent="0.3">
      <c r="A756" s="309"/>
      <c r="B756" s="58">
        <v>19</v>
      </c>
      <c r="C756" s="58" t="s">
        <v>1734</v>
      </c>
      <c r="D756" s="81">
        <v>29</v>
      </c>
      <c r="E756" s="68" t="s">
        <v>2048</v>
      </c>
      <c r="F756" s="68" t="s">
        <v>2015</v>
      </c>
      <c r="G756" s="69" t="s">
        <v>1749</v>
      </c>
      <c r="H756" s="69" t="s">
        <v>1750</v>
      </c>
      <c r="I756" s="69" t="s">
        <v>2049</v>
      </c>
      <c r="J756" s="70" t="s">
        <v>2050</v>
      </c>
      <c r="K756" s="70" t="s">
        <v>2051</v>
      </c>
      <c r="L756" s="70" t="s">
        <v>2047</v>
      </c>
    </row>
    <row r="757" spans="1:12" ht="14.25" customHeight="1" x14ac:dyDescent="0.3">
      <c r="A757" s="309"/>
      <c r="B757" s="58">
        <v>19</v>
      </c>
      <c r="C757" s="58" t="s">
        <v>1735</v>
      </c>
      <c r="D757" s="58" t="s">
        <v>2052</v>
      </c>
      <c r="E757" s="68" t="s">
        <v>2053</v>
      </c>
      <c r="F757" s="68" t="s">
        <v>2015</v>
      </c>
      <c r="G757" s="69" t="s">
        <v>1848</v>
      </c>
      <c r="H757" s="69" t="s">
        <v>1750</v>
      </c>
      <c r="I757" s="69" t="s">
        <v>2054</v>
      </c>
      <c r="J757" s="70" t="s">
        <v>2055</v>
      </c>
      <c r="K757" s="70" t="s">
        <v>2056</v>
      </c>
      <c r="L757" s="70" t="s">
        <v>2057</v>
      </c>
    </row>
    <row r="758" spans="1:12" ht="14.25" customHeight="1" x14ac:dyDescent="0.3">
      <c r="A758" s="310"/>
      <c r="B758" s="59">
        <v>19</v>
      </c>
      <c r="C758" s="59" t="s">
        <v>1735</v>
      </c>
      <c r="D758" s="59" t="s">
        <v>2058</v>
      </c>
      <c r="E758" s="71" t="s">
        <v>2059</v>
      </c>
      <c r="F758" s="71" t="s">
        <v>2015</v>
      </c>
      <c r="G758" s="72" t="s">
        <v>1848</v>
      </c>
      <c r="H758" s="72" t="s">
        <v>1750</v>
      </c>
      <c r="I758" s="72" t="s">
        <v>2060</v>
      </c>
      <c r="J758" s="73" t="s">
        <v>2061</v>
      </c>
      <c r="K758" s="73" t="s">
        <v>2062</v>
      </c>
      <c r="L758" s="73" t="s">
        <v>2057</v>
      </c>
    </row>
    <row r="759" spans="1:12" ht="14.25" customHeight="1" x14ac:dyDescent="0.3">
      <c r="A759" s="308" t="s">
        <v>1736</v>
      </c>
      <c r="B759" s="57">
        <v>19</v>
      </c>
      <c r="C759" s="57" t="s">
        <v>1737</v>
      </c>
      <c r="D759" s="57" t="s">
        <v>2063</v>
      </c>
      <c r="E759" s="64" t="s">
        <v>2064</v>
      </c>
      <c r="F759" s="64" t="s">
        <v>2065</v>
      </c>
      <c r="G759" s="65"/>
      <c r="H759" s="65"/>
      <c r="I759" s="65" t="s">
        <v>2066</v>
      </c>
      <c r="J759" s="66" t="s">
        <v>2067</v>
      </c>
      <c r="K759" s="66" t="s">
        <v>2068</v>
      </c>
      <c r="L759" s="66" t="s">
        <v>2069</v>
      </c>
    </row>
    <row r="760" spans="1:12" ht="14.25" customHeight="1" x14ac:dyDescent="0.3">
      <c r="A760" s="309"/>
      <c r="B760" s="58">
        <v>19</v>
      </c>
      <c r="C760" s="58" t="s">
        <v>1737</v>
      </c>
      <c r="D760" s="58" t="s">
        <v>2070</v>
      </c>
      <c r="E760" s="68" t="s">
        <v>2071</v>
      </c>
      <c r="F760" s="68" t="s">
        <v>2065</v>
      </c>
      <c r="G760" s="69" t="s">
        <v>1756</v>
      </c>
      <c r="H760" s="69" t="s">
        <v>1757</v>
      </c>
      <c r="I760" s="69" t="s">
        <v>2072</v>
      </c>
      <c r="J760" s="70" t="s">
        <v>2073</v>
      </c>
      <c r="K760" s="70" t="s">
        <v>2074</v>
      </c>
      <c r="L760" s="70" t="s">
        <v>2075</v>
      </c>
    </row>
    <row r="761" spans="1:12" ht="14.25" customHeight="1" x14ac:dyDescent="0.3">
      <c r="A761" s="309"/>
      <c r="B761" s="58">
        <v>19</v>
      </c>
      <c r="C761" s="58" t="s">
        <v>1737</v>
      </c>
      <c r="D761" s="58" t="s">
        <v>2076</v>
      </c>
      <c r="E761" s="68" t="s">
        <v>2077</v>
      </c>
      <c r="F761" s="68" t="s">
        <v>2065</v>
      </c>
      <c r="G761" s="69" t="s">
        <v>1756</v>
      </c>
      <c r="H761" s="69" t="s">
        <v>1757</v>
      </c>
      <c r="I761" s="69" t="s">
        <v>2078</v>
      </c>
      <c r="J761" s="70" t="s">
        <v>2079</v>
      </c>
      <c r="K761" s="70" t="s">
        <v>2080</v>
      </c>
      <c r="L761" s="70" t="s">
        <v>2075</v>
      </c>
    </row>
    <row r="762" spans="1:12" ht="14.25" customHeight="1" x14ac:dyDescent="0.3">
      <c r="A762" s="309"/>
      <c r="B762" s="58">
        <v>19</v>
      </c>
      <c r="C762" s="58" t="s">
        <v>1737</v>
      </c>
      <c r="D762" s="58" t="s">
        <v>2081</v>
      </c>
      <c r="E762" s="68" t="s">
        <v>2082</v>
      </c>
      <c r="F762" s="68" t="s">
        <v>2065</v>
      </c>
      <c r="G762" s="69" t="s">
        <v>1992</v>
      </c>
      <c r="H762" s="69" t="s">
        <v>1757</v>
      </c>
      <c r="I762" s="69" t="s">
        <v>2083</v>
      </c>
      <c r="J762" s="70" t="s">
        <v>2084</v>
      </c>
      <c r="K762" s="70" t="s">
        <v>2085</v>
      </c>
      <c r="L762" s="70" t="s">
        <v>2086</v>
      </c>
    </row>
    <row r="763" spans="1:12" ht="14.25" customHeight="1" x14ac:dyDescent="0.3">
      <c r="A763" s="309"/>
      <c r="B763" s="58">
        <v>19</v>
      </c>
      <c r="C763" s="58" t="s">
        <v>1737</v>
      </c>
      <c r="D763" s="58" t="s">
        <v>2087</v>
      </c>
      <c r="E763" s="68" t="s">
        <v>2088</v>
      </c>
      <c r="F763" s="68" t="s">
        <v>2065</v>
      </c>
      <c r="G763" s="75" t="s">
        <v>1848</v>
      </c>
      <c r="H763" s="75" t="s">
        <v>1750</v>
      </c>
      <c r="I763" s="69" t="s">
        <v>2089</v>
      </c>
      <c r="J763" s="76" t="s">
        <v>2090</v>
      </c>
      <c r="K763" s="76" t="s">
        <v>2091</v>
      </c>
      <c r="L763" s="76" t="s">
        <v>2092</v>
      </c>
    </row>
    <row r="764" spans="1:12" ht="14.25" customHeight="1" x14ac:dyDescent="0.3">
      <c r="A764" s="309"/>
      <c r="B764" s="58">
        <v>19</v>
      </c>
      <c r="C764" s="58" t="s">
        <v>1737</v>
      </c>
      <c r="D764" s="58" t="s">
        <v>2093</v>
      </c>
      <c r="E764" s="68" t="s">
        <v>2094</v>
      </c>
      <c r="F764" s="68" t="s">
        <v>2065</v>
      </c>
      <c r="G764" s="75" t="s">
        <v>1848</v>
      </c>
      <c r="H764" s="75" t="s">
        <v>1750</v>
      </c>
      <c r="I764" s="69" t="s">
        <v>2095</v>
      </c>
      <c r="J764" s="76" t="s">
        <v>2096</v>
      </c>
      <c r="K764" s="76" t="s">
        <v>2097</v>
      </c>
      <c r="L764" s="76" t="s">
        <v>2098</v>
      </c>
    </row>
    <row r="765" spans="1:12" ht="14.25" customHeight="1" x14ac:dyDescent="0.3">
      <c r="A765" s="309"/>
      <c r="B765" s="58">
        <v>19</v>
      </c>
      <c r="C765" s="58" t="s">
        <v>1737</v>
      </c>
      <c r="D765" s="58" t="s">
        <v>2099</v>
      </c>
      <c r="E765" s="68" t="s">
        <v>2100</v>
      </c>
      <c r="F765" s="68" t="s">
        <v>2065</v>
      </c>
      <c r="G765" s="75" t="s">
        <v>1848</v>
      </c>
      <c r="H765" s="75" t="s">
        <v>1750</v>
      </c>
      <c r="I765" s="69" t="s">
        <v>2101</v>
      </c>
      <c r="J765" s="76" t="s">
        <v>2102</v>
      </c>
      <c r="K765" s="76" t="s">
        <v>2103</v>
      </c>
      <c r="L765" s="76" t="s">
        <v>2104</v>
      </c>
    </row>
    <row r="766" spans="1:12" ht="14.25" customHeight="1" x14ac:dyDescent="0.3">
      <c r="A766" s="309"/>
      <c r="B766" s="58">
        <v>19</v>
      </c>
      <c r="C766" s="58" t="s">
        <v>1737</v>
      </c>
      <c r="D766" s="58" t="s">
        <v>2105</v>
      </c>
      <c r="E766" s="68" t="s">
        <v>2106</v>
      </c>
      <c r="F766" s="68" t="s">
        <v>2065</v>
      </c>
      <c r="G766" s="75" t="s">
        <v>1848</v>
      </c>
      <c r="H766" s="75" t="s">
        <v>1750</v>
      </c>
      <c r="I766" s="69" t="s">
        <v>2107</v>
      </c>
      <c r="J766" s="76" t="s">
        <v>2108</v>
      </c>
      <c r="K766" s="76" t="s">
        <v>2109</v>
      </c>
      <c r="L766" s="76" t="s">
        <v>2110</v>
      </c>
    </row>
    <row r="767" spans="1:12" ht="14.25" customHeight="1" x14ac:dyDescent="0.3">
      <c r="A767" s="309"/>
      <c r="B767" s="58">
        <v>19</v>
      </c>
      <c r="C767" s="58" t="s">
        <v>1737</v>
      </c>
      <c r="D767" s="58" t="s">
        <v>2111</v>
      </c>
      <c r="E767" s="68" t="s">
        <v>2112</v>
      </c>
      <c r="F767" s="68" t="s">
        <v>2065</v>
      </c>
      <c r="G767" s="75" t="s">
        <v>1848</v>
      </c>
      <c r="H767" s="75" t="s">
        <v>1750</v>
      </c>
      <c r="I767" s="69" t="s">
        <v>1619</v>
      </c>
      <c r="J767" s="76" t="s">
        <v>2113</v>
      </c>
      <c r="K767" s="76" t="s">
        <v>2114</v>
      </c>
      <c r="L767" s="76" t="s">
        <v>2115</v>
      </c>
    </row>
    <row r="768" spans="1:12" ht="14.25" customHeight="1" x14ac:dyDescent="0.3">
      <c r="A768" s="309"/>
      <c r="B768" s="58">
        <v>19</v>
      </c>
      <c r="C768" s="58" t="s">
        <v>1737</v>
      </c>
      <c r="D768" s="58" t="s">
        <v>2116</v>
      </c>
      <c r="E768" s="68" t="s">
        <v>2117</v>
      </c>
      <c r="F768" s="68" t="s">
        <v>2065</v>
      </c>
      <c r="G768" s="75" t="s">
        <v>1848</v>
      </c>
      <c r="H768" s="75" t="s">
        <v>1750</v>
      </c>
      <c r="I768" s="69" t="s">
        <v>2118</v>
      </c>
      <c r="J768" s="76" t="s">
        <v>2119</v>
      </c>
      <c r="K768" s="76" t="s">
        <v>2120</v>
      </c>
      <c r="L768" s="76" t="s">
        <v>2121</v>
      </c>
    </row>
    <row r="769" spans="1:12" ht="14.25" customHeight="1" x14ac:dyDescent="0.3">
      <c r="A769" s="309"/>
      <c r="B769" s="58">
        <v>19</v>
      </c>
      <c r="C769" s="58" t="s">
        <v>1737</v>
      </c>
      <c r="D769" s="58" t="s">
        <v>2122</v>
      </c>
      <c r="E769" s="68" t="s">
        <v>2123</v>
      </c>
      <c r="F769" s="68" t="s">
        <v>2065</v>
      </c>
      <c r="G769" s="75" t="s">
        <v>1848</v>
      </c>
      <c r="H769" s="75" t="s">
        <v>1750</v>
      </c>
      <c r="I769" s="69" t="s">
        <v>2124</v>
      </c>
      <c r="J769" s="76" t="s">
        <v>2125</v>
      </c>
      <c r="K769" s="76" t="s">
        <v>2126</v>
      </c>
      <c r="L769" s="76" t="s">
        <v>2121</v>
      </c>
    </row>
    <row r="770" spans="1:12" ht="14.25" customHeight="1" x14ac:dyDescent="0.3">
      <c r="A770" s="309"/>
      <c r="B770" s="58">
        <v>19</v>
      </c>
      <c r="C770" s="58" t="s">
        <v>1737</v>
      </c>
      <c r="D770" s="58" t="s">
        <v>2127</v>
      </c>
      <c r="E770" s="68" t="s">
        <v>2128</v>
      </c>
      <c r="F770" s="68" t="s">
        <v>2065</v>
      </c>
      <c r="G770" s="75" t="s">
        <v>1848</v>
      </c>
      <c r="H770" s="75" t="s">
        <v>1750</v>
      </c>
      <c r="I770" s="69" t="s">
        <v>2129</v>
      </c>
      <c r="J770" s="76" t="s">
        <v>2130</v>
      </c>
      <c r="K770" s="76" t="s">
        <v>2131</v>
      </c>
      <c r="L770" s="76" t="s">
        <v>2121</v>
      </c>
    </row>
    <row r="771" spans="1:12" ht="14.25" customHeight="1" x14ac:dyDescent="0.3">
      <c r="A771" s="309"/>
      <c r="B771" s="58">
        <v>19</v>
      </c>
      <c r="C771" s="58" t="s">
        <v>1737</v>
      </c>
      <c r="D771" s="58" t="s">
        <v>2132</v>
      </c>
      <c r="E771" s="68" t="s">
        <v>2133</v>
      </c>
      <c r="F771" s="68" t="s">
        <v>2065</v>
      </c>
      <c r="G771" s="75" t="s">
        <v>1848</v>
      </c>
      <c r="H771" s="75" t="s">
        <v>1750</v>
      </c>
      <c r="I771" s="69" t="s">
        <v>2134</v>
      </c>
      <c r="J771" s="76" t="s">
        <v>2135</v>
      </c>
      <c r="K771" s="76" t="s">
        <v>2136</v>
      </c>
      <c r="L771" s="76" t="s">
        <v>2137</v>
      </c>
    </row>
    <row r="772" spans="1:12" ht="14.25" customHeight="1" x14ac:dyDescent="0.3">
      <c r="A772" s="309"/>
      <c r="B772" s="58">
        <v>19</v>
      </c>
      <c r="C772" s="58" t="s">
        <v>1737</v>
      </c>
      <c r="D772" s="58" t="s">
        <v>2138</v>
      </c>
      <c r="E772" s="68" t="s">
        <v>2139</v>
      </c>
      <c r="F772" s="68" t="s">
        <v>2065</v>
      </c>
      <c r="G772" s="75" t="s">
        <v>1848</v>
      </c>
      <c r="H772" s="75" t="s">
        <v>1750</v>
      </c>
      <c r="I772" s="69" t="s">
        <v>2140</v>
      </c>
      <c r="J772" s="76" t="s">
        <v>2141</v>
      </c>
      <c r="K772" s="76" t="s">
        <v>2142</v>
      </c>
      <c r="L772" s="76" t="s">
        <v>2143</v>
      </c>
    </row>
    <row r="773" spans="1:12" ht="14.25" customHeight="1" x14ac:dyDescent="0.3">
      <c r="A773" s="309"/>
      <c r="B773" s="58">
        <v>19</v>
      </c>
      <c r="C773" s="58" t="s">
        <v>1737</v>
      </c>
      <c r="D773" s="58" t="s">
        <v>2144</v>
      </c>
      <c r="E773" s="68" t="s">
        <v>2145</v>
      </c>
      <c r="F773" s="68" t="s">
        <v>2065</v>
      </c>
      <c r="G773" s="75" t="s">
        <v>1848</v>
      </c>
      <c r="H773" s="75" t="s">
        <v>1750</v>
      </c>
      <c r="I773" s="69" t="s">
        <v>2146</v>
      </c>
      <c r="J773" s="76" t="s">
        <v>2147</v>
      </c>
      <c r="K773" s="76" t="s">
        <v>2148</v>
      </c>
      <c r="L773" s="76" t="s">
        <v>2149</v>
      </c>
    </row>
    <row r="774" spans="1:12" ht="14.25" customHeight="1" x14ac:dyDescent="0.3">
      <c r="A774" s="309"/>
      <c r="B774" s="58">
        <v>19</v>
      </c>
      <c r="C774" s="58" t="s">
        <v>1737</v>
      </c>
      <c r="D774" s="58" t="s">
        <v>2150</v>
      </c>
      <c r="E774" s="68" t="s">
        <v>2151</v>
      </c>
      <c r="F774" s="68" t="s">
        <v>2065</v>
      </c>
      <c r="G774" s="75" t="s">
        <v>1848</v>
      </c>
      <c r="H774" s="75" t="s">
        <v>1750</v>
      </c>
      <c r="I774" s="69" t="s">
        <v>2152</v>
      </c>
      <c r="J774" s="76" t="s">
        <v>2153</v>
      </c>
      <c r="K774" s="70" t="s">
        <v>2154</v>
      </c>
      <c r="L774" s="76" t="s">
        <v>2155</v>
      </c>
    </row>
    <row r="775" spans="1:12" ht="14.25" customHeight="1" x14ac:dyDescent="0.3">
      <c r="A775" s="309"/>
      <c r="B775" s="58">
        <v>19</v>
      </c>
      <c r="C775" s="58" t="s">
        <v>1737</v>
      </c>
      <c r="D775" s="58" t="s">
        <v>2156</v>
      </c>
      <c r="E775" s="68" t="s">
        <v>2157</v>
      </c>
      <c r="F775" s="68" t="s">
        <v>2065</v>
      </c>
      <c r="G775" s="75" t="s">
        <v>1848</v>
      </c>
      <c r="H775" s="75" t="s">
        <v>1750</v>
      </c>
      <c r="I775" s="69" t="s">
        <v>2158</v>
      </c>
      <c r="J775" s="76" t="s">
        <v>2159</v>
      </c>
      <c r="K775" s="70" t="s">
        <v>2160</v>
      </c>
      <c r="L775" s="76" t="s">
        <v>2161</v>
      </c>
    </row>
    <row r="776" spans="1:12" ht="14.25" customHeight="1" x14ac:dyDescent="0.3">
      <c r="A776" s="309"/>
      <c r="B776" s="58">
        <v>19</v>
      </c>
      <c r="C776" s="58" t="s">
        <v>1737</v>
      </c>
      <c r="D776" s="58" t="s">
        <v>2162</v>
      </c>
      <c r="E776" s="68" t="s">
        <v>2163</v>
      </c>
      <c r="F776" s="68" t="s">
        <v>2065</v>
      </c>
      <c r="G776" s="69" t="s">
        <v>1756</v>
      </c>
      <c r="H776" s="69" t="s">
        <v>1757</v>
      </c>
      <c r="I776" s="69" t="s">
        <v>2164</v>
      </c>
      <c r="J776" s="70" t="s">
        <v>2165</v>
      </c>
      <c r="K776" s="70" t="s">
        <v>2166</v>
      </c>
      <c r="L776" s="70" t="s">
        <v>2167</v>
      </c>
    </row>
    <row r="777" spans="1:12" ht="14.25" customHeight="1" x14ac:dyDescent="0.3">
      <c r="A777" s="309"/>
      <c r="B777" s="58">
        <v>19</v>
      </c>
      <c r="C777" s="58" t="s">
        <v>1737</v>
      </c>
      <c r="D777" s="58" t="s">
        <v>2168</v>
      </c>
      <c r="E777" s="68" t="s">
        <v>2169</v>
      </c>
      <c r="F777" s="68" t="s">
        <v>2065</v>
      </c>
      <c r="G777" s="69" t="s">
        <v>1756</v>
      </c>
      <c r="H777" s="69" t="s">
        <v>1757</v>
      </c>
      <c r="I777" s="69" t="s">
        <v>2170</v>
      </c>
      <c r="J777" s="70" t="s">
        <v>2171</v>
      </c>
      <c r="K777" s="70" t="s">
        <v>2172</v>
      </c>
      <c r="L777" s="70" t="s">
        <v>2173</v>
      </c>
    </row>
    <row r="778" spans="1:12" ht="14.25" customHeight="1" x14ac:dyDescent="0.3">
      <c r="A778" s="309"/>
      <c r="B778" s="58">
        <v>19</v>
      </c>
      <c r="C778" s="58" t="s">
        <v>1737</v>
      </c>
      <c r="D778" s="58" t="s">
        <v>2174</v>
      </c>
      <c r="E778" s="68" t="s">
        <v>2175</v>
      </c>
      <c r="F778" s="68" t="s">
        <v>2065</v>
      </c>
      <c r="G778" s="69" t="s">
        <v>1749</v>
      </c>
      <c r="H778" s="69" t="s">
        <v>1750</v>
      </c>
      <c r="I778" s="69" t="s">
        <v>2176</v>
      </c>
      <c r="J778" s="70" t="s">
        <v>2177</v>
      </c>
      <c r="K778" s="70" t="s">
        <v>2178</v>
      </c>
      <c r="L778" s="70" t="s">
        <v>2179</v>
      </c>
    </row>
    <row r="779" spans="1:12" ht="14.25" customHeight="1" x14ac:dyDescent="0.3">
      <c r="A779" s="309"/>
      <c r="B779" s="58">
        <v>19</v>
      </c>
      <c r="C779" s="58" t="s">
        <v>1737</v>
      </c>
      <c r="D779" s="58" t="s">
        <v>2180</v>
      </c>
      <c r="E779" s="68" t="s">
        <v>2181</v>
      </c>
      <c r="F779" s="68" t="s">
        <v>2065</v>
      </c>
      <c r="G779" s="69" t="s">
        <v>1756</v>
      </c>
      <c r="H779" s="69" t="s">
        <v>1757</v>
      </c>
      <c r="I779" s="69" t="s">
        <v>2182</v>
      </c>
      <c r="J779" s="70" t="s">
        <v>2183</v>
      </c>
      <c r="K779" s="70" t="s">
        <v>2184</v>
      </c>
      <c r="L779" s="70" t="s">
        <v>2185</v>
      </c>
    </row>
    <row r="780" spans="1:12" ht="14.25" customHeight="1" x14ac:dyDescent="0.3">
      <c r="A780" s="309"/>
      <c r="B780" s="58">
        <v>19</v>
      </c>
      <c r="C780" s="58" t="s">
        <v>1737</v>
      </c>
      <c r="D780" s="58" t="s">
        <v>2186</v>
      </c>
      <c r="E780" s="68" t="s">
        <v>2187</v>
      </c>
      <c r="F780" s="68" t="s">
        <v>2065</v>
      </c>
      <c r="G780" s="75" t="s">
        <v>1966</v>
      </c>
      <c r="H780" s="75" t="s">
        <v>1831</v>
      </c>
      <c r="I780" s="69" t="s">
        <v>2188</v>
      </c>
      <c r="J780" s="76" t="s">
        <v>2189</v>
      </c>
      <c r="K780" s="76" t="s">
        <v>2190</v>
      </c>
      <c r="L780" s="76" t="s">
        <v>2191</v>
      </c>
    </row>
    <row r="781" spans="1:12" ht="14.25" customHeight="1" x14ac:dyDescent="0.3">
      <c r="A781" s="309"/>
      <c r="B781" s="58">
        <v>19</v>
      </c>
      <c r="C781" s="58" t="s">
        <v>1737</v>
      </c>
      <c r="D781" s="58" t="s">
        <v>2192</v>
      </c>
      <c r="E781" s="68" t="s">
        <v>2193</v>
      </c>
      <c r="F781" s="68" t="s">
        <v>2065</v>
      </c>
      <c r="G781" s="69" t="s">
        <v>1966</v>
      </c>
      <c r="H781" s="69"/>
      <c r="I781" s="69" t="s">
        <v>2194</v>
      </c>
      <c r="J781" s="76" t="s">
        <v>2195</v>
      </c>
      <c r="K781" s="70" t="s">
        <v>2196</v>
      </c>
      <c r="L781" s="70" t="s">
        <v>2197</v>
      </c>
    </row>
    <row r="782" spans="1:12" ht="14.25" customHeight="1" x14ac:dyDescent="0.3">
      <c r="A782" s="309"/>
      <c r="B782" s="58">
        <v>19</v>
      </c>
      <c r="C782" s="58" t="s">
        <v>1737</v>
      </c>
      <c r="D782" s="58" t="s">
        <v>2198</v>
      </c>
      <c r="E782" s="68" t="s">
        <v>2199</v>
      </c>
      <c r="F782" s="68" t="s">
        <v>2065</v>
      </c>
      <c r="G782" s="69"/>
      <c r="H782" s="69"/>
      <c r="I782" s="69" t="s">
        <v>2200</v>
      </c>
      <c r="J782" s="70" t="s">
        <v>2201</v>
      </c>
      <c r="K782" s="70" t="s">
        <v>2202</v>
      </c>
      <c r="L782" s="70" t="s">
        <v>2203</v>
      </c>
    </row>
    <row r="783" spans="1:12" ht="14.25" customHeight="1" x14ac:dyDescent="0.3">
      <c r="A783" s="310"/>
      <c r="B783" s="59">
        <v>19</v>
      </c>
      <c r="C783" s="59" t="s">
        <v>1737</v>
      </c>
      <c r="D783" s="59" t="s">
        <v>2204</v>
      </c>
      <c r="E783" s="71" t="s">
        <v>2205</v>
      </c>
      <c r="F783" s="71" t="s">
        <v>2065</v>
      </c>
      <c r="G783" s="72"/>
      <c r="H783" s="72"/>
      <c r="I783" s="72" t="s">
        <v>2206</v>
      </c>
      <c r="J783" s="73" t="s">
        <v>2207</v>
      </c>
      <c r="K783" s="73" t="s">
        <v>2208</v>
      </c>
      <c r="L783" s="73" t="s">
        <v>2203</v>
      </c>
    </row>
    <row r="784" spans="1:12" ht="14.25" customHeight="1" x14ac:dyDescent="0.3">
      <c r="A784" s="46"/>
      <c r="B784" s="46"/>
      <c r="C784" s="46"/>
      <c r="D784" s="46"/>
    </row>
    <row r="785" spans="1:4" ht="14.25" customHeight="1" x14ac:dyDescent="0.3">
      <c r="A785" s="46"/>
      <c r="B785" s="46"/>
      <c r="C785" s="46"/>
      <c r="D785" s="46"/>
    </row>
    <row r="786" spans="1:4" ht="14.25" customHeight="1" x14ac:dyDescent="0.3">
      <c r="A786" s="46"/>
      <c r="B786" s="46"/>
      <c r="C786" s="46"/>
      <c r="D786" s="46"/>
    </row>
    <row r="787" spans="1:4" ht="14.25" customHeight="1" x14ac:dyDescent="0.3">
      <c r="A787" s="46"/>
      <c r="B787" s="46"/>
      <c r="C787" s="46"/>
      <c r="D787" s="46"/>
    </row>
    <row r="788" spans="1:4" ht="14.25" customHeight="1" x14ac:dyDescent="0.3">
      <c r="A788" s="46"/>
      <c r="B788" s="46"/>
      <c r="C788" s="46"/>
      <c r="D788" s="46"/>
    </row>
    <row r="789" spans="1:4" ht="14.25" customHeight="1" x14ac:dyDescent="0.3">
      <c r="A789" s="46"/>
      <c r="B789" s="46"/>
      <c r="C789" s="46"/>
      <c r="D789" s="46"/>
    </row>
    <row r="790" spans="1:4" ht="14.25" customHeight="1" x14ac:dyDescent="0.3">
      <c r="A790" s="46"/>
      <c r="B790" s="46"/>
      <c r="C790" s="46"/>
      <c r="D790" s="46"/>
    </row>
    <row r="791" spans="1:4" ht="14.25" customHeight="1" x14ac:dyDescent="0.3">
      <c r="A791" s="46"/>
      <c r="B791" s="46"/>
      <c r="C791" s="46"/>
      <c r="D791" s="46"/>
    </row>
    <row r="792" spans="1:4" ht="14.25" customHeight="1" x14ac:dyDescent="0.3">
      <c r="A792" s="46"/>
      <c r="B792" s="46"/>
      <c r="C792" s="46"/>
      <c r="D792" s="46"/>
    </row>
    <row r="793" spans="1:4" ht="14.25" customHeight="1" x14ac:dyDescent="0.3">
      <c r="A793" s="46"/>
      <c r="B793" s="46"/>
      <c r="C793" s="46"/>
      <c r="D793" s="46"/>
    </row>
    <row r="794" spans="1:4" ht="14.25" customHeight="1" x14ac:dyDescent="0.3">
      <c r="A794" s="46"/>
      <c r="B794" s="46"/>
      <c r="C794" s="46"/>
      <c r="D794" s="46"/>
    </row>
    <row r="795" spans="1:4" ht="14.25" customHeight="1" x14ac:dyDescent="0.3">
      <c r="A795" s="46"/>
      <c r="B795" s="46"/>
      <c r="C795" s="46"/>
      <c r="D795" s="46"/>
    </row>
    <row r="796" spans="1:4" ht="14.25" customHeight="1" x14ac:dyDescent="0.3">
      <c r="A796" s="46"/>
      <c r="B796" s="46"/>
      <c r="C796" s="46"/>
      <c r="D796" s="46"/>
    </row>
    <row r="797" spans="1:4" ht="14.25" customHeight="1" x14ac:dyDescent="0.3">
      <c r="A797" s="46"/>
      <c r="B797" s="46"/>
      <c r="C797" s="46"/>
      <c r="D797" s="46"/>
    </row>
    <row r="798" spans="1:4" ht="14.25" customHeight="1" x14ac:dyDescent="0.3">
      <c r="A798" s="46"/>
      <c r="B798" s="46"/>
      <c r="C798" s="46"/>
      <c r="D798" s="46"/>
    </row>
    <row r="799" spans="1:4" ht="14.25" customHeight="1" x14ac:dyDescent="0.3">
      <c r="A799" s="46"/>
      <c r="B799" s="46"/>
      <c r="C799" s="46"/>
      <c r="D799" s="46"/>
    </row>
    <row r="800" spans="1:4" ht="14.25" customHeight="1" x14ac:dyDescent="0.3">
      <c r="A800" s="46"/>
      <c r="B800" s="46"/>
      <c r="C800" s="46"/>
      <c r="D800" s="46"/>
    </row>
    <row r="801" spans="1:4" ht="14.25" customHeight="1" x14ac:dyDescent="0.3">
      <c r="A801" s="46"/>
      <c r="B801" s="46"/>
      <c r="C801" s="46"/>
      <c r="D801" s="46"/>
    </row>
    <row r="802" spans="1:4" ht="14.25" customHeight="1" x14ac:dyDescent="0.3">
      <c r="A802" s="46"/>
      <c r="B802" s="46"/>
      <c r="C802" s="46"/>
      <c r="D802" s="46"/>
    </row>
    <row r="803" spans="1:4" ht="14.25" customHeight="1" x14ac:dyDescent="0.3">
      <c r="A803" s="46"/>
      <c r="B803" s="46"/>
      <c r="C803" s="46"/>
      <c r="D803" s="46"/>
    </row>
    <row r="804" spans="1:4" ht="14.25" customHeight="1" x14ac:dyDescent="0.3">
      <c r="A804" s="46"/>
      <c r="B804" s="46"/>
      <c r="C804" s="46"/>
      <c r="D804" s="46"/>
    </row>
    <row r="805" spans="1:4" ht="14.25" customHeight="1" x14ac:dyDescent="0.3">
      <c r="A805" s="46"/>
      <c r="B805" s="46"/>
      <c r="C805" s="46"/>
      <c r="D805" s="46"/>
    </row>
    <row r="806" spans="1:4" ht="14.25" customHeight="1" x14ac:dyDescent="0.3">
      <c r="A806" s="46"/>
      <c r="B806" s="46"/>
      <c r="C806" s="46"/>
      <c r="D806" s="46"/>
    </row>
    <row r="807" spans="1:4" ht="14.25" customHeight="1" x14ac:dyDescent="0.3">
      <c r="A807" s="46"/>
      <c r="B807" s="46"/>
      <c r="C807" s="46"/>
      <c r="D807" s="46"/>
    </row>
    <row r="808" spans="1:4" ht="14.25" customHeight="1" x14ac:dyDescent="0.3">
      <c r="A808" s="46"/>
      <c r="B808" s="46"/>
      <c r="C808" s="46"/>
      <c r="D808" s="46"/>
    </row>
    <row r="809" spans="1:4" ht="14.25" customHeight="1" x14ac:dyDescent="0.3">
      <c r="A809" s="46"/>
      <c r="B809" s="46"/>
      <c r="C809" s="46"/>
      <c r="D809" s="46"/>
    </row>
    <row r="810" spans="1:4" ht="14.25" customHeight="1" x14ac:dyDescent="0.3">
      <c r="A810" s="46"/>
      <c r="B810" s="46"/>
      <c r="C810" s="46"/>
      <c r="D810" s="46"/>
    </row>
    <row r="811" spans="1:4" ht="14.25" customHeight="1" x14ac:dyDescent="0.3">
      <c r="A811" s="46"/>
      <c r="B811" s="46"/>
      <c r="C811" s="46"/>
      <c r="D811" s="46"/>
    </row>
    <row r="812" spans="1:4" ht="14.25" customHeight="1" x14ac:dyDescent="0.3">
      <c r="A812" s="46"/>
      <c r="B812" s="46"/>
      <c r="C812" s="46"/>
      <c r="D812" s="46"/>
    </row>
    <row r="813" spans="1:4" ht="14.25" customHeight="1" x14ac:dyDescent="0.3">
      <c r="A813" s="46"/>
      <c r="B813" s="46"/>
      <c r="C813" s="46"/>
      <c r="D813" s="46"/>
    </row>
    <row r="814" spans="1:4" ht="14.25" customHeight="1" x14ac:dyDescent="0.3">
      <c r="A814" s="46"/>
      <c r="B814" s="46"/>
      <c r="C814" s="46"/>
      <c r="D814" s="46"/>
    </row>
    <row r="815" spans="1:4" ht="14.25" customHeight="1" x14ac:dyDescent="0.3">
      <c r="A815" s="46"/>
      <c r="B815" s="46"/>
      <c r="C815" s="46"/>
      <c r="D815" s="46"/>
    </row>
    <row r="816" spans="1:4" ht="14.25" customHeight="1" x14ac:dyDescent="0.3">
      <c r="A816" s="46"/>
      <c r="B816" s="46"/>
      <c r="C816" s="46"/>
      <c r="D816" s="46"/>
    </row>
    <row r="817" spans="1:4" ht="14.25" customHeight="1" x14ac:dyDescent="0.3">
      <c r="A817" s="46"/>
      <c r="B817" s="46"/>
      <c r="C817" s="46"/>
      <c r="D817" s="46"/>
    </row>
    <row r="818" spans="1:4" ht="14.25" customHeight="1" x14ac:dyDescent="0.3">
      <c r="A818" s="46"/>
      <c r="B818" s="46"/>
      <c r="C818" s="46"/>
      <c r="D818" s="46"/>
    </row>
    <row r="819" spans="1:4" ht="14.25" customHeight="1" x14ac:dyDescent="0.3">
      <c r="A819" s="46"/>
      <c r="B819" s="46"/>
      <c r="C819" s="46"/>
      <c r="D819" s="46"/>
    </row>
    <row r="820" spans="1:4" ht="14.25" customHeight="1" x14ac:dyDescent="0.3">
      <c r="A820" s="46"/>
      <c r="B820" s="46"/>
      <c r="C820" s="46"/>
      <c r="D820" s="46"/>
    </row>
    <row r="821" spans="1:4" ht="14.25" customHeight="1" x14ac:dyDescent="0.3">
      <c r="A821" s="46"/>
      <c r="B821" s="46"/>
      <c r="C821" s="46"/>
      <c r="D821" s="46"/>
    </row>
    <row r="822" spans="1:4" ht="14.25" customHeight="1" x14ac:dyDescent="0.3">
      <c r="A822" s="46"/>
      <c r="B822" s="46"/>
      <c r="C822" s="46"/>
      <c r="D822" s="46"/>
    </row>
    <row r="823" spans="1:4" ht="14.25" customHeight="1" x14ac:dyDescent="0.3">
      <c r="A823" s="46"/>
      <c r="B823" s="46"/>
      <c r="C823" s="46"/>
      <c r="D823" s="46"/>
    </row>
    <row r="824" spans="1:4" ht="14.25" customHeight="1" x14ac:dyDescent="0.3">
      <c r="A824" s="46"/>
      <c r="B824" s="46"/>
      <c r="C824" s="46"/>
      <c r="D824" s="46"/>
    </row>
    <row r="825" spans="1:4" ht="14.25" customHeight="1" x14ac:dyDescent="0.3">
      <c r="A825" s="46"/>
      <c r="B825" s="46"/>
      <c r="C825" s="46"/>
      <c r="D825" s="46"/>
    </row>
    <row r="826" spans="1:4" ht="14.25" customHeight="1" x14ac:dyDescent="0.3">
      <c r="A826" s="46"/>
      <c r="B826" s="46"/>
      <c r="C826" s="46"/>
      <c r="D826" s="46"/>
    </row>
    <row r="827" spans="1:4" ht="14.25" customHeight="1" x14ac:dyDescent="0.3">
      <c r="A827" s="46"/>
      <c r="B827" s="46"/>
      <c r="C827" s="46"/>
      <c r="D827" s="46"/>
    </row>
    <row r="828" spans="1:4" ht="14.25" customHeight="1" x14ac:dyDescent="0.3">
      <c r="A828" s="46"/>
      <c r="B828" s="46"/>
      <c r="C828" s="46"/>
      <c r="D828" s="46"/>
    </row>
    <row r="829" spans="1:4" ht="14.25" customHeight="1" x14ac:dyDescent="0.3">
      <c r="A829" s="46"/>
      <c r="B829" s="46"/>
      <c r="C829" s="46"/>
      <c r="D829" s="46"/>
    </row>
    <row r="830" spans="1:4" ht="14.25" customHeight="1" x14ac:dyDescent="0.3">
      <c r="A830" s="46"/>
      <c r="B830" s="46"/>
      <c r="C830" s="46"/>
      <c r="D830" s="46"/>
    </row>
    <row r="831" spans="1:4" ht="14.25" customHeight="1" x14ac:dyDescent="0.3">
      <c r="A831" s="46"/>
      <c r="B831" s="46"/>
      <c r="C831" s="46"/>
      <c r="D831" s="46"/>
    </row>
    <row r="832" spans="1:4" ht="14.25" customHeight="1" x14ac:dyDescent="0.3">
      <c r="A832" s="46"/>
      <c r="B832" s="46"/>
      <c r="C832" s="46"/>
      <c r="D832" s="46"/>
    </row>
    <row r="833" spans="1:4" ht="14.25" customHeight="1" x14ac:dyDescent="0.3">
      <c r="A833" s="46"/>
      <c r="B833" s="46"/>
      <c r="C833" s="46"/>
      <c r="D833" s="46"/>
    </row>
    <row r="834" spans="1:4" ht="14.25" customHeight="1" x14ac:dyDescent="0.3">
      <c r="A834" s="46"/>
      <c r="B834" s="46"/>
      <c r="C834" s="46"/>
      <c r="D834" s="46"/>
    </row>
    <row r="835" spans="1:4" ht="14.25" customHeight="1" x14ac:dyDescent="0.3">
      <c r="A835" s="46"/>
      <c r="B835" s="46"/>
      <c r="C835" s="46"/>
      <c r="D835" s="46"/>
    </row>
    <row r="836" spans="1:4" ht="14.25" customHeight="1" x14ac:dyDescent="0.3">
      <c r="A836" s="46"/>
      <c r="B836" s="46"/>
      <c r="C836" s="46"/>
      <c r="D836" s="46"/>
    </row>
    <row r="837" spans="1:4" ht="14.25" customHeight="1" x14ac:dyDescent="0.3">
      <c r="A837" s="46"/>
      <c r="B837" s="46"/>
      <c r="C837" s="46"/>
      <c r="D837" s="46"/>
    </row>
    <row r="838" spans="1:4" ht="14.25" customHeight="1" x14ac:dyDescent="0.3">
      <c r="A838" s="46"/>
      <c r="B838" s="46"/>
      <c r="C838" s="46"/>
      <c r="D838" s="46"/>
    </row>
    <row r="839" spans="1:4" ht="14.25" customHeight="1" x14ac:dyDescent="0.3">
      <c r="A839" s="46"/>
      <c r="B839" s="46"/>
      <c r="C839" s="46"/>
      <c r="D839" s="46"/>
    </row>
    <row r="840" spans="1:4" ht="14.25" customHeight="1" x14ac:dyDescent="0.3">
      <c r="A840" s="46"/>
      <c r="B840" s="46"/>
      <c r="C840" s="46"/>
      <c r="D840" s="46"/>
    </row>
    <row r="841" spans="1:4" ht="14.25" customHeight="1" x14ac:dyDescent="0.3">
      <c r="A841" s="46"/>
      <c r="B841" s="46"/>
      <c r="C841" s="46"/>
      <c r="D841" s="46"/>
    </row>
    <row r="842" spans="1:4" ht="14.25" customHeight="1" x14ac:dyDescent="0.3">
      <c r="A842" s="46"/>
      <c r="B842" s="46"/>
      <c r="C842" s="46"/>
      <c r="D842" s="46"/>
    </row>
    <row r="843" spans="1:4" ht="14.25" customHeight="1" x14ac:dyDescent="0.3">
      <c r="A843" s="46"/>
      <c r="B843" s="46"/>
      <c r="C843" s="46"/>
      <c r="D843" s="46"/>
    </row>
    <row r="844" spans="1:4" ht="14.25" customHeight="1" x14ac:dyDescent="0.3">
      <c r="A844" s="46"/>
      <c r="B844" s="46"/>
      <c r="C844" s="46"/>
      <c r="D844" s="46"/>
    </row>
    <row r="845" spans="1:4" ht="14.25" customHeight="1" x14ac:dyDescent="0.3">
      <c r="A845" s="46"/>
      <c r="B845" s="46"/>
      <c r="C845" s="46"/>
      <c r="D845" s="46"/>
    </row>
    <row r="846" spans="1:4" ht="14.25" customHeight="1" x14ac:dyDescent="0.3">
      <c r="A846" s="46"/>
      <c r="B846" s="46"/>
      <c r="C846" s="46"/>
      <c r="D846" s="46"/>
    </row>
    <row r="847" spans="1:4" ht="14.25" customHeight="1" x14ac:dyDescent="0.3">
      <c r="A847" s="46"/>
      <c r="B847" s="46"/>
      <c r="C847" s="46"/>
      <c r="D847" s="46"/>
    </row>
    <row r="848" spans="1:4" ht="14.25" customHeight="1" x14ac:dyDescent="0.3">
      <c r="A848" s="46"/>
      <c r="B848" s="46"/>
      <c r="C848" s="46"/>
      <c r="D848" s="46"/>
    </row>
    <row r="849" spans="1:4" ht="14.25" customHeight="1" x14ac:dyDescent="0.3">
      <c r="A849" s="46"/>
      <c r="B849" s="46"/>
      <c r="C849" s="46"/>
      <c r="D849" s="46"/>
    </row>
    <row r="850" spans="1:4" ht="14.25" customHeight="1" x14ac:dyDescent="0.3">
      <c r="A850" s="46"/>
      <c r="B850" s="46"/>
      <c r="C850" s="46"/>
      <c r="D850" s="46"/>
    </row>
    <row r="851" spans="1:4" ht="14.25" customHeight="1" x14ac:dyDescent="0.3">
      <c r="A851" s="46"/>
      <c r="B851" s="46"/>
      <c r="C851" s="46"/>
      <c r="D851" s="46"/>
    </row>
    <row r="852" spans="1:4" ht="14.25" customHeight="1" x14ac:dyDescent="0.3">
      <c r="A852" s="46"/>
      <c r="B852" s="46"/>
      <c r="C852" s="46"/>
      <c r="D852" s="46"/>
    </row>
    <row r="853" spans="1:4" ht="14.25" customHeight="1" x14ac:dyDescent="0.3">
      <c r="A853" s="46"/>
      <c r="B853" s="46"/>
      <c r="C853" s="46"/>
      <c r="D853" s="46"/>
    </row>
    <row r="854" spans="1:4" ht="14.25" customHeight="1" x14ac:dyDescent="0.3">
      <c r="A854" s="46"/>
      <c r="B854" s="46"/>
      <c r="C854" s="46"/>
      <c r="D854" s="46"/>
    </row>
    <row r="855" spans="1:4" ht="14.25" customHeight="1" x14ac:dyDescent="0.3">
      <c r="A855" s="46"/>
      <c r="B855" s="46"/>
      <c r="C855" s="46"/>
      <c r="D855" s="46"/>
    </row>
    <row r="856" spans="1:4" ht="14.25" customHeight="1" x14ac:dyDescent="0.3">
      <c r="A856" s="46"/>
      <c r="B856" s="46"/>
      <c r="C856" s="46"/>
      <c r="D856" s="46"/>
    </row>
    <row r="857" spans="1:4" ht="14.25" customHeight="1" x14ac:dyDescent="0.3">
      <c r="A857" s="46"/>
      <c r="B857" s="46"/>
      <c r="C857" s="46"/>
      <c r="D857" s="46"/>
    </row>
    <row r="858" spans="1:4" ht="14.25" customHeight="1" x14ac:dyDescent="0.3">
      <c r="A858" s="46"/>
      <c r="B858" s="46"/>
      <c r="C858" s="46"/>
      <c r="D858" s="46"/>
    </row>
    <row r="859" spans="1:4" ht="14.25" customHeight="1" x14ac:dyDescent="0.3">
      <c r="A859" s="46"/>
      <c r="B859" s="46"/>
      <c r="C859" s="46"/>
      <c r="D859" s="46"/>
    </row>
    <row r="860" spans="1:4" ht="14.25" customHeight="1" x14ac:dyDescent="0.3">
      <c r="A860" s="46"/>
      <c r="B860" s="46"/>
      <c r="C860" s="46"/>
      <c r="D860" s="46"/>
    </row>
    <row r="861" spans="1:4" ht="14.25" customHeight="1" x14ac:dyDescent="0.3">
      <c r="A861" s="46"/>
      <c r="B861" s="46"/>
      <c r="C861" s="46"/>
      <c r="D861" s="46"/>
    </row>
    <row r="862" spans="1:4" ht="14.25" customHeight="1" x14ac:dyDescent="0.3">
      <c r="A862" s="46"/>
      <c r="B862" s="46"/>
      <c r="C862" s="46"/>
      <c r="D862" s="46"/>
    </row>
    <row r="863" spans="1:4" ht="14.25" customHeight="1" x14ac:dyDescent="0.3">
      <c r="A863" s="46"/>
      <c r="B863" s="46"/>
      <c r="C863" s="46"/>
      <c r="D863" s="46"/>
    </row>
    <row r="864" spans="1:4" ht="14.25" customHeight="1" x14ac:dyDescent="0.3">
      <c r="A864" s="46"/>
      <c r="B864" s="46"/>
      <c r="C864" s="46"/>
      <c r="D864" s="46"/>
    </row>
    <row r="865" spans="1:4" ht="14.25" customHeight="1" x14ac:dyDescent="0.3">
      <c r="A865" s="46"/>
      <c r="B865" s="46"/>
      <c r="C865" s="46"/>
      <c r="D865" s="46"/>
    </row>
    <row r="866" spans="1:4" ht="14.25" customHeight="1" x14ac:dyDescent="0.3">
      <c r="A866" s="46"/>
      <c r="B866" s="46"/>
      <c r="C866" s="46"/>
      <c r="D866" s="46"/>
    </row>
    <row r="867" spans="1:4" ht="14.25" customHeight="1" x14ac:dyDescent="0.3">
      <c r="A867" s="46"/>
      <c r="B867" s="46"/>
      <c r="C867" s="46"/>
      <c r="D867" s="46"/>
    </row>
    <row r="868" spans="1:4" ht="14.25" customHeight="1" x14ac:dyDescent="0.3">
      <c r="A868" s="46"/>
      <c r="B868" s="46"/>
      <c r="C868" s="46"/>
      <c r="D868" s="46"/>
    </row>
    <row r="869" spans="1:4" ht="14.25" customHeight="1" x14ac:dyDescent="0.3">
      <c r="A869" s="46"/>
      <c r="B869" s="46"/>
      <c r="C869" s="46"/>
      <c r="D869" s="46"/>
    </row>
    <row r="870" spans="1:4" ht="14.25" customHeight="1" x14ac:dyDescent="0.3">
      <c r="A870" s="46"/>
      <c r="B870" s="46"/>
      <c r="C870" s="46"/>
      <c r="D870" s="46"/>
    </row>
    <row r="871" spans="1:4" ht="14.25" customHeight="1" x14ac:dyDescent="0.3">
      <c r="A871" s="46"/>
      <c r="B871" s="46"/>
      <c r="C871" s="46"/>
      <c r="D871" s="46"/>
    </row>
    <row r="872" spans="1:4" ht="14.25" customHeight="1" x14ac:dyDescent="0.3">
      <c r="A872" s="46"/>
      <c r="B872" s="46"/>
      <c r="C872" s="46"/>
      <c r="D872" s="46"/>
    </row>
    <row r="873" spans="1:4" ht="14.25" customHeight="1" x14ac:dyDescent="0.3">
      <c r="A873" s="46"/>
      <c r="B873" s="46"/>
      <c r="C873" s="46"/>
      <c r="D873" s="46"/>
    </row>
    <row r="874" spans="1:4" ht="14.25" customHeight="1" x14ac:dyDescent="0.3">
      <c r="A874" s="46"/>
      <c r="B874" s="46"/>
      <c r="C874" s="46"/>
      <c r="D874" s="46"/>
    </row>
    <row r="875" spans="1:4" ht="14.25" customHeight="1" x14ac:dyDescent="0.3">
      <c r="A875" s="46"/>
      <c r="B875" s="46"/>
      <c r="C875" s="46"/>
      <c r="D875" s="46"/>
    </row>
    <row r="876" spans="1:4" ht="14.25" customHeight="1" x14ac:dyDescent="0.3">
      <c r="A876" s="46"/>
      <c r="B876" s="46"/>
      <c r="C876" s="46"/>
      <c r="D876" s="46"/>
    </row>
    <row r="877" spans="1:4" ht="14.25" customHeight="1" x14ac:dyDescent="0.3">
      <c r="A877" s="46"/>
      <c r="B877" s="46"/>
      <c r="C877" s="46"/>
      <c r="D877" s="46"/>
    </row>
    <row r="878" spans="1:4" ht="14.25" customHeight="1" x14ac:dyDescent="0.3">
      <c r="A878" s="46"/>
      <c r="B878" s="46"/>
      <c r="C878" s="46"/>
      <c r="D878" s="46"/>
    </row>
    <row r="879" spans="1:4" ht="14.25" customHeight="1" x14ac:dyDescent="0.3">
      <c r="A879" s="46"/>
      <c r="B879" s="46"/>
      <c r="C879" s="46"/>
      <c r="D879" s="46"/>
    </row>
    <row r="880" spans="1:4" ht="14.25" customHeight="1" x14ac:dyDescent="0.3">
      <c r="A880" s="46"/>
      <c r="B880" s="46"/>
      <c r="C880" s="46"/>
      <c r="D880" s="46"/>
    </row>
    <row r="881" spans="1:4" ht="14.25" customHeight="1" x14ac:dyDescent="0.3">
      <c r="A881" s="46"/>
      <c r="B881" s="46"/>
      <c r="C881" s="46"/>
      <c r="D881" s="46"/>
    </row>
    <row r="882" spans="1:4" ht="14.25" customHeight="1" x14ac:dyDescent="0.3">
      <c r="A882" s="46"/>
      <c r="B882" s="46"/>
      <c r="C882" s="46"/>
      <c r="D882" s="46"/>
    </row>
    <row r="883" spans="1:4" ht="14.25" customHeight="1" x14ac:dyDescent="0.3">
      <c r="A883" s="46"/>
      <c r="B883" s="46"/>
      <c r="C883" s="46"/>
      <c r="D883" s="46"/>
    </row>
    <row r="884" spans="1:4" ht="14.25" customHeight="1" x14ac:dyDescent="0.3">
      <c r="A884" s="46"/>
      <c r="B884" s="46"/>
      <c r="C884" s="46"/>
      <c r="D884" s="46"/>
    </row>
    <row r="885" spans="1:4" ht="14.25" customHeight="1" x14ac:dyDescent="0.3">
      <c r="A885" s="46"/>
      <c r="B885" s="46"/>
      <c r="C885" s="46"/>
      <c r="D885" s="46"/>
    </row>
    <row r="886" spans="1:4" ht="14.25" customHeight="1" x14ac:dyDescent="0.3">
      <c r="A886" s="46"/>
      <c r="B886" s="46"/>
      <c r="C886" s="46"/>
      <c r="D886" s="46"/>
    </row>
    <row r="887" spans="1:4" ht="14.25" customHeight="1" x14ac:dyDescent="0.3">
      <c r="A887" s="46"/>
      <c r="B887" s="46"/>
      <c r="C887" s="46"/>
      <c r="D887" s="46"/>
    </row>
    <row r="888" spans="1:4" ht="14.25" customHeight="1" x14ac:dyDescent="0.3">
      <c r="A888" s="46"/>
      <c r="B888" s="46"/>
      <c r="C888" s="46"/>
      <c r="D888" s="46"/>
    </row>
    <row r="889" spans="1:4" ht="14.25" customHeight="1" x14ac:dyDescent="0.3">
      <c r="A889" s="46"/>
      <c r="B889" s="46"/>
      <c r="C889" s="46"/>
      <c r="D889" s="46"/>
    </row>
    <row r="890" spans="1:4" ht="14.25" customHeight="1" x14ac:dyDescent="0.3">
      <c r="A890" s="46"/>
      <c r="B890" s="46"/>
      <c r="C890" s="46"/>
      <c r="D890" s="46"/>
    </row>
    <row r="891" spans="1:4" ht="14.25" customHeight="1" x14ac:dyDescent="0.3">
      <c r="A891" s="46"/>
      <c r="B891" s="46"/>
      <c r="C891" s="46"/>
      <c r="D891" s="46"/>
    </row>
    <row r="892" spans="1:4" ht="14.25" customHeight="1" x14ac:dyDescent="0.3">
      <c r="A892" s="46"/>
      <c r="B892" s="46"/>
      <c r="C892" s="46"/>
      <c r="D892" s="46"/>
    </row>
    <row r="893" spans="1:4" ht="14.25" customHeight="1" x14ac:dyDescent="0.3">
      <c r="A893" s="46"/>
      <c r="B893" s="46"/>
      <c r="C893" s="46"/>
      <c r="D893" s="46"/>
    </row>
    <row r="894" spans="1:4" ht="14.25" customHeight="1" x14ac:dyDescent="0.3">
      <c r="A894" s="46"/>
      <c r="B894" s="46"/>
      <c r="C894" s="46"/>
      <c r="D894" s="46"/>
    </row>
    <row r="895" spans="1:4" ht="14.25" customHeight="1" x14ac:dyDescent="0.3">
      <c r="A895" s="46"/>
      <c r="B895" s="46"/>
      <c r="C895" s="46"/>
      <c r="D895" s="46"/>
    </row>
    <row r="896" spans="1:4" ht="14.25" customHeight="1" x14ac:dyDescent="0.3">
      <c r="A896" s="46"/>
      <c r="B896" s="46"/>
      <c r="C896" s="46"/>
      <c r="D896" s="46"/>
    </row>
    <row r="897" spans="1:4" ht="14.25" customHeight="1" x14ac:dyDescent="0.3">
      <c r="A897" s="46"/>
      <c r="B897" s="46"/>
      <c r="C897" s="46"/>
      <c r="D897" s="46"/>
    </row>
    <row r="898" spans="1:4" ht="14.25" customHeight="1" x14ac:dyDescent="0.3">
      <c r="A898" s="46"/>
      <c r="B898" s="46"/>
      <c r="C898" s="46"/>
      <c r="D898" s="46"/>
    </row>
    <row r="899" spans="1:4" ht="14.25" customHeight="1" x14ac:dyDescent="0.3">
      <c r="A899" s="46"/>
      <c r="B899" s="46"/>
      <c r="C899" s="46"/>
      <c r="D899" s="46"/>
    </row>
    <row r="900" spans="1:4" ht="14.25" customHeight="1" x14ac:dyDescent="0.3">
      <c r="A900" s="46"/>
      <c r="B900" s="46"/>
      <c r="C900" s="46"/>
      <c r="D900" s="46"/>
    </row>
    <row r="901" spans="1:4" ht="14.25" customHeight="1" x14ac:dyDescent="0.3">
      <c r="A901" s="46"/>
      <c r="B901" s="46"/>
      <c r="C901" s="46"/>
      <c r="D901" s="46"/>
    </row>
    <row r="902" spans="1:4" ht="14.25" customHeight="1" x14ac:dyDescent="0.3">
      <c r="A902" s="46"/>
      <c r="B902" s="46"/>
      <c r="C902" s="46"/>
      <c r="D902" s="46"/>
    </row>
    <row r="903" spans="1:4" ht="14.25" customHeight="1" x14ac:dyDescent="0.3">
      <c r="A903" s="46"/>
      <c r="B903" s="46"/>
      <c r="C903" s="46"/>
      <c r="D903" s="46"/>
    </row>
    <row r="904" spans="1:4" ht="14.25" customHeight="1" x14ac:dyDescent="0.3">
      <c r="A904" s="46"/>
      <c r="B904" s="46"/>
      <c r="C904" s="46"/>
      <c r="D904" s="46"/>
    </row>
    <row r="905" spans="1:4" ht="14.25" customHeight="1" x14ac:dyDescent="0.3">
      <c r="A905" s="46"/>
      <c r="B905" s="46"/>
      <c r="C905" s="46"/>
      <c r="D905" s="46"/>
    </row>
    <row r="906" spans="1:4" ht="14.25" customHeight="1" x14ac:dyDescent="0.3">
      <c r="A906" s="46"/>
      <c r="B906" s="46"/>
      <c r="C906" s="46"/>
      <c r="D906" s="46"/>
    </row>
    <row r="907" spans="1:4" ht="14.25" customHeight="1" x14ac:dyDescent="0.3">
      <c r="A907" s="46"/>
      <c r="B907" s="46"/>
      <c r="C907" s="46"/>
      <c r="D907" s="46"/>
    </row>
    <row r="908" spans="1:4" ht="14.25" customHeight="1" x14ac:dyDescent="0.3">
      <c r="A908" s="46"/>
      <c r="B908" s="46"/>
      <c r="C908" s="46"/>
      <c r="D908" s="46"/>
    </row>
    <row r="909" spans="1:4" ht="14.25" customHeight="1" x14ac:dyDescent="0.3">
      <c r="A909" s="46"/>
      <c r="B909" s="46"/>
      <c r="C909" s="46"/>
      <c r="D909" s="46"/>
    </row>
    <row r="910" spans="1:4" ht="14.25" customHeight="1" x14ac:dyDescent="0.3">
      <c r="A910" s="46"/>
      <c r="B910" s="46"/>
      <c r="C910" s="46"/>
      <c r="D910" s="46"/>
    </row>
    <row r="911" spans="1:4" ht="14.25" customHeight="1" x14ac:dyDescent="0.3">
      <c r="A911" s="46"/>
      <c r="B911" s="46"/>
      <c r="C911" s="46"/>
      <c r="D911" s="46"/>
    </row>
    <row r="912" spans="1:4" ht="14.25" customHeight="1" x14ac:dyDescent="0.3">
      <c r="A912" s="46"/>
      <c r="B912" s="46"/>
      <c r="C912" s="46"/>
      <c r="D912" s="46"/>
    </row>
    <row r="913" spans="1:4" ht="14.25" customHeight="1" x14ac:dyDescent="0.3">
      <c r="A913" s="46"/>
      <c r="B913" s="46"/>
      <c r="C913" s="46"/>
      <c r="D913" s="46"/>
    </row>
    <row r="914" spans="1:4" ht="14.25" customHeight="1" x14ac:dyDescent="0.3">
      <c r="A914" s="46"/>
      <c r="B914" s="46"/>
      <c r="C914" s="46"/>
      <c r="D914" s="46"/>
    </row>
    <row r="915" spans="1:4" ht="14.25" customHeight="1" x14ac:dyDescent="0.3">
      <c r="A915" s="46"/>
      <c r="B915" s="46"/>
      <c r="C915" s="46"/>
      <c r="D915" s="46"/>
    </row>
    <row r="916" spans="1:4" ht="14.25" customHeight="1" x14ac:dyDescent="0.3">
      <c r="A916" s="46"/>
      <c r="B916" s="46"/>
      <c r="C916" s="46"/>
      <c r="D916" s="46"/>
    </row>
    <row r="917" spans="1:4" ht="14.25" customHeight="1" x14ac:dyDescent="0.3">
      <c r="A917" s="46"/>
      <c r="B917" s="46"/>
      <c r="C917" s="46"/>
      <c r="D917" s="46"/>
    </row>
    <row r="918" spans="1:4" ht="14.25" customHeight="1" x14ac:dyDescent="0.3">
      <c r="A918" s="46"/>
      <c r="B918" s="46"/>
      <c r="C918" s="46"/>
      <c r="D918" s="46"/>
    </row>
    <row r="919" spans="1:4" ht="14.25" customHeight="1" x14ac:dyDescent="0.3">
      <c r="A919" s="46"/>
      <c r="B919" s="46"/>
      <c r="C919" s="46"/>
      <c r="D919" s="46"/>
    </row>
    <row r="920" spans="1:4" ht="14.25" customHeight="1" x14ac:dyDescent="0.3">
      <c r="A920" s="46"/>
      <c r="B920" s="46"/>
      <c r="C920" s="46"/>
      <c r="D920" s="46"/>
    </row>
    <row r="921" spans="1:4" ht="14.25" customHeight="1" x14ac:dyDescent="0.3">
      <c r="A921" s="46"/>
      <c r="B921" s="46"/>
      <c r="C921" s="46"/>
      <c r="D921" s="46"/>
    </row>
    <row r="922" spans="1:4" ht="14.25" customHeight="1" x14ac:dyDescent="0.3">
      <c r="A922" s="46"/>
      <c r="B922" s="46"/>
      <c r="C922" s="46"/>
      <c r="D922" s="46"/>
    </row>
    <row r="923" spans="1:4" ht="14.25" customHeight="1" x14ac:dyDescent="0.3">
      <c r="A923" s="46"/>
      <c r="B923" s="46"/>
      <c r="C923" s="46"/>
      <c r="D923" s="46"/>
    </row>
    <row r="924" spans="1:4" ht="14.25" customHeight="1" x14ac:dyDescent="0.3">
      <c r="A924" s="46"/>
      <c r="B924" s="46"/>
      <c r="C924" s="46"/>
      <c r="D924" s="46"/>
    </row>
    <row r="925" spans="1:4" ht="14.25" customHeight="1" x14ac:dyDescent="0.3">
      <c r="A925" s="46"/>
      <c r="B925" s="46"/>
      <c r="C925" s="46"/>
      <c r="D925" s="46"/>
    </row>
    <row r="926" spans="1:4" ht="14.25" customHeight="1" x14ac:dyDescent="0.3">
      <c r="A926" s="46"/>
      <c r="B926" s="46"/>
      <c r="C926" s="46"/>
      <c r="D926" s="46"/>
    </row>
    <row r="927" spans="1:4" ht="14.25" customHeight="1" x14ac:dyDescent="0.3">
      <c r="A927" s="46"/>
      <c r="B927" s="46"/>
      <c r="C927" s="46"/>
      <c r="D927" s="46"/>
    </row>
    <row r="928" spans="1:4" ht="14.25" customHeight="1" x14ac:dyDescent="0.3">
      <c r="A928" s="46"/>
      <c r="B928" s="46"/>
      <c r="C928" s="46"/>
      <c r="D928" s="46"/>
    </row>
    <row r="929" spans="1:4" ht="14.25" customHeight="1" x14ac:dyDescent="0.3">
      <c r="A929" s="46"/>
      <c r="B929" s="46"/>
      <c r="C929" s="46"/>
      <c r="D929" s="46"/>
    </row>
    <row r="930" spans="1:4" ht="14.25" customHeight="1" x14ac:dyDescent="0.3">
      <c r="A930" s="46"/>
      <c r="B930" s="46"/>
      <c r="C930" s="46"/>
      <c r="D930" s="46"/>
    </row>
    <row r="931" spans="1:4" ht="14.25" customHeight="1" x14ac:dyDescent="0.3">
      <c r="A931" s="46"/>
      <c r="B931" s="46"/>
      <c r="C931" s="46"/>
      <c r="D931" s="46"/>
    </row>
    <row r="932" spans="1:4" ht="14.25" customHeight="1" x14ac:dyDescent="0.3">
      <c r="A932" s="46"/>
      <c r="B932" s="46"/>
      <c r="C932" s="46"/>
      <c r="D932" s="46"/>
    </row>
    <row r="933" spans="1:4" ht="14.25" customHeight="1" x14ac:dyDescent="0.3">
      <c r="A933" s="46"/>
      <c r="B933" s="46"/>
      <c r="C933" s="46"/>
      <c r="D933" s="46"/>
    </row>
    <row r="934" spans="1:4" ht="14.25" customHeight="1" x14ac:dyDescent="0.3">
      <c r="A934" s="46"/>
      <c r="B934" s="46"/>
      <c r="C934" s="46"/>
      <c r="D934" s="46"/>
    </row>
    <row r="935" spans="1:4" ht="14.25" customHeight="1" x14ac:dyDescent="0.3">
      <c r="A935" s="46"/>
      <c r="B935" s="46"/>
      <c r="C935" s="46"/>
      <c r="D935" s="46"/>
    </row>
    <row r="936" spans="1:4" ht="14.25" customHeight="1" x14ac:dyDescent="0.3">
      <c r="A936" s="46"/>
      <c r="B936" s="46"/>
      <c r="C936" s="46"/>
      <c r="D936" s="46"/>
    </row>
    <row r="937" spans="1:4" ht="14.25" customHeight="1" x14ac:dyDescent="0.3">
      <c r="A937" s="46"/>
      <c r="B937" s="46"/>
      <c r="C937" s="46"/>
      <c r="D937" s="46"/>
    </row>
    <row r="938" spans="1:4" ht="14.25" customHeight="1" x14ac:dyDescent="0.3">
      <c r="A938" s="46"/>
      <c r="B938" s="46"/>
      <c r="C938" s="46"/>
      <c r="D938" s="46"/>
    </row>
    <row r="939" spans="1:4" ht="14.25" customHeight="1" x14ac:dyDescent="0.3">
      <c r="A939" s="46"/>
      <c r="B939" s="46"/>
      <c r="C939" s="46"/>
      <c r="D939" s="46"/>
    </row>
    <row r="940" spans="1:4" ht="14.25" customHeight="1" x14ac:dyDescent="0.3">
      <c r="A940" s="46"/>
      <c r="B940" s="46"/>
      <c r="C940" s="46"/>
      <c r="D940" s="46"/>
    </row>
    <row r="941" spans="1:4" ht="14.25" customHeight="1" x14ac:dyDescent="0.3">
      <c r="A941" s="46"/>
      <c r="B941" s="46"/>
      <c r="C941" s="46"/>
      <c r="D941" s="46"/>
    </row>
    <row r="942" spans="1:4" ht="14.25" customHeight="1" x14ac:dyDescent="0.3">
      <c r="A942" s="46"/>
      <c r="B942" s="46"/>
      <c r="C942" s="46"/>
      <c r="D942" s="46"/>
    </row>
    <row r="943" spans="1:4" ht="14.25" customHeight="1" x14ac:dyDescent="0.3">
      <c r="A943" s="46"/>
      <c r="B943" s="46"/>
      <c r="C943" s="46"/>
      <c r="D943" s="46"/>
    </row>
    <row r="944" spans="1:4" ht="14.25" customHeight="1" x14ac:dyDescent="0.3">
      <c r="A944" s="46"/>
      <c r="B944" s="46"/>
      <c r="C944" s="46"/>
      <c r="D944" s="46"/>
    </row>
    <row r="945" spans="1:4" ht="14.25" customHeight="1" x14ac:dyDescent="0.3">
      <c r="A945" s="46"/>
      <c r="B945" s="46"/>
      <c r="C945" s="46"/>
      <c r="D945" s="46"/>
    </row>
    <row r="946" spans="1:4" ht="14.25" customHeight="1" x14ac:dyDescent="0.3">
      <c r="A946" s="46"/>
      <c r="B946" s="46"/>
      <c r="C946" s="46"/>
      <c r="D946" s="46"/>
    </row>
    <row r="947" spans="1:4" ht="14.25" customHeight="1" x14ac:dyDescent="0.3">
      <c r="A947" s="46"/>
      <c r="B947" s="46"/>
      <c r="C947" s="46"/>
      <c r="D947" s="46"/>
    </row>
    <row r="948" spans="1:4" ht="14.25" customHeight="1" x14ac:dyDescent="0.3">
      <c r="A948" s="46"/>
      <c r="B948" s="46"/>
      <c r="C948" s="46"/>
      <c r="D948" s="46"/>
    </row>
    <row r="949" spans="1:4" ht="14.25" customHeight="1" x14ac:dyDescent="0.3">
      <c r="A949" s="46"/>
      <c r="B949" s="46"/>
      <c r="C949" s="46"/>
      <c r="D949" s="46"/>
    </row>
    <row r="950" spans="1:4" ht="14.25" customHeight="1" x14ac:dyDescent="0.3">
      <c r="A950" s="46"/>
      <c r="B950" s="46"/>
      <c r="C950" s="46"/>
      <c r="D950" s="46"/>
    </row>
    <row r="951" spans="1:4" ht="14.25" customHeight="1" x14ac:dyDescent="0.3">
      <c r="A951" s="46"/>
      <c r="B951" s="46"/>
      <c r="C951" s="46"/>
      <c r="D951" s="46"/>
    </row>
    <row r="952" spans="1:4" ht="14.25" customHeight="1" x14ac:dyDescent="0.3">
      <c r="A952" s="46"/>
      <c r="B952" s="46"/>
      <c r="C952" s="46"/>
      <c r="D952" s="46"/>
    </row>
    <row r="953" spans="1:4" ht="14.25" customHeight="1" x14ac:dyDescent="0.3">
      <c r="A953" s="46"/>
      <c r="B953" s="46"/>
      <c r="C953" s="46"/>
      <c r="D953" s="46"/>
    </row>
    <row r="954" spans="1:4" ht="14.25" customHeight="1" x14ac:dyDescent="0.3">
      <c r="A954" s="46"/>
      <c r="B954" s="46"/>
      <c r="C954" s="46"/>
      <c r="D954" s="46"/>
    </row>
    <row r="955" spans="1:4" ht="14.25" customHeight="1" x14ac:dyDescent="0.3">
      <c r="A955" s="46"/>
      <c r="B955" s="46"/>
      <c r="C955" s="46"/>
      <c r="D955" s="46"/>
    </row>
    <row r="956" spans="1:4" ht="14.25" customHeight="1" x14ac:dyDescent="0.3">
      <c r="A956" s="46"/>
      <c r="B956" s="46"/>
      <c r="C956" s="46"/>
      <c r="D956" s="46"/>
    </row>
    <row r="957" spans="1:4" ht="14.25" customHeight="1" x14ac:dyDescent="0.3">
      <c r="A957" s="46"/>
      <c r="B957" s="46"/>
      <c r="C957" s="46"/>
      <c r="D957" s="46"/>
    </row>
    <row r="958" spans="1:4" ht="14.25" customHeight="1" x14ac:dyDescent="0.3">
      <c r="A958" s="46"/>
      <c r="B958" s="46"/>
      <c r="C958" s="46"/>
      <c r="D958" s="46"/>
    </row>
    <row r="959" spans="1:4" ht="14.25" customHeight="1" x14ac:dyDescent="0.3">
      <c r="A959" s="46"/>
      <c r="B959" s="46"/>
      <c r="C959" s="46"/>
      <c r="D959" s="46"/>
    </row>
    <row r="960" spans="1:4" ht="14.25" customHeight="1" x14ac:dyDescent="0.3">
      <c r="A960" s="46"/>
      <c r="B960" s="46"/>
      <c r="C960" s="46"/>
      <c r="D960" s="46"/>
    </row>
    <row r="961" spans="1:4" ht="14.25" customHeight="1" x14ac:dyDescent="0.3">
      <c r="A961" s="46"/>
      <c r="B961" s="46"/>
      <c r="C961" s="46"/>
      <c r="D961" s="46"/>
    </row>
    <row r="962" spans="1:4" ht="14.25" customHeight="1" x14ac:dyDescent="0.3">
      <c r="A962" s="46"/>
      <c r="B962" s="46"/>
      <c r="C962" s="46"/>
      <c r="D962" s="46"/>
    </row>
    <row r="963" spans="1:4" ht="14.25" customHeight="1" x14ac:dyDescent="0.3">
      <c r="A963" s="46"/>
      <c r="B963" s="46"/>
      <c r="C963" s="46"/>
      <c r="D963" s="46"/>
    </row>
    <row r="964" spans="1:4" ht="14.25" customHeight="1" x14ac:dyDescent="0.3">
      <c r="A964" s="46"/>
      <c r="B964" s="46"/>
      <c r="C964" s="46"/>
      <c r="D964" s="46"/>
    </row>
    <row r="965" spans="1:4" ht="14.25" customHeight="1" x14ac:dyDescent="0.3">
      <c r="A965" s="46"/>
      <c r="B965" s="46"/>
      <c r="C965" s="46"/>
      <c r="D965" s="46"/>
    </row>
    <row r="966" spans="1:4" ht="14.25" customHeight="1" x14ac:dyDescent="0.3">
      <c r="A966" s="46"/>
      <c r="B966" s="46"/>
      <c r="C966" s="46"/>
      <c r="D966" s="46"/>
    </row>
    <row r="967" spans="1:4" ht="14.25" customHeight="1" x14ac:dyDescent="0.3">
      <c r="A967" s="46"/>
      <c r="B967" s="46"/>
      <c r="C967" s="46"/>
      <c r="D967" s="46"/>
    </row>
    <row r="968" spans="1:4" ht="14.25" customHeight="1" x14ac:dyDescent="0.3">
      <c r="A968" s="46"/>
      <c r="B968" s="46"/>
      <c r="C968" s="46"/>
      <c r="D968" s="46"/>
    </row>
    <row r="969" spans="1:4" ht="14.25" customHeight="1" x14ac:dyDescent="0.3">
      <c r="A969" s="46"/>
      <c r="B969" s="46"/>
      <c r="C969" s="46"/>
      <c r="D969" s="46"/>
    </row>
    <row r="970" spans="1:4" ht="14.25" customHeight="1" x14ac:dyDescent="0.3">
      <c r="A970" s="46"/>
      <c r="B970" s="46"/>
      <c r="C970" s="46"/>
      <c r="D970" s="46"/>
    </row>
    <row r="971" spans="1:4" ht="14.25" customHeight="1" x14ac:dyDescent="0.3">
      <c r="A971" s="46"/>
      <c r="B971" s="46"/>
      <c r="C971" s="46"/>
      <c r="D971" s="46"/>
    </row>
    <row r="972" spans="1:4" ht="14.25" customHeight="1" x14ac:dyDescent="0.3">
      <c r="A972" s="46"/>
      <c r="B972" s="46"/>
      <c r="C972" s="46"/>
      <c r="D972" s="46"/>
    </row>
    <row r="973" spans="1:4" ht="14.25" customHeight="1" x14ac:dyDescent="0.3">
      <c r="A973" s="46"/>
      <c r="B973" s="46"/>
      <c r="C973" s="46"/>
      <c r="D973" s="46"/>
    </row>
    <row r="974" spans="1:4" ht="14.25" customHeight="1" x14ac:dyDescent="0.3">
      <c r="A974" s="46"/>
      <c r="B974" s="46"/>
      <c r="C974" s="46"/>
      <c r="D974" s="46"/>
    </row>
    <row r="975" spans="1:4" ht="14.25" customHeight="1" x14ac:dyDescent="0.3">
      <c r="A975" s="46"/>
      <c r="B975" s="46"/>
      <c r="C975" s="46"/>
      <c r="D975" s="46"/>
    </row>
    <row r="976" spans="1:4" ht="14.25" customHeight="1" x14ac:dyDescent="0.3">
      <c r="A976" s="46"/>
      <c r="B976" s="46"/>
      <c r="C976" s="46"/>
      <c r="D976" s="46"/>
    </row>
    <row r="977" spans="1:4" ht="14.25" customHeight="1" x14ac:dyDescent="0.3">
      <c r="A977" s="46"/>
      <c r="B977" s="46"/>
      <c r="C977" s="46"/>
      <c r="D977" s="46"/>
    </row>
    <row r="978" spans="1:4" ht="14.25" customHeight="1" x14ac:dyDescent="0.3">
      <c r="A978" s="46"/>
      <c r="B978" s="46"/>
      <c r="C978" s="46"/>
      <c r="D978" s="46"/>
    </row>
    <row r="979" spans="1:4" ht="14.25" customHeight="1" x14ac:dyDescent="0.3">
      <c r="A979" s="46"/>
      <c r="B979" s="46"/>
      <c r="C979" s="46"/>
      <c r="D979" s="46"/>
    </row>
    <row r="980" spans="1:4" ht="14.25" customHeight="1" x14ac:dyDescent="0.3">
      <c r="A980" s="46"/>
      <c r="B980" s="46"/>
      <c r="C980" s="46"/>
      <c r="D980" s="46"/>
    </row>
    <row r="981" spans="1:4" ht="14.25" customHeight="1" x14ac:dyDescent="0.3">
      <c r="A981" s="46"/>
      <c r="B981" s="46"/>
      <c r="C981" s="46"/>
      <c r="D981" s="46"/>
    </row>
    <row r="982" spans="1:4" ht="14.25" customHeight="1" x14ac:dyDescent="0.3">
      <c r="A982" s="46"/>
      <c r="B982" s="46"/>
      <c r="C982" s="46"/>
      <c r="D982" s="46"/>
    </row>
    <row r="983" spans="1:4" ht="14.25" customHeight="1" x14ac:dyDescent="0.3">
      <c r="A983" s="46"/>
      <c r="B983" s="46"/>
      <c r="C983" s="46"/>
      <c r="D983" s="46"/>
    </row>
    <row r="984" spans="1:4" ht="14.25" customHeight="1" x14ac:dyDescent="0.3">
      <c r="A984" s="46"/>
      <c r="B984" s="46"/>
      <c r="C984" s="46"/>
      <c r="D984" s="46"/>
    </row>
    <row r="985" spans="1:4" ht="14.25" customHeight="1" x14ac:dyDescent="0.3">
      <c r="A985" s="46"/>
      <c r="B985" s="46"/>
      <c r="C985" s="46"/>
      <c r="D985" s="46"/>
    </row>
    <row r="986" spans="1:4" ht="14.25" customHeight="1" x14ac:dyDescent="0.3">
      <c r="A986" s="46"/>
      <c r="B986" s="46"/>
      <c r="C986" s="46"/>
      <c r="D986" s="46"/>
    </row>
    <row r="987" spans="1:4" ht="14.25" customHeight="1" x14ac:dyDescent="0.3">
      <c r="A987" s="46"/>
      <c r="B987" s="46"/>
      <c r="C987" s="46"/>
      <c r="D987" s="46"/>
    </row>
    <row r="988" spans="1:4" ht="14.25" customHeight="1" x14ac:dyDescent="0.3">
      <c r="A988" s="46"/>
      <c r="B988" s="46"/>
      <c r="C988" s="46"/>
      <c r="D988" s="46"/>
    </row>
    <row r="989" spans="1:4" ht="14.25" customHeight="1" x14ac:dyDescent="0.3">
      <c r="A989" s="46"/>
      <c r="B989" s="46"/>
      <c r="C989" s="46"/>
      <c r="D989" s="46"/>
    </row>
    <row r="990" spans="1:4" ht="14.25" customHeight="1" x14ac:dyDescent="0.3">
      <c r="A990" s="46"/>
      <c r="B990" s="46"/>
      <c r="C990" s="46"/>
      <c r="D990" s="46"/>
    </row>
    <row r="991" spans="1:4" ht="14.25" customHeight="1" x14ac:dyDescent="0.3">
      <c r="A991" s="46"/>
      <c r="B991" s="46"/>
      <c r="C991" s="46"/>
      <c r="D991" s="46"/>
    </row>
    <row r="992" spans="1:4" ht="14.25" customHeight="1" x14ac:dyDescent="0.3">
      <c r="A992" s="46"/>
      <c r="B992" s="46"/>
      <c r="C992" s="46"/>
      <c r="D992" s="46"/>
    </row>
    <row r="993" spans="1:4" ht="14.25" customHeight="1" x14ac:dyDescent="0.3">
      <c r="A993" s="46"/>
      <c r="B993" s="46"/>
      <c r="C993" s="46"/>
      <c r="D993" s="46"/>
    </row>
    <row r="994" spans="1:4" ht="14.25" customHeight="1" x14ac:dyDescent="0.3">
      <c r="A994" s="46"/>
      <c r="B994" s="46"/>
      <c r="C994" s="46"/>
      <c r="D994" s="46"/>
    </row>
    <row r="995" spans="1:4" ht="14.25" customHeight="1" x14ac:dyDescent="0.3">
      <c r="A995" s="46"/>
      <c r="B995" s="46"/>
      <c r="C995" s="46"/>
      <c r="D995" s="46"/>
    </row>
    <row r="996" spans="1:4" ht="14.25" customHeight="1" x14ac:dyDescent="0.3">
      <c r="A996" s="46"/>
      <c r="B996" s="46"/>
      <c r="C996" s="46"/>
      <c r="D996" s="46"/>
    </row>
    <row r="997" spans="1:4" ht="14.25" customHeight="1" x14ac:dyDescent="0.3">
      <c r="A997" s="46"/>
      <c r="B997" s="46"/>
      <c r="C997" s="46"/>
      <c r="D997" s="46"/>
    </row>
    <row r="998" spans="1:4" ht="14.25" customHeight="1" x14ac:dyDescent="0.3">
      <c r="A998" s="46"/>
      <c r="B998" s="46"/>
      <c r="C998" s="46"/>
      <c r="D998" s="46"/>
    </row>
    <row r="999" spans="1:4" ht="14.25" customHeight="1" x14ac:dyDescent="0.3">
      <c r="A999" s="46"/>
      <c r="B999" s="46"/>
      <c r="C999" s="46"/>
      <c r="D999" s="46"/>
    </row>
    <row r="1000" spans="1:4" ht="14.25" customHeight="1" x14ac:dyDescent="0.3">
      <c r="A1000" s="46"/>
      <c r="B1000" s="46"/>
      <c r="C1000" s="46"/>
      <c r="D1000" s="46"/>
    </row>
  </sheetData>
  <mergeCells count="4">
    <mergeCell ref="A700:A704"/>
    <mergeCell ref="A705:A748"/>
    <mergeCell ref="A749:A758"/>
    <mergeCell ref="A759:A783"/>
  </mergeCells>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13</vt:i4>
      </vt:variant>
    </vt:vector>
  </HeadingPairs>
  <TitlesOfParts>
    <vt:vector size="13" baseType="lpstr">
      <vt:lpstr>INSTRUCTIVO</vt:lpstr>
      <vt:lpstr>Resultado seguimiento</vt:lpstr>
      <vt:lpstr>PLAN DE ACCION EN SALUD</vt:lpstr>
      <vt:lpstr>Hoja1</vt:lpstr>
      <vt:lpstr>TH</vt:lpstr>
      <vt:lpstr>DATOS EJEC</vt:lpstr>
      <vt:lpstr>EJEC x componente</vt:lpstr>
      <vt:lpstr>pendientes</vt:lpstr>
      <vt:lpstr>TD</vt:lpstr>
      <vt:lpstr>Graficos</vt:lpstr>
      <vt:lpstr>ResultadoValidacion</vt:lpstr>
      <vt:lpstr>Data</vt:lpstr>
      <vt:lpstr>ValoresListasDesplegables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Andres Daza Huerfano;Oscar Fonseca Corredor;Aley Bricelyn Montenegro Niño;Patricia Rozo Lesmes;Andrea Johanna Avella Tolosa</dc:creator>
  <cp:lastModifiedBy>Nain Zuñiga Porto</cp:lastModifiedBy>
  <dcterms:created xsi:type="dcterms:W3CDTF">2023-11-22T07:51:26Z</dcterms:created>
  <dcterms:modified xsi:type="dcterms:W3CDTF">2026-09-17T23:54:57Z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0x01010088F3FA1CA7EC1D4B9E8B6345A048ADF9</vt:lpwstr>
  </property>
</Properties>
</file>